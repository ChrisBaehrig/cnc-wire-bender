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D:\Hobby_Projekte\Drahtbiegemaschiene\cnc-wire-bender\GCode-Generator\"/>
    </mc:Choice>
  </mc:AlternateContent>
  <bookViews>
    <workbookView xWindow="0" yWindow="0" windowWidth="21570" windowHeight="7665" activeTab="5"/>
  </bookViews>
  <sheets>
    <sheet name="Setup" sheetId="1" r:id="rId1"/>
    <sheet name="correction_tag" sheetId="5" r:id="rId2"/>
    <sheet name="INPUT_CAD" sheetId="6" r:id="rId3"/>
    <sheet name="calculation" sheetId="8" r:id="rId4"/>
    <sheet name="Graph" sheetId="10" r:id="rId5"/>
    <sheet name="G_CODE" sheetId="9" r:id="rId6"/>
  </sheets>
  <definedNames>
    <definedName name="_xlnm._FilterDatabase" localSheetId="3" hidden="1">calculation!$A$9:$Z$510</definedName>
  </definedNames>
  <calcPr calcId="162913"/>
</workbook>
</file>

<file path=xl/calcChain.xml><?xml version="1.0" encoding="utf-8"?>
<calcChain xmlns="http://schemas.openxmlformats.org/spreadsheetml/2006/main">
  <c r="U9" i="9" l="1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L32" i="9" l="1"/>
  <c r="P32" i="9"/>
  <c r="T32" i="9"/>
  <c r="L33" i="9"/>
  <c r="P33" i="9"/>
  <c r="T33" i="9"/>
  <c r="L34" i="9"/>
  <c r="P34" i="9"/>
  <c r="T34" i="9"/>
  <c r="L35" i="9"/>
  <c r="P35" i="9"/>
  <c r="T35" i="9"/>
  <c r="L36" i="9"/>
  <c r="P36" i="9"/>
  <c r="T36" i="9"/>
  <c r="L37" i="9"/>
  <c r="P37" i="9"/>
  <c r="T37" i="9"/>
  <c r="L38" i="9"/>
  <c r="P38" i="9"/>
  <c r="T38" i="9"/>
  <c r="L39" i="9"/>
  <c r="P39" i="9"/>
  <c r="T39" i="9"/>
  <c r="L40" i="9"/>
  <c r="P40" i="9"/>
  <c r="T40" i="9"/>
  <c r="L41" i="9"/>
  <c r="P41" i="9"/>
  <c r="T41" i="9"/>
  <c r="L42" i="9"/>
  <c r="P42" i="9"/>
  <c r="T42" i="9"/>
  <c r="L43" i="9"/>
  <c r="P43" i="9"/>
  <c r="T43" i="9"/>
  <c r="L44" i="9"/>
  <c r="P44" i="9"/>
  <c r="T44" i="9"/>
  <c r="L45" i="9"/>
  <c r="P45" i="9"/>
  <c r="T45" i="9"/>
  <c r="L46" i="9"/>
  <c r="P46" i="9"/>
  <c r="T46" i="9"/>
  <c r="L47" i="9"/>
  <c r="P47" i="9"/>
  <c r="T47" i="9"/>
  <c r="L48" i="9"/>
  <c r="P48" i="9"/>
  <c r="T48" i="9"/>
  <c r="L49" i="9"/>
  <c r="P49" i="9"/>
  <c r="T49" i="9"/>
  <c r="L50" i="9"/>
  <c r="P50" i="9"/>
  <c r="T50" i="9"/>
  <c r="L51" i="9"/>
  <c r="P51" i="9"/>
  <c r="T51" i="9"/>
  <c r="L52" i="9"/>
  <c r="P52" i="9"/>
  <c r="T52" i="9"/>
  <c r="L53" i="9"/>
  <c r="P53" i="9"/>
  <c r="T53" i="9"/>
  <c r="L54" i="9"/>
  <c r="P54" i="9"/>
  <c r="T54" i="9"/>
  <c r="L55" i="9"/>
  <c r="P55" i="9"/>
  <c r="T55" i="9"/>
  <c r="L56" i="9"/>
  <c r="P56" i="9"/>
  <c r="T56" i="9"/>
  <c r="L57" i="9"/>
  <c r="P57" i="9"/>
  <c r="T57" i="9"/>
  <c r="L58" i="9"/>
  <c r="P58" i="9"/>
  <c r="T58" i="9"/>
  <c r="L59" i="9"/>
  <c r="P59" i="9"/>
  <c r="T59" i="9"/>
  <c r="L60" i="9"/>
  <c r="P60" i="9"/>
  <c r="T60" i="9"/>
  <c r="L61" i="9"/>
  <c r="P61" i="9"/>
  <c r="T61" i="9"/>
  <c r="L62" i="9"/>
  <c r="P62" i="9"/>
  <c r="T62" i="9"/>
  <c r="L63" i="9"/>
  <c r="P63" i="9"/>
  <c r="T63" i="9"/>
  <c r="L64" i="9"/>
  <c r="P64" i="9"/>
  <c r="T64" i="9"/>
  <c r="L65" i="9"/>
  <c r="P65" i="9"/>
  <c r="T65" i="9"/>
  <c r="L66" i="9"/>
  <c r="P66" i="9"/>
  <c r="T66" i="9"/>
  <c r="L67" i="9"/>
  <c r="P67" i="9"/>
  <c r="T67" i="9"/>
  <c r="L68" i="9"/>
  <c r="P68" i="9"/>
  <c r="T68" i="9"/>
  <c r="L69" i="9"/>
  <c r="P69" i="9"/>
  <c r="T69" i="9"/>
  <c r="L70" i="9"/>
  <c r="P70" i="9"/>
  <c r="T70" i="9"/>
  <c r="L71" i="9"/>
  <c r="P71" i="9"/>
  <c r="T71" i="9"/>
  <c r="L72" i="9"/>
  <c r="P72" i="9"/>
  <c r="T72" i="9"/>
  <c r="L73" i="9"/>
  <c r="P73" i="9"/>
  <c r="T73" i="9"/>
  <c r="L74" i="9"/>
  <c r="P74" i="9"/>
  <c r="T74" i="9"/>
  <c r="L75" i="9"/>
  <c r="P75" i="9"/>
  <c r="T75" i="9"/>
  <c r="L76" i="9"/>
  <c r="P76" i="9"/>
  <c r="T76" i="9"/>
  <c r="L77" i="9"/>
  <c r="P77" i="9"/>
  <c r="T77" i="9"/>
  <c r="L78" i="9"/>
  <c r="P78" i="9"/>
  <c r="T78" i="9"/>
  <c r="L79" i="9"/>
  <c r="P79" i="9"/>
  <c r="T79" i="9"/>
  <c r="L80" i="9"/>
  <c r="P80" i="9"/>
  <c r="T80" i="9"/>
  <c r="L81" i="9"/>
  <c r="P81" i="9"/>
  <c r="T81" i="9"/>
  <c r="L82" i="9"/>
  <c r="P82" i="9"/>
  <c r="T82" i="9"/>
  <c r="L83" i="9"/>
  <c r="P83" i="9"/>
  <c r="T83" i="9"/>
  <c r="L84" i="9"/>
  <c r="P84" i="9"/>
  <c r="T84" i="9"/>
  <c r="L85" i="9"/>
  <c r="P85" i="9"/>
  <c r="T85" i="9"/>
  <c r="L86" i="9"/>
  <c r="P86" i="9"/>
  <c r="T86" i="9"/>
  <c r="L87" i="9"/>
  <c r="P87" i="9"/>
  <c r="T87" i="9"/>
  <c r="L88" i="9"/>
  <c r="P88" i="9"/>
  <c r="T88" i="9"/>
  <c r="L89" i="9"/>
  <c r="P89" i="9"/>
  <c r="T89" i="9"/>
  <c r="L90" i="9"/>
  <c r="P90" i="9"/>
  <c r="T90" i="9"/>
  <c r="L91" i="9"/>
  <c r="P91" i="9"/>
  <c r="T91" i="9"/>
  <c r="L92" i="9"/>
  <c r="P92" i="9"/>
  <c r="T92" i="9"/>
  <c r="L93" i="9"/>
  <c r="P93" i="9"/>
  <c r="T93" i="9"/>
  <c r="L94" i="9"/>
  <c r="P94" i="9"/>
  <c r="T94" i="9"/>
  <c r="L95" i="9"/>
  <c r="P95" i="9"/>
  <c r="T95" i="9"/>
  <c r="L96" i="9"/>
  <c r="P96" i="9"/>
  <c r="T96" i="9"/>
  <c r="L97" i="9"/>
  <c r="P97" i="9"/>
  <c r="T97" i="9"/>
  <c r="L98" i="9"/>
  <c r="P98" i="9"/>
  <c r="T98" i="9"/>
  <c r="L99" i="9"/>
  <c r="P99" i="9"/>
  <c r="T99" i="9"/>
  <c r="L100" i="9"/>
  <c r="P100" i="9"/>
  <c r="T100" i="9"/>
  <c r="L101" i="9"/>
  <c r="P101" i="9"/>
  <c r="T101" i="9"/>
  <c r="L102" i="9"/>
  <c r="P102" i="9"/>
  <c r="T102" i="9"/>
  <c r="L103" i="9"/>
  <c r="P103" i="9"/>
  <c r="T103" i="9"/>
  <c r="L104" i="9"/>
  <c r="P104" i="9"/>
  <c r="T104" i="9"/>
  <c r="L105" i="9"/>
  <c r="P105" i="9"/>
  <c r="T105" i="9"/>
  <c r="L106" i="9"/>
  <c r="P106" i="9"/>
  <c r="T106" i="9"/>
  <c r="L107" i="9"/>
  <c r="P107" i="9"/>
  <c r="T107" i="9"/>
  <c r="L108" i="9"/>
  <c r="P108" i="9"/>
  <c r="T108" i="9"/>
  <c r="L109" i="9"/>
  <c r="P109" i="9"/>
  <c r="T109" i="9"/>
  <c r="L110" i="9"/>
  <c r="P110" i="9"/>
  <c r="T110" i="9"/>
  <c r="L111" i="9"/>
  <c r="P111" i="9"/>
  <c r="T111" i="9"/>
  <c r="L112" i="9"/>
  <c r="P112" i="9"/>
  <c r="T112" i="9"/>
  <c r="L113" i="9"/>
  <c r="P113" i="9"/>
  <c r="T113" i="9"/>
  <c r="L114" i="9"/>
  <c r="P114" i="9"/>
  <c r="T114" i="9"/>
  <c r="L115" i="9"/>
  <c r="P115" i="9"/>
  <c r="T115" i="9"/>
  <c r="L116" i="9"/>
  <c r="P116" i="9"/>
  <c r="T116" i="9"/>
  <c r="L117" i="9"/>
  <c r="P117" i="9"/>
  <c r="T117" i="9"/>
  <c r="L118" i="9"/>
  <c r="P118" i="9"/>
  <c r="T118" i="9"/>
  <c r="L119" i="9"/>
  <c r="P119" i="9"/>
  <c r="T119" i="9"/>
  <c r="L120" i="9"/>
  <c r="P120" i="9"/>
  <c r="T120" i="9"/>
  <c r="L121" i="9"/>
  <c r="P121" i="9"/>
  <c r="T121" i="9"/>
  <c r="L122" i="9"/>
  <c r="P122" i="9"/>
  <c r="T122" i="9"/>
  <c r="L123" i="9"/>
  <c r="P123" i="9"/>
  <c r="T123" i="9"/>
  <c r="L124" i="9"/>
  <c r="P124" i="9"/>
  <c r="T124" i="9"/>
  <c r="L125" i="9"/>
  <c r="P125" i="9"/>
  <c r="T125" i="9"/>
  <c r="L126" i="9"/>
  <c r="P126" i="9"/>
  <c r="T126" i="9"/>
  <c r="L127" i="9"/>
  <c r="P127" i="9"/>
  <c r="T127" i="9"/>
  <c r="L128" i="9"/>
  <c r="P128" i="9"/>
  <c r="T128" i="9"/>
  <c r="L129" i="9"/>
  <c r="P129" i="9"/>
  <c r="T129" i="9"/>
  <c r="L130" i="9"/>
  <c r="P130" i="9"/>
  <c r="T130" i="9"/>
  <c r="L131" i="9"/>
  <c r="P131" i="9"/>
  <c r="T131" i="9"/>
  <c r="L132" i="9"/>
  <c r="P132" i="9"/>
  <c r="T132" i="9"/>
  <c r="L133" i="9"/>
  <c r="P133" i="9"/>
  <c r="T133" i="9"/>
  <c r="L134" i="9"/>
  <c r="P134" i="9"/>
  <c r="T134" i="9"/>
  <c r="L135" i="9"/>
  <c r="P135" i="9"/>
  <c r="T135" i="9"/>
  <c r="L136" i="9"/>
  <c r="P136" i="9"/>
  <c r="T136" i="9"/>
  <c r="L137" i="9"/>
  <c r="P137" i="9"/>
  <c r="T137" i="9"/>
  <c r="L138" i="9"/>
  <c r="P138" i="9"/>
  <c r="T138" i="9"/>
  <c r="L139" i="9"/>
  <c r="P139" i="9"/>
  <c r="T139" i="9"/>
  <c r="L140" i="9"/>
  <c r="P140" i="9"/>
  <c r="T140" i="9"/>
  <c r="L141" i="9"/>
  <c r="P141" i="9"/>
  <c r="T141" i="9"/>
  <c r="L142" i="9"/>
  <c r="P142" i="9"/>
  <c r="T142" i="9"/>
  <c r="L143" i="9"/>
  <c r="P143" i="9"/>
  <c r="T143" i="9"/>
  <c r="L144" i="9"/>
  <c r="P144" i="9"/>
  <c r="T144" i="9"/>
  <c r="L145" i="9"/>
  <c r="P145" i="9"/>
  <c r="T145" i="9"/>
  <c r="L146" i="9"/>
  <c r="P146" i="9"/>
  <c r="T146" i="9"/>
  <c r="L147" i="9"/>
  <c r="P147" i="9"/>
  <c r="T147" i="9"/>
  <c r="L148" i="9"/>
  <c r="P148" i="9"/>
  <c r="T148" i="9"/>
  <c r="L149" i="9"/>
  <c r="P149" i="9"/>
  <c r="T149" i="9"/>
  <c r="L150" i="9"/>
  <c r="P150" i="9"/>
  <c r="T150" i="9"/>
  <c r="L151" i="9"/>
  <c r="P151" i="9"/>
  <c r="T151" i="9"/>
  <c r="L152" i="9"/>
  <c r="P152" i="9"/>
  <c r="T152" i="9"/>
  <c r="L153" i="9"/>
  <c r="P153" i="9"/>
  <c r="T153" i="9"/>
  <c r="L154" i="9"/>
  <c r="P154" i="9"/>
  <c r="T154" i="9"/>
  <c r="L155" i="9"/>
  <c r="P155" i="9"/>
  <c r="T155" i="9"/>
  <c r="L156" i="9"/>
  <c r="P156" i="9"/>
  <c r="T156" i="9"/>
  <c r="L157" i="9"/>
  <c r="P157" i="9"/>
  <c r="T157" i="9"/>
  <c r="L158" i="9"/>
  <c r="P158" i="9"/>
  <c r="T158" i="9"/>
  <c r="L159" i="9"/>
  <c r="P159" i="9"/>
  <c r="T159" i="9"/>
  <c r="L160" i="9"/>
  <c r="P160" i="9"/>
  <c r="T160" i="9"/>
  <c r="L161" i="9"/>
  <c r="P161" i="9"/>
  <c r="T161" i="9"/>
  <c r="L162" i="9"/>
  <c r="P162" i="9"/>
  <c r="T162" i="9"/>
  <c r="L163" i="9"/>
  <c r="P163" i="9"/>
  <c r="T163" i="9"/>
  <c r="L164" i="9"/>
  <c r="P164" i="9"/>
  <c r="T164" i="9"/>
  <c r="L165" i="9"/>
  <c r="P165" i="9"/>
  <c r="T165" i="9"/>
  <c r="L166" i="9"/>
  <c r="P166" i="9"/>
  <c r="T166" i="9"/>
  <c r="L167" i="9"/>
  <c r="P167" i="9"/>
  <c r="T167" i="9"/>
  <c r="L168" i="9"/>
  <c r="P168" i="9"/>
  <c r="T168" i="9"/>
  <c r="L169" i="9"/>
  <c r="P169" i="9"/>
  <c r="T169" i="9"/>
  <c r="L170" i="9"/>
  <c r="P170" i="9"/>
  <c r="T170" i="9"/>
  <c r="L171" i="9"/>
  <c r="P171" i="9"/>
  <c r="T171" i="9"/>
  <c r="L172" i="9"/>
  <c r="P172" i="9"/>
  <c r="T172" i="9"/>
  <c r="L173" i="9"/>
  <c r="P173" i="9"/>
  <c r="T173" i="9"/>
  <c r="L174" i="9"/>
  <c r="P174" i="9"/>
  <c r="T174" i="9"/>
  <c r="L175" i="9"/>
  <c r="P175" i="9"/>
  <c r="T175" i="9"/>
  <c r="L176" i="9"/>
  <c r="P176" i="9"/>
  <c r="T176" i="9"/>
  <c r="L177" i="9"/>
  <c r="P177" i="9"/>
  <c r="T177" i="9"/>
  <c r="L178" i="9"/>
  <c r="P178" i="9"/>
  <c r="T178" i="9"/>
  <c r="L179" i="9"/>
  <c r="P179" i="9"/>
  <c r="T179" i="9"/>
  <c r="L180" i="9"/>
  <c r="P180" i="9"/>
  <c r="T180" i="9"/>
  <c r="L181" i="9"/>
  <c r="P181" i="9"/>
  <c r="T181" i="9"/>
  <c r="L182" i="9"/>
  <c r="P182" i="9"/>
  <c r="T182" i="9"/>
  <c r="L183" i="9"/>
  <c r="P183" i="9"/>
  <c r="T183" i="9"/>
  <c r="L184" i="9"/>
  <c r="P184" i="9"/>
  <c r="T184" i="9"/>
  <c r="L185" i="9"/>
  <c r="P185" i="9"/>
  <c r="T185" i="9"/>
  <c r="L186" i="9"/>
  <c r="P186" i="9"/>
  <c r="T186" i="9"/>
  <c r="L187" i="9"/>
  <c r="P187" i="9"/>
  <c r="T187" i="9"/>
  <c r="L188" i="9"/>
  <c r="P188" i="9"/>
  <c r="T188" i="9"/>
  <c r="L189" i="9"/>
  <c r="P189" i="9"/>
  <c r="T189" i="9"/>
  <c r="L190" i="9"/>
  <c r="P190" i="9"/>
  <c r="T190" i="9"/>
  <c r="L191" i="9"/>
  <c r="P191" i="9"/>
  <c r="T191" i="9"/>
  <c r="L192" i="9"/>
  <c r="P192" i="9"/>
  <c r="T192" i="9"/>
  <c r="L193" i="9"/>
  <c r="P193" i="9"/>
  <c r="T193" i="9"/>
  <c r="L194" i="9"/>
  <c r="P194" i="9"/>
  <c r="T194" i="9"/>
  <c r="L195" i="9"/>
  <c r="P195" i="9"/>
  <c r="T195" i="9"/>
  <c r="L196" i="9"/>
  <c r="P196" i="9"/>
  <c r="T196" i="9"/>
  <c r="L197" i="9"/>
  <c r="P197" i="9"/>
  <c r="T197" i="9"/>
  <c r="L198" i="9"/>
  <c r="P198" i="9"/>
  <c r="T198" i="9"/>
  <c r="L199" i="9"/>
  <c r="P199" i="9"/>
  <c r="T199" i="9"/>
  <c r="L200" i="9"/>
  <c r="P200" i="9"/>
  <c r="T200" i="9"/>
  <c r="L201" i="9"/>
  <c r="P201" i="9"/>
  <c r="T201" i="9"/>
  <c r="L202" i="9"/>
  <c r="P202" i="9"/>
  <c r="T202" i="9"/>
  <c r="L203" i="9"/>
  <c r="P203" i="9"/>
  <c r="T203" i="9"/>
  <c r="L204" i="9"/>
  <c r="P204" i="9"/>
  <c r="T204" i="9"/>
  <c r="L205" i="9"/>
  <c r="P205" i="9"/>
  <c r="T205" i="9"/>
  <c r="L206" i="9"/>
  <c r="P206" i="9"/>
  <c r="T206" i="9"/>
  <c r="L207" i="9"/>
  <c r="P207" i="9"/>
  <c r="T207" i="9"/>
  <c r="L208" i="9"/>
  <c r="P208" i="9"/>
  <c r="T208" i="9"/>
  <c r="L209" i="9"/>
  <c r="P209" i="9"/>
  <c r="T209" i="9"/>
  <c r="L210" i="9"/>
  <c r="P210" i="9"/>
  <c r="T210" i="9"/>
  <c r="L211" i="9"/>
  <c r="P211" i="9"/>
  <c r="T211" i="9"/>
  <c r="L212" i="9"/>
  <c r="P212" i="9"/>
  <c r="T212" i="9"/>
  <c r="L213" i="9"/>
  <c r="P213" i="9"/>
  <c r="T213" i="9"/>
  <c r="L214" i="9"/>
  <c r="P214" i="9"/>
  <c r="T214" i="9"/>
  <c r="L215" i="9"/>
  <c r="P215" i="9"/>
  <c r="T215" i="9"/>
  <c r="L216" i="9"/>
  <c r="P216" i="9"/>
  <c r="T216" i="9"/>
  <c r="L217" i="9"/>
  <c r="P217" i="9"/>
  <c r="T217" i="9"/>
  <c r="L218" i="9"/>
  <c r="P218" i="9"/>
  <c r="T218" i="9"/>
  <c r="L219" i="9"/>
  <c r="P219" i="9"/>
  <c r="T219" i="9"/>
  <c r="L220" i="9"/>
  <c r="P220" i="9"/>
  <c r="T220" i="9"/>
  <c r="L221" i="9"/>
  <c r="P221" i="9"/>
  <c r="T221" i="9"/>
  <c r="L222" i="9"/>
  <c r="P222" i="9"/>
  <c r="T222" i="9"/>
  <c r="L223" i="9"/>
  <c r="P223" i="9"/>
  <c r="T223" i="9"/>
  <c r="L224" i="9"/>
  <c r="P224" i="9"/>
  <c r="T224" i="9"/>
  <c r="L225" i="9"/>
  <c r="P225" i="9"/>
  <c r="T225" i="9"/>
  <c r="L226" i="9"/>
  <c r="P226" i="9"/>
  <c r="T226" i="9"/>
  <c r="L227" i="9"/>
  <c r="P227" i="9"/>
  <c r="T227" i="9"/>
  <c r="L228" i="9"/>
  <c r="P228" i="9"/>
  <c r="T228" i="9"/>
  <c r="L229" i="9"/>
  <c r="P229" i="9"/>
  <c r="T229" i="9"/>
  <c r="L230" i="9"/>
  <c r="P230" i="9"/>
  <c r="T230" i="9"/>
  <c r="L231" i="9"/>
  <c r="P231" i="9"/>
  <c r="T231" i="9"/>
  <c r="L232" i="9"/>
  <c r="P232" i="9"/>
  <c r="T232" i="9"/>
  <c r="L233" i="9"/>
  <c r="P233" i="9"/>
  <c r="T233" i="9"/>
  <c r="L234" i="9"/>
  <c r="P234" i="9"/>
  <c r="T234" i="9"/>
  <c r="L235" i="9"/>
  <c r="P235" i="9"/>
  <c r="T235" i="9"/>
  <c r="L236" i="9"/>
  <c r="P236" i="9"/>
  <c r="T236" i="9"/>
  <c r="L237" i="9"/>
  <c r="P237" i="9"/>
  <c r="T237" i="9"/>
  <c r="L238" i="9"/>
  <c r="P238" i="9"/>
  <c r="T238" i="9"/>
  <c r="L239" i="9"/>
  <c r="P239" i="9"/>
  <c r="T239" i="9"/>
  <c r="L240" i="9"/>
  <c r="P240" i="9"/>
  <c r="T240" i="9"/>
  <c r="L241" i="9"/>
  <c r="P241" i="9"/>
  <c r="T241" i="9"/>
  <c r="L242" i="9"/>
  <c r="P242" i="9"/>
  <c r="T242" i="9"/>
  <c r="L243" i="9"/>
  <c r="P243" i="9"/>
  <c r="T243" i="9"/>
  <c r="L244" i="9"/>
  <c r="P244" i="9"/>
  <c r="T244" i="9"/>
  <c r="L245" i="9"/>
  <c r="P245" i="9"/>
  <c r="T245" i="9"/>
  <c r="L246" i="9"/>
  <c r="P246" i="9"/>
  <c r="T246" i="9"/>
  <c r="L247" i="9"/>
  <c r="P247" i="9"/>
  <c r="T247" i="9"/>
  <c r="L248" i="9"/>
  <c r="P248" i="9"/>
  <c r="T248" i="9"/>
  <c r="L249" i="9"/>
  <c r="P249" i="9"/>
  <c r="T249" i="9"/>
  <c r="L250" i="9"/>
  <c r="P250" i="9"/>
  <c r="T250" i="9"/>
  <c r="L251" i="9"/>
  <c r="P251" i="9"/>
  <c r="T251" i="9"/>
  <c r="L252" i="9"/>
  <c r="P252" i="9"/>
  <c r="T252" i="9"/>
  <c r="L253" i="9"/>
  <c r="P253" i="9"/>
  <c r="T253" i="9"/>
  <c r="L254" i="9"/>
  <c r="P254" i="9"/>
  <c r="T254" i="9"/>
  <c r="L255" i="9"/>
  <c r="P255" i="9"/>
  <c r="T255" i="9"/>
  <c r="L256" i="9"/>
  <c r="P256" i="9"/>
  <c r="T256" i="9"/>
  <c r="L257" i="9"/>
  <c r="P257" i="9"/>
  <c r="T257" i="9"/>
  <c r="L258" i="9"/>
  <c r="P258" i="9"/>
  <c r="T258" i="9"/>
  <c r="L259" i="9"/>
  <c r="P259" i="9"/>
  <c r="T259" i="9"/>
  <c r="L260" i="9"/>
  <c r="P260" i="9"/>
  <c r="T260" i="9"/>
  <c r="L261" i="9"/>
  <c r="P261" i="9"/>
  <c r="T261" i="9"/>
  <c r="L262" i="9"/>
  <c r="P262" i="9"/>
  <c r="T262" i="9"/>
  <c r="L263" i="9"/>
  <c r="P263" i="9"/>
  <c r="T263" i="9"/>
  <c r="L264" i="9"/>
  <c r="P264" i="9"/>
  <c r="T264" i="9"/>
  <c r="L265" i="9"/>
  <c r="P265" i="9"/>
  <c r="T265" i="9"/>
  <c r="L266" i="9"/>
  <c r="P266" i="9"/>
  <c r="T266" i="9"/>
  <c r="L267" i="9"/>
  <c r="P267" i="9"/>
  <c r="T267" i="9"/>
  <c r="L268" i="9"/>
  <c r="P268" i="9"/>
  <c r="T268" i="9"/>
  <c r="L269" i="9"/>
  <c r="P269" i="9"/>
  <c r="T269" i="9"/>
  <c r="L270" i="9"/>
  <c r="P270" i="9"/>
  <c r="T270" i="9"/>
  <c r="L271" i="9"/>
  <c r="P271" i="9"/>
  <c r="T271" i="9"/>
  <c r="L272" i="9"/>
  <c r="P272" i="9"/>
  <c r="T272" i="9"/>
  <c r="L273" i="9"/>
  <c r="P273" i="9"/>
  <c r="T273" i="9"/>
  <c r="L274" i="9"/>
  <c r="P274" i="9"/>
  <c r="T274" i="9"/>
  <c r="L275" i="9"/>
  <c r="P275" i="9"/>
  <c r="T275" i="9"/>
  <c r="L276" i="9"/>
  <c r="P276" i="9"/>
  <c r="T276" i="9"/>
  <c r="L277" i="9"/>
  <c r="P277" i="9"/>
  <c r="T277" i="9"/>
  <c r="L278" i="9"/>
  <c r="P278" i="9"/>
  <c r="T278" i="9"/>
  <c r="L279" i="9"/>
  <c r="P279" i="9"/>
  <c r="T279" i="9"/>
  <c r="L280" i="9"/>
  <c r="P280" i="9"/>
  <c r="T280" i="9"/>
  <c r="L281" i="9"/>
  <c r="P281" i="9"/>
  <c r="T281" i="9"/>
  <c r="L282" i="9"/>
  <c r="P282" i="9"/>
  <c r="T282" i="9"/>
  <c r="L283" i="9"/>
  <c r="P283" i="9"/>
  <c r="T283" i="9"/>
  <c r="L284" i="9"/>
  <c r="P284" i="9"/>
  <c r="T284" i="9"/>
  <c r="L285" i="9"/>
  <c r="P285" i="9"/>
  <c r="T285" i="9"/>
  <c r="L286" i="9"/>
  <c r="P286" i="9"/>
  <c r="T286" i="9"/>
  <c r="L287" i="9"/>
  <c r="P287" i="9"/>
  <c r="T287" i="9"/>
  <c r="L288" i="9"/>
  <c r="P288" i="9"/>
  <c r="T288" i="9"/>
  <c r="L289" i="9"/>
  <c r="P289" i="9"/>
  <c r="T289" i="9"/>
  <c r="L290" i="9"/>
  <c r="P290" i="9"/>
  <c r="T290" i="9"/>
  <c r="L291" i="9"/>
  <c r="P291" i="9"/>
  <c r="T291" i="9"/>
  <c r="L292" i="9"/>
  <c r="P292" i="9"/>
  <c r="T292" i="9"/>
  <c r="L293" i="9"/>
  <c r="P293" i="9"/>
  <c r="T293" i="9"/>
  <c r="L294" i="9"/>
  <c r="P294" i="9"/>
  <c r="T294" i="9"/>
  <c r="L295" i="9"/>
  <c r="P295" i="9"/>
  <c r="T295" i="9"/>
  <c r="L296" i="9"/>
  <c r="P296" i="9"/>
  <c r="T296" i="9"/>
  <c r="L297" i="9"/>
  <c r="P297" i="9"/>
  <c r="T297" i="9"/>
  <c r="L298" i="9"/>
  <c r="P298" i="9"/>
  <c r="T298" i="9"/>
  <c r="L299" i="9"/>
  <c r="P299" i="9"/>
  <c r="T299" i="9"/>
  <c r="L300" i="9"/>
  <c r="P300" i="9"/>
  <c r="T300" i="9"/>
  <c r="L301" i="9"/>
  <c r="P301" i="9"/>
  <c r="T301" i="9"/>
  <c r="L302" i="9"/>
  <c r="P302" i="9"/>
  <c r="T302" i="9"/>
  <c r="L303" i="9"/>
  <c r="P303" i="9"/>
  <c r="T303" i="9"/>
  <c r="L304" i="9"/>
  <c r="P304" i="9"/>
  <c r="T304" i="9"/>
  <c r="L305" i="9"/>
  <c r="P305" i="9"/>
  <c r="T305" i="9"/>
  <c r="L306" i="9"/>
  <c r="P306" i="9"/>
  <c r="T306" i="9"/>
  <c r="L307" i="9"/>
  <c r="P307" i="9"/>
  <c r="T307" i="9"/>
  <c r="L308" i="9"/>
  <c r="P308" i="9"/>
  <c r="T308" i="9"/>
  <c r="L309" i="9"/>
  <c r="P309" i="9"/>
  <c r="T309" i="9"/>
  <c r="L310" i="9"/>
  <c r="P310" i="9"/>
  <c r="T310" i="9"/>
  <c r="L311" i="9"/>
  <c r="P311" i="9"/>
  <c r="T311" i="9"/>
  <c r="L312" i="9"/>
  <c r="P312" i="9"/>
  <c r="T312" i="9"/>
  <c r="L313" i="9"/>
  <c r="P313" i="9"/>
  <c r="T313" i="9"/>
  <c r="L314" i="9"/>
  <c r="P314" i="9"/>
  <c r="T314" i="9"/>
  <c r="L315" i="9"/>
  <c r="P315" i="9"/>
  <c r="T315" i="9"/>
  <c r="L316" i="9"/>
  <c r="P316" i="9"/>
  <c r="T316" i="9"/>
  <c r="L317" i="9"/>
  <c r="P317" i="9"/>
  <c r="T317" i="9"/>
  <c r="L318" i="9"/>
  <c r="P318" i="9"/>
  <c r="T318" i="9"/>
  <c r="L319" i="9"/>
  <c r="P319" i="9"/>
  <c r="T319" i="9"/>
  <c r="L320" i="9"/>
  <c r="P320" i="9"/>
  <c r="T320" i="9"/>
  <c r="L321" i="9"/>
  <c r="P321" i="9"/>
  <c r="T321" i="9"/>
  <c r="L322" i="9"/>
  <c r="P322" i="9"/>
  <c r="T322" i="9"/>
  <c r="L323" i="9"/>
  <c r="P323" i="9"/>
  <c r="T323" i="9"/>
  <c r="L324" i="9"/>
  <c r="P324" i="9"/>
  <c r="T324" i="9"/>
  <c r="L325" i="9"/>
  <c r="P325" i="9"/>
  <c r="T325" i="9"/>
  <c r="L326" i="9"/>
  <c r="P326" i="9"/>
  <c r="T326" i="9"/>
  <c r="L327" i="9"/>
  <c r="P327" i="9"/>
  <c r="T327" i="9"/>
  <c r="L328" i="9"/>
  <c r="P328" i="9"/>
  <c r="T328" i="9"/>
  <c r="L329" i="9"/>
  <c r="P329" i="9"/>
  <c r="T329" i="9"/>
  <c r="L330" i="9"/>
  <c r="P330" i="9"/>
  <c r="T330" i="9"/>
  <c r="L331" i="9"/>
  <c r="P331" i="9"/>
  <c r="T331" i="9"/>
  <c r="L332" i="9"/>
  <c r="P332" i="9"/>
  <c r="T332" i="9"/>
  <c r="L333" i="9"/>
  <c r="P333" i="9"/>
  <c r="T333" i="9"/>
  <c r="L334" i="9"/>
  <c r="P334" i="9"/>
  <c r="T334" i="9"/>
  <c r="L335" i="9"/>
  <c r="P335" i="9"/>
  <c r="T335" i="9"/>
  <c r="L336" i="9"/>
  <c r="P336" i="9"/>
  <c r="T336" i="9"/>
  <c r="L337" i="9"/>
  <c r="P337" i="9"/>
  <c r="T337" i="9"/>
  <c r="L338" i="9"/>
  <c r="P338" i="9"/>
  <c r="T338" i="9"/>
  <c r="L339" i="9"/>
  <c r="P339" i="9"/>
  <c r="T339" i="9"/>
  <c r="L340" i="9"/>
  <c r="P340" i="9"/>
  <c r="T340" i="9"/>
  <c r="L341" i="9"/>
  <c r="P341" i="9"/>
  <c r="T341" i="9"/>
  <c r="L342" i="9"/>
  <c r="P342" i="9"/>
  <c r="T342" i="9"/>
  <c r="L343" i="9"/>
  <c r="P343" i="9"/>
  <c r="T343" i="9"/>
  <c r="L344" i="9"/>
  <c r="P344" i="9"/>
  <c r="T344" i="9"/>
  <c r="L345" i="9"/>
  <c r="P345" i="9"/>
  <c r="T345" i="9"/>
  <c r="L346" i="9"/>
  <c r="P346" i="9"/>
  <c r="T346" i="9"/>
  <c r="L347" i="9"/>
  <c r="P347" i="9"/>
  <c r="T347" i="9"/>
  <c r="L348" i="9"/>
  <c r="P348" i="9"/>
  <c r="T348" i="9"/>
  <c r="L349" i="9"/>
  <c r="P349" i="9"/>
  <c r="T349" i="9"/>
  <c r="L350" i="9"/>
  <c r="P350" i="9"/>
  <c r="T350" i="9"/>
  <c r="L351" i="9"/>
  <c r="P351" i="9"/>
  <c r="T351" i="9"/>
  <c r="L352" i="9"/>
  <c r="P352" i="9"/>
  <c r="T352" i="9"/>
  <c r="L353" i="9"/>
  <c r="P353" i="9"/>
  <c r="T353" i="9"/>
  <c r="L354" i="9"/>
  <c r="P354" i="9"/>
  <c r="T354" i="9"/>
  <c r="L355" i="9"/>
  <c r="P355" i="9"/>
  <c r="T355" i="9"/>
  <c r="L356" i="9"/>
  <c r="P356" i="9"/>
  <c r="T356" i="9"/>
  <c r="L357" i="9"/>
  <c r="P357" i="9"/>
  <c r="T357" i="9"/>
  <c r="L358" i="9"/>
  <c r="P358" i="9"/>
  <c r="T358" i="9"/>
  <c r="L359" i="9"/>
  <c r="P359" i="9"/>
  <c r="T359" i="9"/>
  <c r="L360" i="9"/>
  <c r="P360" i="9"/>
  <c r="T360" i="9"/>
  <c r="L361" i="9"/>
  <c r="P361" i="9"/>
  <c r="T361" i="9"/>
  <c r="L362" i="9"/>
  <c r="P362" i="9"/>
  <c r="T362" i="9"/>
  <c r="L363" i="9"/>
  <c r="P363" i="9"/>
  <c r="T363" i="9"/>
  <c r="L364" i="9"/>
  <c r="P364" i="9"/>
  <c r="T364" i="9"/>
  <c r="L365" i="9"/>
  <c r="P365" i="9"/>
  <c r="T365" i="9"/>
  <c r="L366" i="9"/>
  <c r="P366" i="9"/>
  <c r="T366" i="9"/>
  <c r="L367" i="9"/>
  <c r="P367" i="9"/>
  <c r="T367" i="9"/>
  <c r="L368" i="9"/>
  <c r="P368" i="9"/>
  <c r="T368" i="9"/>
  <c r="L369" i="9"/>
  <c r="P369" i="9"/>
  <c r="T369" i="9"/>
  <c r="L370" i="9"/>
  <c r="P370" i="9"/>
  <c r="T370" i="9"/>
  <c r="L371" i="9"/>
  <c r="P371" i="9"/>
  <c r="T371" i="9"/>
  <c r="L372" i="9"/>
  <c r="P372" i="9"/>
  <c r="T372" i="9"/>
  <c r="L373" i="9"/>
  <c r="P373" i="9"/>
  <c r="T373" i="9"/>
  <c r="L374" i="9"/>
  <c r="P374" i="9"/>
  <c r="T374" i="9"/>
  <c r="L375" i="9"/>
  <c r="P375" i="9"/>
  <c r="T375" i="9"/>
  <c r="L376" i="9"/>
  <c r="P376" i="9"/>
  <c r="T376" i="9"/>
  <c r="L377" i="9"/>
  <c r="P377" i="9"/>
  <c r="T377" i="9"/>
  <c r="L378" i="9"/>
  <c r="P378" i="9"/>
  <c r="T378" i="9"/>
  <c r="L379" i="9"/>
  <c r="P379" i="9"/>
  <c r="T379" i="9"/>
  <c r="L380" i="9"/>
  <c r="P380" i="9"/>
  <c r="T380" i="9"/>
  <c r="L381" i="9"/>
  <c r="P381" i="9"/>
  <c r="T381" i="9"/>
  <c r="L382" i="9"/>
  <c r="P382" i="9"/>
  <c r="T382" i="9"/>
  <c r="L383" i="9"/>
  <c r="P383" i="9"/>
  <c r="T383" i="9"/>
  <c r="L384" i="9"/>
  <c r="P384" i="9"/>
  <c r="T384" i="9"/>
  <c r="L385" i="9"/>
  <c r="P385" i="9"/>
  <c r="T385" i="9"/>
  <c r="L386" i="9"/>
  <c r="P386" i="9"/>
  <c r="T386" i="9"/>
  <c r="L387" i="9"/>
  <c r="P387" i="9"/>
  <c r="T387" i="9"/>
  <c r="L388" i="9"/>
  <c r="P388" i="9"/>
  <c r="T388" i="9"/>
  <c r="L389" i="9"/>
  <c r="P389" i="9"/>
  <c r="T389" i="9"/>
  <c r="L390" i="9"/>
  <c r="P390" i="9"/>
  <c r="T390" i="9"/>
  <c r="L391" i="9"/>
  <c r="P391" i="9"/>
  <c r="T391" i="9"/>
  <c r="L392" i="9"/>
  <c r="P392" i="9"/>
  <c r="T392" i="9"/>
  <c r="L393" i="9"/>
  <c r="P393" i="9"/>
  <c r="T393" i="9"/>
  <c r="L394" i="9"/>
  <c r="P394" i="9"/>
  <c r="T394" i="9"/>
  <c r="L395" i="9"/>
  <c r="P395" i="9"/>
  <c r="T395" i="9"/>
  <c r="L396" i="9"/>
  <c r="P396" i="9"/>
  <c r="T396" i="9"/>
  <c r="L397" i="9"/>
  <c r="P397" i="9"/>
  <c r="T397" i="9"/>
  <c r="L398" i="9"/>
  <c r="P398" i="9"/>
  <c r="T398" i="9"/>
  <c r="L399" i="9"/>
  <c r="P399" i="9"/>
  <c r="T399" i="9"/>
  <c r="L400" i="9"/>
  <c r="P400" i="9"/>
  <c r="T400" i="9"/>
  <c r="L401" i="9"/>
  <c r="P401" i="9"/>
  <c r="T401" i="9"/>
  <c r="L402" i="9"/>
  <c r="P402" i="9"/>
  <c r="T402" i="9"/>
  <c r="L403" i="9"/>
  <c r="P403" i="9"/>
  <c r="T403" i="9"/>
  <c r="L404" i="9"/>
  <c r="P404" i="9"/>
  <c r="T404" i="9"/>
  <c r="L405" i="9"/>
  <c r="P405" i="9"/>
  <c r="T405" i="9"/>
  <c r="L406" i="9"/>
  <c r="P406" i="9"/>
  <c r="T406" i="9"/>
  <c r="L407" i="9"/>
  <c r="P407" i="9"/>
  <c r="T407" i="9"/>
  <c r="L408" i="9"/>
  <c r="P408" i="9"/>
  <c r="T408" i="9"/>
  <c r="L409" i="9"/>
  <c r="P409" i="9"/>
  <c r="T409" i="9"/>
  <c r="L410" i="9"/>
  <c r="P410" i="9"/>
  <c r="T410" i="9"/>
  <c r="L411" i="9"/>
  <c r="P411" i="9"/>
  <c r="T411" i="9"/>
  <c r="L412" i="9"/>
  <c r="P412" i="9"/>
  <c r="T412" i="9"/>
  <c r="L413" i="9"/>
  <c r="P413" i="9"/>
  <c r="T413" i="9"/>
  <c r="L414" i="9"/>
  <c r="P414" i="9"/>
  <c r="T414" i="9"/>
  <c r="L415" i="9"/>
  <c r="P415" i="9"/>
  <c r="T415" i="9"/>
  <c r="L416" i="9"/>
  <c r="P416" i="9"/>
  <c r="T416" i="9"/>
  <c r="L417" i="9"/>
  <c r="P417" i="9"/>
  <c r="T417" i="9"/>
  <c r="L418" i="9"/>
  <c r="P418" i="9"/>
  <c r="T418" i="9"/>
  <c r="L419" i="9"/>
  <c r="P419" i="9"/>
  <c r="T419" i="9"/>
  <c r="L420" i="9"/>
  <c r="P420" i="9"/>
  <c r="T420" i="9"/>
  <c r="L421" i="9"/>
  <c r="P421" i="9"/>
  <c r="T421" i="9"/>
  <c r="L422" i="9"/>
  <c r="P422" i="9"/>
  <c r="T422" i="9"/>
  <c r="L423" i="9"/>
  <c r="P423" i="9"/>
  <c r="T423" i="9"/>
  <c r="L424" i="9"/>
  <c r="P424" i="9"/>
  <c r="T424" i="9"/>
  <c r="L425" i="9"/>
  <c r="P425" i="9"/>
  <c r="T425" i="9"/>
  <c r="L426" i="9"/>
  <c r="P426" i="9"/>
  <c r="T426" i="9"/>
  <c r="L427" i="9"/>
  <c r="P427" i="9"/>
  <c r="T427" i="9"/>
  <c r="L428" i="9"/>
  <c r="P428" i="9"/>
  <c r="T428" i="9"/>
  <c r="L429" i="9"/>
  <c r="P429" i="9"/>
  <c r="T429" i="9"/>
  <c r="L430" i="9"/>
  <c r="P430" i="9"/>
  <c r="T430" i="9"/>
  <c r="L431" i="9"/>
  <c r="P431" i="9"/>
  <c r="T431" i="9"/>
  <c r="L432" i="9"/>
  <c r="P432" i="9"/>
  <c r="T432" i="9"/>
  <c r="L433" i="9"/>
  <c r="P433" i="9"/>
  <c r="T433" i="9"/>
  <c r="L434" i="9"/>
  <c r="P434" i="9"/>
  <c r="T434" i="9"/>
  <c r="L435" i="9"/>
  <c r="P435" i="9"/>
  <c r="T435" i="9"/>
  <c r="L436" i="9"/>
  <c r="P436" i="9"/>
  <c r="T436" i="9"/>
  <c r="L437" i="9"/>
  <c r="P437" i="9"/>
  <c r="T437" i="9"/>
  <c r="L438" i="9"/>
  <c r="P438" i="9"/>
  <c r="T438" i="9"/>
  <c r="L439" i="9"/>
  <c r="P439" i="9"/>
  <c r="T439" i="9"/>
  <c r="L440" i="9"/>
  <c r="P440" i="9"/>
  <c r="T440" i="9"/>
  <c r="L441" i="9"/>
  <c r="P441" i="9"/>
  <c r="T441" i="9"/>
  <c r="L442" i="9"/>
  <c r="P442" i="9"/>
  <c r="T442" i="9"/>
  <c r="L443" i="9"/>
  <c r="P443" i="9"/>
  <c r="T443" i="9"/>
  <c r="L444" i="9"/>
  <c r="P444" i="9"/>
  <c r="T444" i="9"/>
  <c r="L445" i="9"/>
  <c r="P445" i="9"/>
  <c r="T445" i="9"/>
  <c r="L446" i="9"/>
  <c r="P446" i="9"/>
  <c r="T446" i="9"/>
  <c r="L447" i="9"/>
  <c r="P447" i="9"/>
  <c r="T447" i="9"/>
  <c r="L448" i="9"/>
  <c r="P448" i="9"/>
  <c r="T448" i="9"/>
  <c r="L449" i="9"/>
  <c r="P449" i="9"/>
  <c r="T449" i="9"/>
  <c r="L450" i="9"/>
  <c r="P450" i="9"/>
  <c r="T450" i="9"/>
  <c r="L451" i="9"/>
  <c r="P451" i="9"/>
  <c r="T451" i="9"/>
  <c r="L452" i="9"/>
  <c r="P452" i="9"/>
  <c r="T452" i="9"/>
  <c r="L453" i="9"/>
  <c r="P453" i="9"/>
  <c r="T453" i="9"/>
  <c r="L454" i="9"/>
  <c r="P454" i="9"/>
  <c r="T454" i="9"/>
  <c r="L455" i="9"/>
  <c r="P455" i="9"/>
  <c r="T455" i="9"/>
  <c r="L456" i="9"/>
  <c r="P456" i="9"/>
  <c r="T456" i="9"/>
  <c r="L457" i="9"/>
  <c r="P457" i="9"/>
  <c r="T457" i="9"/>
  <c r="L458" i="9"/>
  <c r="P458" i="9"/>
  <c r="T458" i="9"/>
  <c r="L459" i="9"/>
  <c r="P459" i="9"/>
  <c r="T459" i="9"/>
  <c r="L460" i="9"/>
  <c r="P460" i="9"/>
  <c r="T460" i="9"/>
  <c r="L461" i="9"/>
  <c r="P461" i="9"/>
  <c r="T461" i="9"/>
  <c r="L462" i="9"/>
  <c r="P462" i="9"/>
  <c r="T462" i="9"/>
  <c r="L463" i="9"/>
  <c r="P463" i="9"/>
  <c r="T463" i="9"/>
  <c r="L464" i="9"/>
  <c r="P464" i="9"/>
  <c r="T464" i="9"/>
  <c r="L465" i="9"/>
  <c r="P465" i="9"/>
  <c r="T465" i="9"/>
  <c r="L466" i="9"/>
  <c r="P466" i="9"/>
  <c r="T466" i="9"/>
  <c r="L467" i="9"/>
  <c r="P467" i="9"/>
  <c r="T467" i="9"/>
  <c r="L468" i="9"/>
  <c r="P468" i="9"/>
  <c r="T468" i="9"/>
  <c r="L469" i="9"/>
  <c r="P469" i="9"/>
  <c r="T469" i="9"/>
  <c r="L470" i="9"/>
  <c r="P470" i="9"/>
  <c r="T470" i="9"/>
  <c r="L471" i="9"/>
  <c r="P471" i="9"/>
  <c r="T471" i="9"/>
  <c r="L472" i="9"/>
  <c r="P472" i="9"/>
  <c r="T472" i="9"/>
  <c r="L473" i="9"/>
  <c r="P473" i="9"/>
  <c r="T473" i="9"/>
  <c r="L474" i="9"/>
  <c r="P474" i="9"/>
  <c r="T474" i="9"/>
  <c r="L475" i="9"/>
  <c r="P475" i="9"/>
  <c r="T475" i="9"/>
  <c r="L476" i="9"/>
  <c r="P476" i="9"/>
  <c r="T476" i="9"/>
  <c r="L477" i="9"/>
  <c r="P477" i="9"/>
  <c r="T477" i="9"/>
  <c r="L478" i="9"/>
  <c r="P478" i="9"/>
  <c r="T478" i="9"/>
  <c r="L479" i="9"/>
  <c r="P479" i="9"/>
  <c r="T479" i="9"/>
  <c r="L480" i="9"/>
  <c r="P480" i="9"/>
  <c r="T480" i="9"/>
  <c r="L481" i="9"/>
  <c r="P481" i="9"/>
  <c r="T481" i="9"/>
  <c r="L482" i="9"/>
  <c r="P482" i="9"/>
  <c r="T482" i="9"/>
  <c r="L483" i="9"/>
  <c r="P483" i="9"/>
  <c r="T483" i="9"/>
  <c r="L484" i="9"/>
  <c r="P484" i="9"/>
  <c r="T484" i="9"/>
  <c r="L485" i="9"/>
  <c r="P485" i="9"/>
  <c r="T485" i="9"/>
  <c r="L486" i="9"/>
  <c r="P486" i="9"/>
  <c r="T486" i="9"/>
  <c r="L487" i="9"/>
  <c r="P487" i="9"/>
  <c r="T487" i="9"/>
  <c r="L488" i="9"/>
  <c r="P488" i="9"/>
  <c r="T488" i="9"/>
  <c r="L489" i="9"/>
  <c r="P489" i="9"/>
  <c r="T489" i="9"/>
  <c r="L490" i="9"/>
  <c r="P490" i="9"/>
  <c r="T490" i="9"/>
  <c r="L491" i="9"/>
  <c r="P491" i="9"/>
  <c r="T491" i="9"/>
  <c r="L492" i="9"/>
  <c r="P492" i="9"/>
  <c r="T492" i="9"/>
  <c r="L493" i="9"/>
  <c r="P493" i="9"/>
  <c r="T493" i="9"/>
  <c r="L494" i="9"/>
  <c r="P494" i="9"/>
  <c r="T494" i="9"/>
  <c r="L495" i="9"/>
  <c r="P495" i="9"/>
  <c r="T495" i="9"/>
  <c r="L496" i="9"/>
  <c r="P496" i="9"/>
  <c r="T496" i="9"/>
  <c r="L497" i="9"/>
  <c r="P497" i="9"/>
  <c r="T497" i="9"/>
  <c r="L498" i="9"/>
  <c r="P498" i="9"/>
  <c r="T498" i="9"/>
  <c r="L499" i="9"/>
  <c r="P499" i="9"/>
  <c r="T499" i="9"/>
  <c r="L500" i="9"/>
  <c r="P500" i="9"/>
  <c r="T500" i="9"/>
  <c r="L501" i="9"/>
  <c r="P501" i="9"/>
  <c r="T501" i="9"/>
  <c r="L502" i="9"/>
  <c r="P502" i="9"/>
  <c r="T502" i="9"/>
  <c r="L503" i="9"/>
  <c r="P503" i="9"/>
  <c r="T503" i="9"/>
  <c r="L504" i="9"/>
  <c r="P504" i="9"/>
  <c r="T504" i="9"/>
  <c r="L505" i="9"/>
  <c r="P505" i="9"/>
  <c r="T505" i="9"/>
  <c r="L506" i="9"/>
  <c r="P506" i="9"/>
  <c r="T506" i="9"/>
  <c r="L507" i="9"/>
  <c r="P507" i="9"/>
  <c r="T507" i="9"/>
  <c r="L508" i="9"/>
  <c r="P508" i="9"/>
  <c r="T508" i="9"/>
  <c r="L509" i="9"/>
  <c r="P509" i="9"/>
  <c r="T509" i="9"/>
  <c r="L510" i="9"/>
  <c r="P510" i="9"/>
  <c r="T510" i="9"/>
  <c r="L511" i="9"/>
  <c r="P511" i="9"/>
  <c r="T511" i="9"/>
  <c r="T31" i="9"/>
  <c r="P31" i="9"/>
  <c r="L31" i="9"/>
  <c r="B4" i="6"/>
  <c r="O10" i="8"/>
  <c r="G10" i="9"/>
  <c r="D46" i="9"/>
  <c r="R46" i="9" s="1"/>
  <c r="D47" i="9"/>
  <c r="R47" i="9" s="1"/>
  <c r="D48" i="9"/>
  <c r="R48" i="9" s="1"/>
  <c r="D49" i="9"/>
  <c r="R49" i="9" s="1"/>
  <c r="D50" i="9"/>
  <c r="R50" i="9" s="1"/>
  <c r="D51" i="9"/>
  <c r="R51" i="9" s="1"/>
  <c r="D52" i="9"/>
  <c r="R52" i="9" s="1"/>
  <c r="D53" i="9"/>
  <c r="R53" i="9" s="1"/>
  <c r="D54" i="9"/>
  <c r="R54" i="9" s="1"/>
  <c r="D55" i="9"/>
  <c r="R55" i="9" s="1"/>
  <c r="D56" i="9"/>
  <c r="R56" i="9" s="1"/>
  <c r="D57" i="9"/>
  <c r="R57" i="9" s="1"/>
  <c r="D58" i="9"/>
  <c r="R58" i="9" s="1"/>
  <c r="D59" i="9"/>
  <c r="R59" i="9" s="1"/>
  <c r="D60" i="9"/>
  <c r="R60" i="9" s="1"/>
  <c r="D61" i="9"/>
  <c r="R61" i="9" s="1"/>
  <c r="D62" i="9"/>
  <c r="R62" i="9" s="1"/>
  <c r="D63" i="9"/>
  <c r="R63" i="9" s="1"/>
  <c r="D64" i="9"/>
  <c r="R64" i="9" s="1"/>
  <c r="D65" i="9"/>
  <c r="R65" i="9" s="1"/>
  <c r="D66" i="9"/>
  <c r="R66" i="9" s="1"/>
  <c r="D67" i="9"/>
  <c r="R67" i="9" s="1"/>
  <c r="D68" i="9"/>
  <c r="R68" i="9" s="1"/>
  <c r="D69" i="9"/>
  <c r="R69" i="9" s="1"/>
  <c r="D70" i="9"/>
  <c r="R70" i="9" s="1"/>
  <c r="D71" i="9"/>
  <c r="R71" i="9" s="1"/>
  <c r="D72" i="9"/>
  <c r="R72" i="9" s="1"/>
  <c r="D73" i="9"/>
  <c r="R73" i="9" s="1"/>
  <c r="D74" i="9"/>
  <c r="R74" i="9" s="1"/>
  <c r="D75" i="9"/>
  <c r="R75" i="9" s="1"/>
  <c r="D76" i="9"/>
  <c r="R76" i="9" s="1"/>
  <c r="D77" i="9"/>
  <c r="R77" i="9" s="1"/>
  <c r="D78" i="9"/>
  <c r="R78" i="9" s="1"/>
  <c r="D79" i="9"/>
  <c r="R79" i="9" s="1"/>
  <c r="D80" i="9"/>
  <c r="R80" i="9" s="1"/>
  <c r="D81" i="9"/>
  <c r="R81" i="9" s="1"/>
  <c r="D82" i="9"/>
  <c r="R82" i="9" s="1"/>
  <c r="D83" i="9"/>
  <c r="R83" i="9" s="1"/>
  <c r="D84" i="9"/>
  <c r="R84" i="9" s="1"/>
  <c r="D85" i="9"/>
  <c r="R85" i="9" s="1"/>
  <c r="D86" i="9"/>
  <c r="R86" i="9" s="1"/>
  <c r="D87" i="9"/>
  <c r="R87" i="9" s="1"/>
  <c r="D88" i="9"/>
  <c r="R88" i="9" s="1"/>
  <c r="D89" i="9"/>
  <c r="R89" i="9" s="1"/>
  <c r="D90" i="9"/>
  <c r="R90" i="9" s="1"/>
  <c r="D91" i="9"/>
  <c r="R91" i="9" s="1"/>
  <c r="D92" i="9"/>
  <c r="R92" i="9" s="1"/>
  <c r="D93" i="9"/>
  <c r="R93" i="9" s="1"/>
  <c r="D94" i="9"/>
  <c r="R94" i="9" s="1"/>
  <c r="D95" i="9"/>
  <c r="R95" i="9" s="1"/>
  <c r="D96" i="9"/>
  <c r="R96" i="9" s="1"/>
  <c r="D97" i="9"/>
  <c r="R97" i="9" s="1"/>
  <c r="D98" i="9"/>
  <c r="R98" i="9" s="1"/>
  <c r="D99" i="9"/>
  <c r="R99" i="9" s="1"/>
  <c r="D100" i="9"/>
  <c r="R100" i="9" s="1"/>
  <c r="D101" i="9"/>
  <c r="R101" i="9" s="1"/>
  <c r="D102" i="9"/>
  <c r="R102" i="9" s="1"/>
  <c r="D103" i="9"/>
  <c r="R103" i="9" s="1"/>
  <c r="D104" i="9"/>
  <c r="R104" i="9" s="1"/>
  <c r="D105" i="9"/>
  <c r="R105" i="9" s="1"/>
  <c r="D106" i="9"/>
  <c r="R106" i="9" s="1"/>
  <c r="D107" i="9"/>
  <c r="R107" i="9" s="1"/>
  <c r="D108" i="9"/>
  <c r="R108" i="9" s="1"/>
  <c r="D109" i="9"/>
  <c r="R109" i="9" s="1"/>
  <c r="D110" i="9"/>
  <c r="R110" i="9" s="1"/>
  <c r="D111" i="9"/>
  <c r="R111" i="9" s="1"/>
  <c r="D112" i="9"/>
  <c r="R112" i="9" s="1"/>
  <c r="D113" i="9"/>
  <c r="R113" i="9" s="1"/>
  <c r="D114" i="9"/>
  <c r="R114" i="9" s="1"/>
  <c r="D115" i="9"/>
  <c r="R115" i="9" s="1"/>
  <c r="D116" i="9"/>
  <c r="R116" i="9" s="1"/>
  <c r="D117" i="9"/>
  <c r="R117" i="9" s="1"/>
  <c r="D118" i="9"/>
  <c r="R118" i="9" s="1"/>
  <c r="D119" i="9"/>
  <c r="R119" i="9" s="1"/>
  <c r="D120" i="9"/>
  <c r="R120" i="9" s="1"/>
  <c r="D121" i="9"/>
  <c r="R121" i="9" s="1"/>
  <c r="D122" i="9"/>
  <c r="R122" i="9" s="1"/>
  <c r="D123" i="9"/>
  <c r="R123" i="9" s="1"/>
  <c r="D124" i="9"/>
  <c r="R124" i="9" s="1"/>
  <c r="D125" i="9"/>
  <c r="R125" i="9" s="1"/>
  <c r="D126" i="9"/>
  <c r="R126" i="9" s="1"/>
  <c r="D127" i="9"/>
  <c r="R127" i="9" s="1"/>
  <c r="D128" i="9"/>
  <c r="R128" i="9" s="1"/>
  <c r="D129" i="9"/>
  <c r="R129" i="9" s="1"/>
  <c r="D130" i="9"/>
  <c r="R130" i="9" s="1"/>
  <c r="D131" i="9"/>
  <c r="R131" i="9" s="1"/>
  <c r="D132" i="9"/>
  <c r="R132" i="9" s="1"/>
  <c r="D133" i="9"/>
  <c r="R133" i="9" s="1"/>
  <c r="D134" i="9"/>
  <c r="R134" i="9" s="1"/>
  <c r="D135" i="9"/>
  <c r="R135" i="9" s="1"/>
  <c r="D136" i="9"/>
  <c r="R136" i="9" s="1"/>
  <c r="D137" i="9"/>
  <c r="R137" i="9" s="1"/>
  <c r="D138" i="9"/>
  <c r="R138" i="9" s="1"/>
  <c r="D139" i="9"/>
  <c r="R139" i="9" s="1"/>
  <c r="D140" i="9"/>
  <c r="R140" i="9" s="1"/>
  <c r="D141" i="9"/>
  <c r="R141" i="9" s="1"/>
  <c r="D142" i="9"/>
  <c r="R142" i="9" s="1"/>
  <c r="D143" i="9"/>
  <c r="R143" i="9" s="1"/>
  <c r="D144" i="9"/>
  <c r="R144" i="9" s="1"/>
  <c r="D145" i="9"/>
  <c r="R145" i="9" s="1"/>
  <c r="D146" i="9"/>
  <c r="R146" i="9" s="1"/>
  <c r="D147" i="9"/>
  <c r="R147" i="9" s="1"/>
  <c r="D148" i="9"/>
  <c r="R148" i="9" s="1"/>
  <c r="D149" i="9"/>
  <c r="R149" i="9" s="1"/>
  <c r="D150" i="9"/>
  <c r="R150" i="9" s="1"/>
  <c r="D151" i="9"/>
  <c r="R151" i="9" s="1"/>
  <c r="D152" i="9"/>
  <c r="R152" i="9" s="1"/>
  <c r="D153" i="9"/>
  <c r="R153" i="9" s="1"/>
  <c r="D154" i="9"/>
  <c r="R154" i="9" s="1"/>
  <c r="D155" i="9"/>
  <c r="R155" i="9" s="1"/>
  <c r="D156" i="9"/>
  <c r="R156" i="9" s="1"/>
  <c r="D157" i="9"/>
  <c r="R157" i="9" s="1"/>
  <c r="D158" i="9"/>
  <c r="R158" i="9" s="1"/>
  <c r="D159" i="9"/>
  <c r="R159" i="9" s="1"/>
  <c r="D160" i="9"/>
  <c r="R160" i="9" s="1"/>
  <c r="D161" i="9"/>
  <c r="R161" i="9" s="1"/>
  <c r="D162" i="9"/>
  <c r="R162" i="9" s="1"/>
  <c r="D163" i="9"/>
  <c r="R163" i="9" s="1"/>
  <c r="D164" i="9"/>
  <c r="R164" i="9" s="1"/>
  <c r="D165" i="9"/>
  <c r="R165" i="9" s="1"/>
  <c r="D166" i="9"/>
  <c r="R166" i="9" s="1"/>
  <c r="D167" i="9"/>
  <c r="R167" i="9" s="1"/>
  <c r="D168" i="9"/>
  <c r="R168" i="9" s="1"/>
  <c r="D169" i="9"/>
  <c r="R169" i="9" s="1"/>
  <c r="D170" i="9"/>
  <c r="R170" i="9" s="1"/>
  <c r="D171" i="9"/>
  <c r="R171" i="9" s="1"/>
  <c r="D172" i="9"/>
  <c r="R172" i="9" s="1"/>
  <c r="D173" i="9"/>
  <c r="R173" i="9" s="1"/>
  <c r="D174" i="9"/>
  <c r="R174" i="9" s="1"/>
  <c r="D175" i="9"/>
  <c r="R175" i="9" s="1"/>
  <c r="D176" i="9"/>
  <c r="R176" i="9" s="1"/>
  <c r="D177" i="9"/>
  <c r="R177" i="9" s="1"/>
  <c r="D178" i="9"/>
  <c r="R178" i="9" s="1"/>
  <c r="D179" i="9"/>
  <c r="R179" i="9" s="1"/>
  <c r="D180" i="9"/>
  <c r="R180" i="9" s="1"/>
  <c r="D181" i="9"/>
  <c r="R181" i="9" s="1"/>
  <c r="D182" i="9"/>
  <c r="R182" i="9" s="1"/>
  <c r="D183" i="9"/>
  <c r="R183" i="9" s="1"/>
  <c r="D184" i="9"/>
  <c r="R184" i="9" s="1"/>
  <c r="D185" i="9"/>
  <c r="R185" i="9" s="1"/>
  <c r="D186" i="9"/>
  <c r="R186" i="9" s="1"/>
  <c r="D187" i="9"/>
  <c r="R187" i="9" s="1"/>
  <c r="D188" i="9"/>
  <c r="R188" i="9" s="1"/>
  <c r="D189" i="9"/>
  <c r="R189" i="9" s="1"/>
  <c r="D190" i="9"/>
  <c r="R190" i="9" s="1"/>
  <c r="D191" i="9"/>
  <c r="R191" i="9" s="1"/>
  <c r="D192" i="9"/>
  <c r="R192" i="9" s="1"/>
  <c r="D193" i="9"/>
  <c r="R193" i="9" s="1"/>
  <c r="D194" i="9"/>
  <c r="R194" i="9" s="1"/>
  <c r="D195" i="9"/>
  <c r="R195" i="9" s="1"/>
  <c r="D196" i="9"/>
  <c r="R196" i="9" s="1"/>
  <c r="D197" i="9"/>
  <c r="R197" i="9" s="1"/>
  <c r="D198" i="9"/>
  <c r="R198" i="9" s="1"/>
  <c r="D199" i="9"/>
  <c r="R199" i="9" s="1"/>
  <c r="D200" i="9"/>
  <c r="R200" i="9" s="1"/>
  <c r="D201" i="9"/>
  <c r="R201" i="9" s="1"/>
  <c r="D202" i="9"/>
  <c r="R202" i="9" s="1"/>
  <c r="D203" i="9"/>
  <c r="R203" i="9" s="1"/>
  <c r="D204" i="9"/>
  <c r="R204" i="9" s="1"/>
  <c r="D205" i="9"/>
  <c r="R205" i="9" s="1"/>
  <c r="D206" i="9"/>
  <c r="R206" i="9" s="1"/>
  <c r="D207" i="9"/>
  <c r="R207" i="9" s="1"/>
  <c r="D208" i="9"/>
  <c r="R208" i="9" s="1"/>
  <c r="D209" i="9"/>
  <c r="R209" i="9" s="1"/>
  <c r="D210" i="9"/>
  <c r="R210" i="9" s="1"/>
  <c r="D211" i="9"/>
  <c r="R211" i="9" s="1"/>
  <c r="D212" i="9"/>
  <c r="R212" i="9" s="1"/>
  <c r="D213" i="9"/>
  <c r="R213" i="9" s="1"/>
  <c r="D214" i="9"/>
  <c r="R214" i="9" s="1"/>
  <c r="D215" i="9"/>
  <c r="R215" i="9" s="1"/>
  <c r="D216" i="9"/>
  <c r="R216" i="9" s="1"/>
  <c r="D217" i="9"/>
  <c r="R217" i="9" s="1"/>
  <c r="D218" i="9"/>
  <c r="R218" i="9" s="1"/>
  <c r="D219" i="9"/>
  <c r="R219" i="9" s="1"/>
  <c r="D220" i="9"/>
  <c r="R220" i="9" s="1"/>
  <c r="D221" i="9"/>
  <c r="R221" i="9" s="1"/>
  <c r="D222" i="9"/>
  <c r="R222" i="9" s="1"/>
  <c r="D223" i="9"/>
  <c r="R223" i="9" s="1"/>
  <c r="D224" i="9"/>
  <c r="R224" i="9" s="1"/>
  <c r="D225" i="9"/>
  <c r="R225" i="9" s="1"/>
  <c r="D226" i="9"/>
  <c r="R226" i="9" s="1"/>
  <c r="D227" i="9"/>
  <c r="R227" i="9" s="1"/>
  <c r="D228" i="9"/>
  <c r="R228" i="9" s="1"/>
  <c r="D229" i="9"/>
  <c r="R229" i="9" s="1"/>
  <c r="D230" i="9"/>
  <c r="R230" i="9" s="1"/>
  <c r="D231" i="9"/>
  <c r="R231" i="9" s="1"/>
  <c r="D232" i="9"/>
  <c r="R232" i="9" s="1"/>
  <c r="D233" i="9"/>
  <c r="R233" i="9" s="1"/>
  <c r="D234" i="9"/>
  <c r="R234" i="9" s="1"/>
  <c r="D235" i="9"/>
  <c r="R235" i="9" s="1"/>
  <c r="D236" i="9"/>
  <c r="R236" i="9" s="1"/>
  <c r="D237" i="9"/>
  <c r="R237" i="9" s="1"/>
  <c r="D238" i="9"/>
  <c r="R238" i="9" s="1"/>
  <c r="D239" i="9"/>
  <c r="R239" i="9" s="1"/>
  <c r="D240" i="9"/>
  <c r="R240" i="9" s="1"/>
  <c r="D241" i="9"/>
  <c r="R241" i="9" s="1"/>
  <c r="D242" i="9"/>
  <c r="R242" i="9" s="1"/>
  <c r="D243" i="9"/>
  <c r="R243" i="9" s="1"/>
  <c r="D244" i="9"/>
  <c r="R244" i="9" s="1"/>
  <c r="D245" i="9"/>
  <c r="R245" i="9" s="1"/>
  <c r="D246" i="9"/>
  <c r="R246" i="9" s="1"/>
  <c r="D247" i="9"/>
  <c r="R247" i="9" s="1"/>
  <c r="D248" i="9"/>
  <c r="R248" i="9" s="1"/>
  <c r="D249" i="9"/>
  <c r="R249" i="9" s="1"/>
  <c r="D250" i="9"/>
  <c r="R250" i="9" s="1"/>
  <c r="D251" i="9"/>
  <c r="R251" i="9" s="1"/>
  <c r="D252" i="9"/>
  <c r="R252" i="9" s="1"/>
  <c r="D253" i="9"/>
  <c r="R253" i="9" s="1"/>
  <c r="D254" i="9"/>
  <c r="R254" i="9" s="1"/>
  <c r="D255" i="9"/>
  <c r="R255" i="9" s="1"/>
  <c r="D256" i="9"/>
  <c r="R256" i="9" s="1"/>
  <c r="D257" i="9"/>
  <c r="R257" i="9" s="1"/>
  <c r="D258" i="9"/>
  <c r="R258" i="9" s="1"/>
  <c r="D259" i="9"/>
  <c r="R259" i="9" s="1"/>
  <c r="D260" i="9"/>
  <c r="R260" i="9" s="1"/>
  <c r="D261" i="9"/>
  <c r="R261" i="9" s="1"/>
  <c r="D262" i="9"/>
  <c r="R262" i="9" s="1"/>
  <c r="D263" i="9"/>
  <c r="R263" i="9" s="1"/>
  <c r="D264" i="9"/>
  <c r="R264" i="9" s="1"/>
  <c r="D265" i="9"/>
  <c r="R265" i="9" s="1"/>
  <c r="D266" i="9"/>
  <c r="R266" i="9" s="1"/>
  <c r="D267" i="9"/>
  <c r="R267" i="9" s="1"/>
  <c r="D268" i="9"/>
  <c r="R268" i="9" s="1"/>
  <c r="D269" i="9"/>
  <c r="R269" i="9" s="1"/>
  <c r="D270" i="9"/>
  <c r="R270" i="9" s="1"/>
  <c r="D271" i="9"/>
  <c r="R271" i="9" s="1"/>
  <c r="D272" i="9"/>
  <c r="R272" i="9" s="1"/>
  <c r="D273" i="9"/>
  <c r="R273" i="9" s="1"/>
  <c r="D274" i="9"/>
  <c r="R274" i="9" s="1"/>
  <c r="D275" i="9"/>
  <c r="R275" i="9" s="1"/>
  <c r="D276" i="9"/>
  <c r="R276" i="9" s="1"/>
  <c r="D277" i="9"/>
  <c r="R277" i="9" s="1"/>
  <c r="D278" i="9"/>
  <c r="R278" i="9" s="1"/>
  <c r="D279" i="9"/>
  <c r="R279" i="9" s="1"/>
  <c r="D280" i="9"/>
  <c r="R280" i="9" s="1"/>
  <c r="D281" i="9"/>
  <c r="R281" i="9" s="1"/>
  <c r="D282" i="9"/>
  <c r="R282" i="9" s="1"/>
  <c r="D283" i="9"/>
  <c r="R283" i="9" s="1"/>
  <c r="D284" i="9"/>
  <c r="R284" i="9" s="1"/>
  <c r="D285" i="9"/>
  <c r="R285" i="9" s="1"/>
  <c r="D286" i="9"/>
  <c r="R286" i="9" s="1"/>
  <c r="D287" i="9"/>
  <c r="R287" i="9" s="1"/>
  <c r="D288" i="9"/>
  <c r="R288" i="9" s="1"/>
  <c r="D289" i="9"/>
  <c r="R289" i="9" s="1"/>
  <c r="D290" i="9"/>
  <c r="R290" i="9" s="1"/>
  <c r="D291" i="9"/>
  <c r="R291" i="9" s="1"/>
  <c r="D292" i="9"/>
  <c r="R292" i="9" s="1"/>
  <c r="D293" i="9"/>
  <c r="R293" i="9" s="1"/>
  <c r="D294" i="9"/>
  <c r="R294" i="9" s="1"/>
  <c r="D295" i="9"/>
  <c r="R295" i="9" s="1"/>
  <c r="D296" i="9"/>
  <c r="R296" i="9" s="1"/>
  <c r="D297" i="9"/>
  <c r="R297" i="9" s="1"/>
  <c r="D298" i="9"/>
  <c r="R298" i="9" s="1"/>
  <c r="D299" i="9"/>
  <c r="R299" i="9" s="1"/>
  <c r="D300" i="9"/>
  <c r="R300" i="9" s="1"/>
  <c r="D301" i="9"/>
  <c r="R301" i="9" s="1"/>
  <c r="D302" i="9"/>
  <c r="R302" i="9" s="1"/>
  <c r="D303" i="9"/>
  <c r="R303" i="9" s="1"/>
  <c r="D304" i="9"/>
  <c r="R304" i="9" s="1"/>
  <c r="D305" i="9"/>
  <c r="R305" i="9" s="1"/>
  <c r="D306" i="9"/>
  <c r="R306" i="9" s="1"/>
  <c r="D307" i="9"/>
  <c r="R307" i="9" s="1"/>
  <c r="D308" i="9"/>
  <c r="R308" i="9" s="1"/>
  <c r="D309" i="9"/>
  <c r="R309" i="9" s="1"/>
  <c r="D310" i="9"/>
  <c r="R310" i="9" s="1"/>
  <c r="D311" i="9"/>
  <c r="R311" i="9" s="1"/>
  <c r="D312" i="9"/>
  <c r="R312" i="9" s="1"/>
  <c r="D313" i="9"/>
  <c r="R313" i="9" s="1"/>
  <c r="D314" i="9"/>
  <c r="R314" i="9" s="1"/>
  <c r="D315" i="9"/>
  <c r="R315" i="9" s="1"/>
  <c r="D316" i="9"/>
  <c r="R316" i="9" s="1"/>
  <c r="D317" i="9"/>
  <c r="R317" i="9" s="1"/>
  <c r="D318" i="9"/>
  <c r="R318" i="9" s="1"/>
  <c r="D319" i="9"/>
  <c r="R319" i="9" s="1"/>
  <c r="D320" i="9"/>
  <c r="R320" i="9" s="1"/>
  <c r="D321" i="9"/>
  <c r="R321" i="9" s="1"/>
  <c r="D322" i="9"/>
  <c r="R322" i="9" s="1"/>
  <c r="D323" i="9"/>
  <c r="R323" i="9" s="1"/>
  <c r="D324" i="9"/>
  <c r="R324" i="9" s="1"/>
  <c r="D325" i="9"/>
  <c r="R325" i="9" s="1"/>
  <c r="D326" i="9"/>
  <c r="R326" i="9" s="1"/>
  <c r="D327" i="9"/>
  <c r="R327" i="9" s="1"/>
  <c r="D328" i="9"/>
  <c r="R328" i="9" s="1"/>
  <c r="D329" i="9"/>
  <c r="R329" i="9" s="1"/>
  <c r="D330" i="9"/>
  <c r="R330" i="9" s="1"/>
  <c r="D331" i="9"/>
  <c r="R331" i="9" s="1"/>
  <c r="D332" i="9"/>
  <c r="R332" i="9" s="1"/>
  <c r="D333" i="9"/>
  <c r="R333" i="9" s="1"/>
  <c r="D334" i="9"/>
  <c r="R334" i="9" s="1"/>
  <c r="D335" i="9"/>
  <c r="R335" i="9" s="1"/>
  <c r="D336" i="9"/>
  <c r="R336" i="9" s="1"/>
  <c r="D337" i="9"/>
  <c r="R337" i="9" s="1"/>
  <c r="D338" i="9"/>
  <c r="R338" i="9" s="1"/>
  <c r="D339" i="9"/>
  <c r="R339" i="9" s="1"/>
  <c r="D340" i="9"/>
  <c r="R340" i="9" s="1"/>
  <c r="D341" i="9"/>
  <c r="R341" i="9" s="1"/>
  <c r="D342" i="9"/>
  <c r="R342" i="9" s="1"/>
  <c r="D343" i="9"/>
  <c r="R343" i="9" s="1"/>
  <c r="D344" i="9"/>
  <c r="R344" i="9" s="1"/>
  <c r="D345" i="9"/>
  <c r="R345" i="9" s="1"/>
  <c r="D346" i="9"/>
  <c r="R346" i="9" s="1"/>
  <c r="D347" i="9"/>
  <c r="R347" i="9" s="1"/>
  <c r="D348" i="9"/>
  <c r="R348" i="9" s="1"/>
  <c r="D349" i="9"/>
  <c r="R349" i="9" s="1"/>
  <c r="D350" i="9"/>
  <c r="R350" i="9" s="1"/>
  <c r="D351" i="9"/>
  <c r="R351" i="9" s="1"/>
  <c r="D352" i="9"/>
  <c r="R352" i="9" s="1"/>
  <c r="D353" i="9"/>
  <c r="R353" i="9" s="1"/>
  <c r="D354" i="9"/>
  <c r="R354" i="9" s="1"/>
  <c r="D355" i="9"/>
  <c r="R355" i="9" s="1"/>
  <c r="D356" i="9"/>
  <c r="R356" i="9" s="1"/>
  <c r="D357" i="9"/>
  <c r="R357" i="9" s="1"/>
  <c r="D358" i="9"/>
  <c r="R358" i="9" s="1"/>
  <c r="D359" i="9"/>
  <c r="R359" i="9" s="1"/>
  <c r="D360" i="9"/>
  <c r="R360" i="9" s="1"/>
  <c r="D361" i="9"/>
  <c r="R361" i="9" s="1"/>
  <c r="D362" i="9"/>
  <c r="R362" i="9" s="1"/>
  <c r="D363" i="9"/>
  <c r="R363" i="9" s="1"/>
  <c r="D364" i="9"/>
  <c r="R364" i="9" s="1"/>
  <c r="D365" i="9"/>
  <c r="R365" i="9" s="1"/>
  <c r="D366" i="9"/>
  <c r="R366" i="9" s="1"/>
  <c r="D367" i="9"/>
  <c r="R367" i="9" s="1"/>
  <c r="D368" i="9"/>
  <c r="R368" i="9" s="1"/>
  <c r="D369" i="9"/>
  <c r="R369" i="9" s="1"/>
  <c r="D370" i="9"/>
  <c r="R370" i="9" s="1"/>
  <c r="D371" i="9"/>
  <c r="R371" i="9" s="1"/>
  <c r="D372" i="9"/>
  <c r="R372" i="9" s="1"/>
  <c r="D373" i="9"/>
  <c r="R373" i="9" s="1"/>
  <c r="D374" i="9"/>
  <c r="R374" i="9" s="1"/>
  <c r="D375" i="9"/>
  <c r="R375" i="9" s="1"/>
  <c r="D376" i="9"/>
  <c r="R376" i="9" s="1"/>
  <c r="D377" i="9"/>
  <c r="R377" i="9" s="1"/>
  <c r="D378" i="9"/>
  <c r="R378" i="9" s="1"/>
  <c r="D379" i="9"/>
  <c r="R379" i="9" s="1"/>
  <c r="D380" i="9"/>
  <c r="R380" i="9" s="1"/>
  <c r="D381" i="9"/>
  <c r="R381" i="9" s="1"/>
  <c r="D382" i="9"/>
  <c r="R382" i="9" s="1"/>
  <c r="D383" i="9"/>
  <c r="R383" i="9" s="1"/>
  <c r="D384" i="9"/>
  <c r="R384" i="9" s="1"/>
  <c r="D385" i="9"/>
  <c r="R385" i="9" s="1"/>
  <c r="D386" i="9"/>
  <c r="R386" i="9" s="1"/>
  <c r="D387" i="9"/>
  <c r="R387" i="9" s="1"/>
  <c r="D388" i="9"/>
  <c r="R388" i="9" s="1"/>
  <c r="D389" i="9"/>
  <c r="R389" i="9" s="1"/>
  <c r="D390" i="9"/>
  <c r="R390" i="9" s="1"/>
  <c r="D391" i="9"/>
  <c r="R391" i="9" s="1"/>
  <c r="D392" i="9"/>
  <c r="R392" i="9" s="1"/>
  <c r="D393" i="9"/>
  <c r="R393" i="9" s="1"/>
  <c r="D394" i="9"/>
  <c r="R394" i="9" s="1"/>
  <c r="D395" i="9"/>
  <c r="R395" i="9" s="1"/>
  <c r="D396" i="9"/>
  <c r="R396" i="9" s="1"/>
  <c r="D397" i="9"/>
  <c r="R397" i="9" s="1"/>
  <c r="D398" i="9"/>
  <c r="R398" i="9" s="1"/>
  <c r="D399" i="9"/>
  <c r="R399" i="9" s="1"/>
  <c r="D400" i="9"/>
  <c r="R400" i="9" s="1"/>
  <c r="D401" i="9"/>
  <c r="R401" i="9" s="1"/>
  <c r="D402" i="9"/>
  <c r="R402" i="9" s="1"/>
  <c r="D403" i="9"/>
  <c r="R403" i="9" s="1"/>
  <c r="D404" i="9"/>
  <c r="R404" i="9" s="1"/>
  <c r="D405" i="9"/>
  <c r="R405" i="9" s="1"/>
  <c r="D406" i="9"/>
  <c r="R406" i="9" s="1"/>
  <c r="D407" i="9"/>
  <c r="R407" i="9" s="1"/>
  <c r="D408" i="9"/>
  <c r="R408" i="9" s="1"/>
  <c r="D409" i="9"/>
  <c r="R409" i="9" s="1"/>
  <c r="D410" i="9"/>
  <c r="R410" i="9" s="1"/>
  <c r="D411" i="9"/>
  <c r="R411" i="9" s="1"/>
  <c r="D412" i="9"/>
  <c r="R412" i="9" s="1"/>
  <c r="D413" i="9"/>
  <c r="R413" i="9" s="1"/>
  <c r="D414" i="9"/>
  <c r="R414" i="9" s="1"/>
  <c r="D415" i="9"/>
  <c r="R415" i="9" s="1"/>
  <c r="D416" i="9"/>
  <c r="R416" i="9" s="1"/>
  <c r="D417" i="9"/>
  <c r="R417" i="9" s="1"/>
  <c r="D418" i="9"/>
  <c r="R418" i="9" s="1"/>
  <c r="D419" i="9"/>
  <c r="R419" i="9" s="1"/>
  <c r="D420" i="9"/>
  <c r="R420" i="9" s="1"/>
  <c r="D421" i="9"/>
  <c r="R421" i="9" s="1"/>
  <c r="D422" i="9"/>
  <c r="R422" i="9" s="1"/>
  <c r="D423" i="9"/>
  <c r="R423" i="9" s="1"/>
  <c r="D424" i="9"/>
  <c r="R424" i="9" s="1"/>
  <c r="D425" i="9"/>
  <c r="R425" i="9" s="1"/>
  <c r="D426" i="9"/>
  <c r="R426" i="9" s="1"/>
  <c r="D427" i="9"/>
  <c r="R427" i="9" s="1"/>
  <c r="D428" i="9"/>
  <c r="R428" i="9" s="1"/>
  <c r="D429" i="9"/>
  <c r="R429" i="9" s="1"/>
  <c r="D430" i="9"/>
  <c r="R430" i="9" s="1"/>
  <c r="D431" i="9"/>
  <c r="R431" i="9" s="1"/>
  <c r="D432" i="9"/>
  <c r="R432" i="9" s="1"/>
  <c r="D433" i="9"/>
  <c r="R433" i="9" s="1"/>
  <c r="D434" i="9"/>
  <c r="R434" i="9" s="1"/>
  <c r="D435" i="9"/>
  <c r="R435" i="9" s="1"/>
  <c r="D436" i="9"/>
  <c r="R436" i="9" s="1"/>
  <c r="D437" i="9"/>
  <c r="R437" i="9" s="1"/>
  <c r="D438" i="9"/>
  <c r="R438" i="9" s="1"/>
  <c r="D439" i="9"/>
  <c r="R439" i="9" s="1"/>
  <c r="D440" i="9"/>
  <c r="R440" i="9" s="1"/>
  <c r="D441" i="9"/>
  <c r="R441" i="9" s="1"/>
  <c r="D442" i="9"/>
  <c r="R442" i="9" s="1"/>
  <c r="D443" i="9"/>
  <c r="R443" i="9" s="1"/>
  <c r="D444" i="9"/>
  <c r="R444" i="9" s="1"/>
  <c r="D445" i="9"/>
  <c r="R445" i="9" s="1"/>
  <c r="D446" i="9"/>
  <c r="R446" i="9" s="1"/>
  <c r="D447" i="9"/>
  <c r="R447" i="9" s="1"/>
  <c r="D448" i="9"/>
  <c r="R448" i="9" s="1"/>
  <c r="D449" i="9"/>
  <c r="R449" i="9" s="1"/>
  <c r="D450" i="9"/>
  <c r="R450" i="9" s="1"/>
  <c r="D451" i="9"/>
  <c r="R451" i="9" s="1"/>
  <c r="D452" i="9"/>
  <c r="R452" i="9" s="1"/>
  <c r="D453" i="9"/>
  <c r="R453" i="9" s="1"/>
  <c r="D454" i="9"/>
  <c r="R454" i="9" s="1"/>
  <c r="D455" i="9"/>
  <c r="R455" i="9" s="1"/>
  <c r="D456" i="9"/>
  <c r="R456" i="9" s="1"/>
  <c r="D457" i="9"/>
  <c r="R457" i="9" s="1"/>
  <c r="D458" i="9"/>
  <c r="R458" i="9" s="1"/>
  <c r="D459" i="9"/>
  <c r="R459" i="9" s="1"/>
  <c r="D460" i="9"/>
  <c r="R460" i="9" s="1"/>
  <c r="D461" i="9"/>
  <c r="R461" i="9" s="1"/>
  <c r="D462" i="9"/>
  <c r="R462" i="9" s="1"/>
  <c r="D463" i="9"/>
  <c r="R463" i="9" s="1"/>
  <c r="D464" i="9"/>
  <c r="R464" i="9" s="1"/>
  <c r="D465" i="9"/>
  <c r="R465" i="9" s="1"/>
  <c r="D466" i="9"/>
  <c r="R466" i="9" s="1"/>
  <c r="D467" i="9"/>
  <c r="R467" i="9" s="1"/>
  <c r="D468" i="9"/>
  <c r="R468" i="9" s="1"/>
  <c r="D469" i="9"/>
  <c r="R469" i="9" s="1"/>
  <c r="D470" i="9"/>
  <c r="R470" i="9" s="1"/>
  <c r="D471" i="9"/>
  <c r="R471" i="9" s="1"/>
  <c r="D472" i="9"/>
  <c r="R472" i="9" s="1"/>
  <c r="D473" i="9"/>
  <c r="R473" i="9" s="1"/>
  <c r="D474" i="9"/>
  <c r="R474" i="9" s="1"/>
  <c r="D475" i="9"/>
  <c r="R475" i="9" s="1"/>
  <c r="D476" i="9"/>
  <c r="R476" i="9" s="1"/>
  <c r="D477" i="9"/>
  <c r="R477" i="9" s="1"/>
  <c r="D478" i="9"/>
  <c r="R478" i="9" s="1"/>
  <c r="D479" i="9"/>
  <c r="R479" i="9" s="1"/>
  <c r="D480" i="9"/>
  <c r="R480" i="9" s="1"/>
  <c r="D481" i="9"/>
  <c r="R481" i="9" s="1"/>
  <c r="D482" i="9"/>
  <c r="R482" i="9" s="1"/>
  <c r="D483" i="9"/>
  <c r="R483" i="9" s="1"/>
  <c r="D484" i="9"/>
  <c r="R484" i="9" s="1"/>
  <c r="D485" i="9"/>
  <c r="R485" i="9" s="1"/>
  <c r="D486" i="9"/>
  <c r="R486" i="9" s="1"/>
  <c r="D487" i="9"/>
  <c r="R487" i="9" s="1"/>
  <c r="D488" i="9"/>
  <c r="R488" i="9" s="1"/>
  <c r="D489" i="9"/>
  <c r="R489" i="9" s="1"/>
  <c r="D490" i="9"/>
  <c r="R490" i="9" s="1"/>
  <c r="D491" i="9"/>
  <c r="R491" i="9" s="1"/>
  <c r="D492" i="9"/>
  <c r="R492" i="9" s="1"/>
  <c r="D493" i="9"/>
  <c r="R493" i="9" s="1"/>
  <c r="D494" i="9"/>
  <c r="R494" i="9" s="1"/>
  <c r="D495" i="9"/>
  <c r="R495" i="9" s="1"/>
  <c r="D496" i="9"/>
  <c r="R496" i="9" s="1"/>
  <c r="D497" i="9"/>
  <c r="R497" i="9" s="1"/>
  <c r="D498" i="9"/>
  <c r="R498" i="9" s="1"/>
  <c r="D499" i="9"/>
  <c r="R499" i="9" s="1"/>
  <c r="D500" i="9"/>
  <c r="R500" i="9" s="1"/>
  <c r="D501" i="9"/>
  <c r="R501" i="9" s="1"/>
  <c r="D502" i="9"/>
  <c r="R502" i="9" s="1"/>
  <c r="D503" i="9"/>
  <c r="R503" i="9" s="1"/>
  <c r="D504" i="9"/>
  <c r="R504" i="9" s="1"/>
  <c r="D505" i="9"/>
  <c r="R505" i="9" s="1"/>
  <c r="D506" i="9"/>
  <c r="R506" i="9" s="1"/>
  <c r="D507" i="9"/>
  <c r="R507" i="9" s="1"/>
  <c r="D508" i="9"/>
  <c r="R508" i="9" s="1"/>
  <c r="D509" i="9"/>
  <c r="R509" i="9" s="1"/>
  <c r="D510" i="9"/>
  <c r="R510" i="9" s="1"/>
  <c r="D511" i="9"/>
  <c r="R511" i="9" s="1"/>
  <c r="C46" i="9"/>
  <c r="N46" i="9" s="1"/>
  <c r="C47" i="9"/>
  <c r="N47" i="9" s="1"/>
  <c r="C48" i="9"/>
  <c r="N48" i="9" s="1"/>
  <c r="C49" i="9"/>
  <c r="N49" i="9" s="1"/>
  <c r="C50" i="9"/>
  <c r="N50" i="9" s="1"/>
  <c r="C51" i="9"/>
  <c r="N51" i="9" s="1"/>
  <c r="C52" i="9"/>
  <c r="N52" i="9" s="1"/>
  <c r="C53" i="9"/>
  <c r="N53" i="9" s="1"/>
  <c r="C54" i="9"/>
  <c r="N54" i="9" s="1"/>
  <c r="C55" i="9"/>
  <c r="N55" i="9" s="1"/>
  <c r="C56" i="9"/>
  <c r="N56" i="9" s="1"/>
  <c r="C57" i="9"/>
  <c r="N57" i="9" s="1"/>
  <c r="C58" i="9"/>
  <c r="N58" i="9" s="1"/>
  <c r="C59" i="9"/>
  <c r="N59" i="9" s="1"/>
  <c r="C60" i="9"/>
  <c r="N60" i="9" s="1"/>
  <c r="C61" i="9"/>
  <c r="N61" i="9" s="1"/>
  <c r="C62" i="9"/>
  <c r="N62" i="9" s="1"/>
  <c r="C63" i="9"/>
  <c r="N63" i="9" s="1"/>
  <c r="C64" i="9"/>
  <c r="N64" i="9" s="1"/>
  <c r="C65" i="9"/>
  <c r="N65" i="9" s="1"/>
  <c r="C66" i="9"/>
  <c r="N66" i="9" s="1"/>
  <c r="C67" i="9"/>
  <c r="N67" i="9" s="1"/>
  <c r="C68" i="9"/>
  <c r="N68" i="9" s="1"/>
  <c r="C69" i="9"/>
  <c r="N69" i="9" s="1"/>
  <c r="C70" i="9"/>
  <c r="N70" i="9" s="1"/>
  <c r="C71" i="9"/>
  <c r="N71" i="9" s="1"/>
  <c r="C72" i="9"/>
  <c r="N72" i="9" s="1"/>
  <c r="C73" i="9"/>
  <c r="N73" i="9" s="1"/>
  <c r="C74" i="9"/>
  <c r="N74" i="9" s="1"/>
  <c r="C75" i="9"/>
  <c r="N75" i="9" s="1"/>
  <c r="C76" i="9"/>
  <c r="N76" i="9" s="1"/>
  <c r="C77" i="9"/>
  <c r="N77" i="9" s="1"/>
  <c r="C78" i="9"/>
  <c r="N78" i="9" s="1"/>
  <c r="C79" i="9"/>
  <c r="N79" i="9" s="1"/>
  <c r="C80" i="9"/>
  <c r="N80" i="9" s="1"/>
  <c r="C81" i="9"/>
  <c r="N81" i="9" s="1"/>
  <c r="C82" i="9"/>
  <c r="N82" i="9" s="1"/>
  <c r="C83" i="9"/>
  <c r="N83" i="9" s="1"/>
  <c r="C84" i="9"/>
  <c r="N84" i="9" s="1"/>
  <c r="C85" i="9"/>
  <c r="N85" i="9" s="1"/>
  <c r="C86" i="9"/>
  <c r="N86" i="9" s="1"/>
  <c r="C87" i="9"/>
  <c r="N87" i="9" s="1"/>
  <c r="C88" i="9"/>
  <c r="N88" i="9" s="1"/>
  <c r="C89" i="9"/>
  <c r="N89" i="9" s="1"/>
  <c r="C90" i="9"/>
  <c r="N90" i="9" s="1"/>
  <c r="C91" i="9"/>
  <c r="N91" i="9" s="1"/>
  <c r="C92" i="9"/>
  <c r="N92" i="9" s="1"/>
  <c r="C93" i="9"/>
  <c r="N93" i="9" s="1"/>
  <c r="C94" i="9"/>
  <c r="N94" i="9" s="1"/>
  <c r="C95" i="9"/>
  <c r="N95" i="9" s="1"/>
  <c r="C96" i="9"/>
  <c r="N96" i="9" s="1"/>
  <c r="C97" i="9"/>
  <c r="N97" i="9" s="1"/>
  <c r="C98" i="9"/>
  <c r="N98" i="9" s="1"/>
  <c r="C99" i="9"/>
  <c r="N99" i="9" s="1"/>
  <c r="C100" i="9"/>
  <c r="N100" i="9" s="1"/>
  <c r="C101" i="9"/>
  <c r="N101" i="9" s="1"/>
  <c r="C102" i="9"/>
  <c r="N102" i="9" s="1"/>
  <c r="C103" i="9"/>
  <c r="N103" i="9" s="1"/>
  <c r="C104" i="9"/>
  <c r="N104" i="9" s="1"/>
  <c r="C105" i="9"/>
  <c r="N105" i="9" s="1"/>
  <c r="C106" i="9"/>
  <c r="N106" i="9" s="1"/>
  <c r="C107" i="9"/>
  <c r="N107" i="9" s="1"/>
  <c r="C108" i="9"/>
  <c r="N108" i="9" s="1"/>
  <c r="C109" i="9"/>
  <c r="N109" i="9" s="1"/>
  <c r="C110" i="9"/>
  <c r="N110" i="9" s="1"/>
  <c r="C111" i="9"/>
  <c r="N111" i="9" s="1"/>
  <c r="C112" i="9"/>
  <c r="N112" i="9" s="1"/>
  <c r="C113" i="9"/>
  <c r="N113" i="9" s="1"/>
  <c r="C114" i="9"/>
  <c r="N114" i="9" s="1"/>
  <c r="C115" i="9"/>
  <c r="N115" i="9" s="1"/>
  <c r="C116" i="9"/>
  <c r="N116" i="9" s="1"/>
  <c r="C117" i="9"/>
  <c r="N117" i="9" s="1"/>
  <c r="C118" i="9"/>
  <c r="N118" i="9" s="1"/>
  <c r="C119" i="9"/>
  <c r="N119" i="9" s="1"/>
  <c r="C120" i="9"/>
  <c r="N120" i="9" s="1"/>
  <c r="C121" i="9"/>
  <c r="N121" i="9" s="1"/>
  <c r="C122" i="9"/>
  <c r="N122" i="9" s="1"/>
  <c r="C123" i="9"/>
  <c r="N123" i="9" s="1"/>
  <c r="C124" i="9"/>
  <c r="N124" i="9" s="1"/>
  <c r="C125" i="9"/>
  <c r="N125" i="9" s="1"/>
  <c r="C126" i="9"/>
  <c r="N126" i="9" s="1"/>
  <c r="C127" i="9"/>
  <c r="N127" i="9" s="1"/>
  <c r="C128" i="9"/>
  <c r="N128" i="9" s="1"/>
  <c r="C129" i="9"/>
  <c r="N129" i="9" s="1"/>
  <c r="C130" i="9"/>
  <c r="N130" i="9" s="1"/>
  <c r="C131" i="9"/>
  <c r="N131" i="9" s="1"/>
  <c r="C132" i="9"/>
  <c r="N132" i="9" s="1"/>
  <c r="C133" i="9"/>
  <c r="N133" i="9" s="1"/>
  <c r="C134" i="9"/>
  <c r="N134" i="9" s="1"/>
  <c r="C135" i="9"/>
  <c r="N135" i="9" s="1"/>
  <c r="C136" i="9"/>
  <c r="N136" i="9" s="1"/>
  <c r="C137" i="9"/>
  <c r="N137" i="9" s="1"/>
  <c r="C138" i="9"/>
  <c r="N138" i="9" s="1"/>
  <c r="C139" i="9"/>
  <c r="N139" i="9" s="1"/>
  <c r="C140" i="9"/>
  <c r="N140" i="9" s="1"/>
  <c r="C141" i="9"/>
  <c r="N141" i="9" s="1"/>
  <c r="C142" i="9"/>
  <c r="N142" i="9" s="1"/>
  <c r="C143" i="9"/>
  <c r="N143" i="9" s="1"/>
  <c r="C144" i="9"/>
  <c r="N144" i="9" s="1"/>
  <c r="C145" i="9"/>
  <c r="N145" i="9" s="1"/>
  <c r="C146" i="9"/>
  <c r="N146" i="9" s="1"/>
  <c r="C147" i="9"/>
  <c r="N147" i="9" s="1"/>
  <c r="C148" i="9"/>
  <c r="N148" i="9" s="1"/>
  <c r="C149" i="9"/>
  <c r="N149" i="9" s="1"/>
  <c r="C150" i="9"/>
  <c r="N150" i="9" s="1"/>
  <c r="C151" i="9"/>
  <c r="N151" i="9" s="1"/>
  <c r="C152" i="9"/>
  <c r="N152" i="9" s="1"/>
  <c r="C153" i="9"/>
  <c r="N153" i="9" s="1"/>
  <c r="C154" i="9"/>
  <c r="N154" i="9" s="1"/>
  <c r="C155" i="9"/>
  <c r="N155" i="9" s="1"/>
  <c r="C156" i="9"/>
  <c r="N156" i="9" s="1"/>
  <c r="C157" i="9"/>
  <c r="N157" i="9" s="1"/>
  <c r="C158" i="9"/>
  <c r="N158" i="9" s="1"/>
  <c r="C159" i="9"/>
  <c r="N159" i="9" s="1"/>
  <c r="C160" i="9"/>
  <c r="N160" i="9" s="1"/>
  <c r="C161" i="9"/>
  <c r="N161" i="9" s="1"/>
  <c r="C162" i="9"/>
  <c r="N162" i="9" s="1"/>
  <c r="C163" i="9"/>
  <c r="N163" i="9" s="1"/>
  <c r="C164" i="9"/>
  <c r="N164" i="9" s="1"/>
  <c r="C165" i="9"/>
  <c r="N165" i="9" s="1"/>
  <c r="C166" i="9"/>
  <c r="N166" i="9" s="1"/>
  <c r="C167" i="9"/>
  <c r="N167" i="9" s="1"/>
  <c r="C168" i="9"/>
  <c r="N168" i="9" s="1"/>
  <c r="C169" i="9"/>
  <c r="N169" i="9" s="1"/>
  <c r="C170" i="9"/>
  <c r="N170" i="9" s="1"/>
  <c r="C171" i="9"/>
  <c r="N171" i="9" s="1"/>
  <c r="C172" i="9"/>
  <c r="N172" i="9" s="1"/>
  <c r="C173" i="9"/>
  <c r="N173" i="9" s="1"/>
  <c r="C174" i="9"/>
  <c r="N174" i="9" s="1"/>
  <c r="C175" i="9"/>
  <c r="N175" i="9" s="1"/>
  <c r="C176" i="9"/>
  <c r="N176" i="9" s="1"/>
  <c r="C177" i="9"/>
  <c r="N177" i="9" s="1"/>
  <c r="C178" i="9"/>
  <c r="N178" i="9" s="1"/>
  <c r="C179" i="9"/>
  <c r="N179" i="9" s="1"/>
  <c r="C180" i="9"/>
  <c r="N180" i="9" s="1"/>
  <c r="C181" i="9"/>
  <c r="N181" i="9" s="1"/>
  <c r="C182" i="9"/>
  <c r="N182" i="9" s="1"/>
  <c r="C183" i="9"/>
  <c r="N183" i="9" s="1"/>
  <c r="C184" i="9"/>
  <c r="N184" i="9" s="1"/>
  <c r="C185" i="9"/>
  <c r="N185" i="9" s="1"/>
  <c r="C186" i="9"/>
  <c r="N186" i="9" s="1"/>
  <c r="C187" i="9"/>
  <c r="N187" i="9" s="1"/>
  <c r="C188" i="9"/>
  <c r="N188" i="9" s="1"/>
  <c r="C189" i="9"/>
  <c r="N189" i="9" s="1"/>
  <c r="C190" i="9"/>
  <c r="N190" i="9" s="1"/>
  <c r="C191" i="9"/>
  <c r="N191" i="9" s="1"/>
  <c r="C192" i="9"/>
  <c r="N192" i="9" s="1"/>
  <c r="C193" i="9"/>
  <c r="N193" i="9" s="1"/>
  <c r="C194" i="9"/>
  <c r="N194" i="9" s="1"/>
  <c r="C195" i="9"/>
  <c r="N195" i="9" s="1"/>
  <c r="C196" i="9"/>
  <c r="N196" i="9" s="1"/>
  <c r="C197" i="9"/>
  <c r="N197" i="9" s="1"/>
  <c r="C198" i="9"/>
  <c r="N198" i="9" s="1"/>
  <c r="C199" i="9"/>
  <c r="N199" i="9" s="1"/>
  <c r="C200" i="9"/>
  <c r="N200" i="9" s="1"/>
  <c r="C201" i="9"/>
  <c r="N201" i="9" s="1"/>
  <c r="C202" i="9"/>
  <c r="N202" i="9" s="1"/>
  <c r="C203" i="9"/>
  <c r="N203" i="9" s="1"/>
  <c r="C204" i="9"/>
  <c r="N204" i="9" s="1"/>
  <c r="C205" i="9"/>
  <c r="N205" i="9" s="1"/>
  <c r="C206" i="9"/>
  <c r="N206" i="9" s="1"/>
  <c r="C207" i="9"/>
  <c r="N207" i="9" s="1"/>
  <c r="C208" i="9"/>
  <c r="N208" i="9" s="1"/>
  <c r="C209" i="9"/>
  <c r="N209" i="9" s="1"/>
  <c r="C210" i="9"/>
  <c r="N210" i="9" s="1"/>
  <c r="C211" i="9"/>
  <c r="N211" i="9" s="1"/>
  <c r="C212" i="9"/>
  <c r="N212" i="9" s="1"/>
  <c r="C213" i="9"/>
  <c r="N213" i="9" s="1"/>
  <c r="C214" i="9"/>
  <c r="N214" i="9" s="1"/>
  <c r="C215" i="9"/>
  <c r="N215" i="9" s="1"/>
  <c r="C216" i="9"/>
  <c r="N216" i="9" s="1"/>
  <c r="C217" i="9"/>
  <c r="N217" i="9" s="1"/>
  <c r="C218" i="9"/>
  <c r="N218" i="9" s="1"/>
  <c r="C219" i="9"/>
  <c r="N219" i="9" s="1"/>
  <c r="C220" i="9"/>
  <c r="N220" i="9" s="1"/>
  <c r="C221" i="9"/>
  <c r="N221" i="9" s="1"/>
  <c r="C222" i="9"/>
  <c r="N222" i="9" s="1"/>
  <c r="C223" i="9"/>
  <c r="N223" i="9" s="1"/>
  <c r="C224" i="9"/>
  <c r="N224" i="9" s="1"/>
  <c r="C225" i="9"/>
  <c r="N225" i="9" s="1"/>
  <c r="C226" i="9"/>
  <c r="N226" i="9" s="1"/>
  <c r="C227" i="9"/>
  <c r="N227" i="9" s="1"/>
  <c r="C228" i="9"/>
  <c r="N228" i="9" s="1"/>
  <c r="C229" i="9"/>
  <c r="N229" i="9" s="1"/>
  <c r="C230" i="9"/>
  <c r="N230" i="9" s="1"/>
  <c r="C231" i="9"/>
  <c r="N231" i="9" s="1"/>
  <c r="C232" i="9"/>
  <c r="N232" i="9" s="1"/>
  <c r="C233" i="9"/>
  <c r="N233" i="9" s="1"/>
  <c r="C234" i="9"/>
  <c r="N234" i="9" s="1"/>
  <c r="C235" i="9"/>
  <c r="N235" i="9" s="1"/>
  <c r="C236" i="9"/>
  <c r="N236" i="9" s="1"/>
  <c r="C237" i="9"/>
  <c r="N237" i="9" s="1"/>
  <c r="C238" i="9"/>
  <c r="N238" i="9" s="1"/>
  <c r="C239" i="9"/>
  <c r="N239" i="9" s="1"/>
  <c r="C240" i="9"/>
  <c r="N240" i="9" s="1"/>
  <c r="C241" i="9"/>
  <c r="N241" i="9" s="1"/>
  <c r="C242" i="9"/>
  <c r="N242" i="9" s="1"/>
  <c r="C243" i="9"/>
  <c r="N243" i="9" s="1"/>
  <c r="C244" i="9"/>
  <c r="N244" i="9" s="1"/>
  <c r="C245" i="9"/>
  <c r="N245" i="9" s="1"/>
  <c r="C246" i="9"/>
  <c r="N246" i="9" s="1"/>
  <c r="C247" i="9"/>
  <c r="N247" i="9" s="1"/>
  <c r="C248" i="9"/>
  <c r="N248" i="9" s="1"/>
  <c r="C249" i="9"/>
  <c r="N249" i="9" s="1"/>
  <c r="C250" i="9"/>
  <c r="N250" i="9" s="1"/>
  <c r="C251" i="9"/>
  <c r="N251" i="9" s="1"/>
  <c r="C252" i="9"/>
  <c r="N252" i="9" s="1"/>
  <c r="C253" i="9"/>
  <c r="N253" i="9" s="1"/>
  <c r="C254" i="9"/>
  <c r="N254" i="9" s="1"/>
  <c r="C255" i="9"/>
  <c r="N255" i="9" s="1"/>
  <c r="C256" i="9"/>
  <c r="N256" i="9" s="1"/>
  <c r="C257" i="9"/>
  <c r="N257" i="9" s="1"/>
  <c r="C258" i="9"/>
  <c r="N258" i="9" s="1"/>
  <c r="C259" i="9"/>
  <c r="N259" i="9" s="1"/>
  <c r="C260" i="9"/>
  <c r="N260" i="9" s="1"/>
  <c r="C261" i="9"/>
  <c r="N261" i="9" s="1"/>
  <c r="C262" i="9"/>
  <c r="N262" i="9" s="1"/>
  <c r="C263" i="9"/>
  <c r="N263" i="9" s="1"/>
  <c r="C264" i="9"/>
  <c r="N264" i="9" s="1"/>
  <c r="C265" i="9"/>
  <c r="N265" i="9" s="1"/>
  <c r="C266" i="9"/>
  <c r="N266" i="9" s="1"/>
  <c r="C267" i="9"/>
  <c r="N267" i="9" s="1"/>
  <c r="C268" i="9"/>
  <c r="N268" i="9" s="1"/>
  <c r="C269" i="9"/>
  <c r="N269" i="9" s="1"/>
  <c r="C270" i="9"/>
  <c r="N270" i="9" s="1"/>
  <c r="C271" i="9"/>
  <c r="N271" i="9" s="1"/>
  <c r="C272" i="9"/>
  <c r="N272" i="9" s="1"/>
  <c r="C273" i="9"/>
  <c r="N273" i="9" s="1"/>
  <c r="C274" i="9"/>
  <c r="N274" i="9" s="1"/>
  <c r="C275" i="9"/>
  <c r="N275" i="9" s="1"/>
  <c r="C276" i="9"/>
  <c r="N276" i="9" s="1"/>
  <c r="C277" i="9"/>
  <c r="N277" i="9" s="1"/>
  <c r="C278" i="9"/>
  <c r="N278" i="9" s="1"/>
  <c r="C279" i="9"/>
  <c r="N279" i="9" s="1"/>
  <c r="C280" i="9"/>
  <c r="N280" i="9" s="1"/>
  <c r="C281" i="9"/>
  <c r="N281" i="9" s="1"/>
  <c r="C282" i="9"/>
  <c r="N282" i="9" s="1"/>
  <c r="C283" i="9"/>
  <c r="N283" i="9" s="1"/>
  <c r="C284" i="9"/>
  <c r="N284" i="9" s="1"/>
  <c r="C285" i="9"/>
  <c r="N285" i="9" s="1"/>
  <c r="C286" i="9"/>
  <c r="N286" i="9" s="1"/>
  <c r="C287" i="9"/>
  <c r="N287" i="9" s="1"/>
  <c r="C288" i="9"/>
  <c r="N288" i="9" s="1"/>
  <c r="C289" i="9"/>
  <c r="N289" i="9" s="1"/>
  <c r="C290" i="9"/>
  <c r="N290" i="9" s="1"/>
  <c r="C291" i="9"/>
  <c r="N291" i="9" s="1"/>
  <c r="C292" i="9"/>
  <c r="N292" i="9" s="1"/>
  <c r="C293" i="9"/>
  <c r="N293" i="9" s="1"/>
  <c r="C294" i="9"/>
  <c r="N294" i="9" s="1"/>
  <c r="C295" i="9"/>
  <c r="N295" i="9" s="1"/>
  <c r="C296" i="9"/>
  <c r="N296" i="9" s="1"/>
  <c r="C297" i="9"/>
  <c r="N297" i="9" s="1"/>
  <c r="C298" i="9"/>
  <c r="N298" i="9" s="1"/>
  <c r="C299" i="9"/>
  <c r="N299" i="9" s="1"/>
  <c r="C300" i="9"/>
  <c r="N300" i="9" s="1"/>
  <c r="C301" i="9"/>
  <c r="N301" i="9" s="1"/>
  <c r="C302" i="9"/>
  <c r="N302" i="9" s="1"/>
  <c r="C303" i="9"/>
  <c r="N303" i="9" s="1"/>
  <c r="C304" i="9"/>
  <c r="N304" i="9" s="1"/>
  <c r="C305" i="9"/>
  <c r="N305" i="9" s="1"/>
  <c r="C306" i="9"/>
  <c r="N306" i="9" s="1"/>
  <c r="C307" i="9"/>
  <c r="N307" i="9" s="1"/>
  <c r="C308" i="9"/>
  <c r="N308" i="9" s="1"/>
  <c r="C309" i="9"/>
  <c r="N309" i="9" s="1"/>
  <c r="C310" i="9"/>
  <c r="N310" i="9" s="1"/>
  <c r="C311" i="9"/>
  <c r="N311" i="9" s="1"/>
  <c r="C312" i="9"/>
  <c r="N312" i="9" s="1"/>
  <c r="C313" i="9"/>
  <c r="N313" i="9" s="1"/>
  <c r="C314" i="9"/>
  <c r="N314" i="9" s="1"/>
  <c r="C315" i="9"/>
  <c r="N315" i="9" s="1"/>
  <c r="C316" i="9"/>
  <c r="N316" i="9" s="1"/>
  <c r="C317" i="9"/>
  <c r="N317" i="9" s="1"/>
  <c r="C318" i="9"/>
  <c r="N318" i="9" s="1"/>
  <c r="C319" i="9"/>
  <c r="N319" i="9" s="1"/>
  <c r="C320" i="9"/>
  <c r="N320" i="9" s="1"/>
  <c r="C321" i="9"/>
  <c r="N321" i="9" s="1"/>
  <c r="C322" i="9"/>
  <c r="N322" i="9" s="1"/>
  <c r="C323" i="9"/>
  <c r="N323" i="9" s="1"/>
  <c r="C324" i="9"/>
  <c r="N324" i="9" s="1"/>
  <c r="C325" i="9"/>
  <c r="N325" i="9" s="1"/>
  <c r="C326" i="9"/>
  <c r="N326" i="9" s="1"/>
  <c r="C327" i="9"/>
  <c r="N327" i="9" s="1"/>
  <c r="C328" i="9"/>
  <c r="N328" i="9" s="1"/>
  <c r="C329" i="9"/>
  <c r="N329" i="9" s="1"/>
  <c r="C330" i="9"/>
  <c r="N330" i="9" s="1"/>
  <c r="C331" i="9"/>
  <c r="N331" i="9" s="1"/>
  <c r="C332" i="9"/>
  <c r="N332" i="9" s="1"/>
  <c r="C333" i="9"/>
  <c r="N333" i="9" s="1"/>
  <c r="C334" i="9"/>
  <c r="N334" i="9" s="1"/>
  <c r="C335" i="9"/>
  <c r="N335" i="9" s="1"/>
  <c r="C336" i="9"/>
  <c r="N336" i="9" s="1"/>
  <c r="C337" i="9"/>
  <c r="N337" i="9" s="1"/>
  <c r="C338" i="9"/>
  <c r="N338" i="9" s="1"/>
  <c r="C339" i="9"/>
  <c r="N339" i="9" s="1"/>
  <c r="C340" i="9"/>
  <c r="N340" i="9" s="1"/>
  <c r="C341" i="9"/>
  <c r="N341" i="9" s="1"/>
  <c r="C342" i="9"/>
  <c r="N342" i="9" s="1"/>
  <c r="C343" i="9"/>
  <c r="N343" i="9" s="1"/>
  <c r="C344" i="9"/>
  <c r="N344" i="9" s="1"/>
  <c r="C345" i="9"/>
  <c r="N345" i="9" s="1"/>
  <c r="C346" i="9"/>
  <c r="N346" i="9" s="1"/>
  <c r="C347" i="9"/>
  <c r="N347" i="9" s="1"/>
  <c r="C348" i="9"/>
  <c r="N348" i="9" s="1"/>
  <c r="C349" i="9"/>
  <c r="N349" i="9" s="1"/>
  <c r="C350" i="9"/>
  <c r="N350" i="9" s="1"/>
  <c r="C351" i="9"/>
  <c r="N351" i="9" s="1"/>
  <c r="C352" i="9"/>
  <c r="N352" i="9" s="1"/>
  <c r="C353" i="9"/>
  <c r="N353" i="9" s="1"/>
  <c r="C354" i="9"/>
  <c r="N354" i="9" s="1"/>
  <c r="C355" i="9"/>
  <c r="N355" i="9" s="1"/>
  <c r="C356" i="9"/>
  <c r="N356" i="9" s="1"/>
  <c r="C357" i="9"/>
  <c r="N357" i="9" s="1"/>
  <c r="C358" i="9"/>
  <c r="N358" i="9" s="1"/>
  <c r="C359" i="9"/>
  <c r="N359" i="9" s="1"/>
  <c r="C360" i="9"/>
  <c r="N360" i="9" s="1"/>
  <c r="C361" i="9"/>
  <c r="N361" i="9" s="1"/>
  <c r="C362" i="9"/>
  <c r="N362" i="9" s="1"/>
  <c r="C363" i="9"/>
  <c r="N363" i="9" s="1"/>
  <c r="C364" i="9"/>
  <c r="N364" i="9" s="1"/>
  <c r="C365" i="9"/>
  <c r="N365" i="9" s="1"/>
  <c r="C366" i="9"/>
  <c r="N366" i="9" s="1"/>
  <c r="C367" i="9"/>
  <c r="N367" i="9" s="1"/>
  <c r="C368" i="9"/>
  <c r="N368" i="9" s="1"/>
  <c r="C369" i="9"/>
  <c r="N369" i="9" s="1"/>
  <c r="C370" i="9"/>
  <c r="N370" i="9" s="1"/>
  <c r="C371" i="9"/>
  <c r="N371" i="9" s="1"/>
  <c r="C372" i="9"/>
  <c r="N372" i="9" s="1"/>
  <c r="C373" i="9"/>
  <c r="N373" i="9" s="1"/>
  <c r="C374" i="9"/>
  <c r="N374" i="9" s="1"/>
  <c r="C375" i="9"/>
  <c r="N375" i="9" s="1"/>
  <c r="C376" i="9"/>
  <c r="N376" i="9" s="1"/>
  <c r="C377" i="9"/>
  <c r="N377" i="9" s="1"/>
  <c r="C378" i="9"/>
  <c r="N378" i="9" s="1"/>
  <c r="C379" i="9"/>
  <c r="N379" i="9" s="1"/>
  <c r="C380" i="9"/>
  <c r="N380" i="9" s="1"/>
  <c r="C381" i="9"/>
  <c r="N381" i="9" s="1"/>
  <c r="C382" i="9"/>
  <c r="N382" i="9" s="1"/>
  <c r="C383" i="9"/>
  <c r="N383" i="9" s="1"/>
  <c r="C384" i="9"/>
  <c r="N384" i="9" s="1"/>
  <c r="C385" i="9"/>
  <c r="N385" i="9" s="1"/>
  <c r="C386" i="9"/>
  <c r="N386" i="9" s="1"/>
  <c r="C387" i="9"/>
  <c r="N387" i="9" s="1"/>
  <c r="C388" i="9"/>
  <c r="N388" i="9" s="1"/>
  <c r="C389" i="9"/>
  <c r="N389" i="9" s="1"/>
  <c r="C390" i="9"/>
  <c r="N390" i="9" s="1"/>
  <c r="C391" i="9"/>
  <c r="N391" i="9" s="1"/>
  <c r="C392" i="9"/>
  <c r="N392" i="9" s="1"/>
  <c r="C393" i="9"/>
  <c r="N393" i="9" s="1"/>
  <c r="C394" i="9"/>
  <c r="N394" i="9" s="1"/>
  <c r="C395" i="9"/>
  <c r="N395" i="9" s="1"/>
  <c r="C396" i="9"/>
  <c r="N396" i="9" s="1"/>
  <c r="C397" i="9"/>
  <c r="N397" i="9" s="1"/>
  <c r="C398" i="9"/>
  <c r="N398" i="9" s="1"/>
  <c r="C399" i="9"/>
  <c r="N399" i="9" s="1"/>
  <c r="C400" i="9"/>
  <c r="N400" i="9" s="1"/>
  <c r="C401" i="9"/>
  <c r="N401" i="9" s="1"/>
  <c r="C402" i="9"/>
  <c r="N402" i="9" s="1"/>
  <c r="C403" i="9"/>
  <c r="N403" i="9" s="1"/>
  <c r="C404" i="9"/>
  <c r="N404" i="9" s="1"/>
  <c r="C405" i="9"/>
  <c r="N405" i="9" s="1"/>
  <c r="C406" i="9"/>
  <c r="N406" i="9" s="1"/>
  <c r="C407" i="9"/>
  <c r="N407" i="9" s="1"/>
  <c r="C408" i="9"/>
  <c r="N408" i="9" s="1"/>
  <c r="C409" i="9"/>
  <c r="N409" i="9" s="1"/>
  <c r="C410" i="9"/>
  <c r="N410" i="9" s="1"/>
  <c r="C411" i="9"/>
  <c r="N411" i="9" s="1"/>
  <c r="C412" i="9"/>
  <c r="N412" i="9" s="1"/>
  <c r="C413" i="9"/>
  <c r="N413" i="9" s="1"/>
  <c r="C414" i="9"/>
  <c r="N414" i="9" s="1"/>
  <c r="C415" i="9"/>
  <c r="N415" i="9" s="1"/>
  <c r="C416" i="9"/>
  <c r="N416" i="9" s="1"/>
  <c r="C417" i="9"/>
  <c r="N417" i="9" s="1"/>
  <c r="C418" i="9"/>
  <c r="N418" i="9" s="1"/>
  <c r="C419" i="9"/>
  <c r="N419" i="9" s="1"/>
  <c r="C420" i="9"/>
  <c r="N420" i="9" s="1"/>
  <c r="C421" i="9"/>
  <c r="N421" i="9" s="1"/>
  <c r="C422" i="9"/>
  <c r="N422" i="9" s="1"/>
  <c r="C423" i="9"/>
  <c r="N423" i="9" s="1"/>
  <c r="C424" i="9"/>
  <c r="N424" i="9" s="1"/>
  <c r="C425" i="9"/>
  <c r="N425" i="9" s="1"/>
  <c r="C426" i="9"/>
  <c r="N426" i="9" s="1"/>
  <c r="C427" i="9"/>
  <c r="N427" i="9" s="1"/>
  <c r="C428" i="9"/>
  <c r="N428" i="9" s="1"/>
  <c r="C429" i="9"/>
  <c r="N429" i="9" s="1"/>
  <c r="C430" i="9"/>
  <c r="N430" i="9" s="1"/>
  <c r="C431" i="9"/>
  <c r="N431" i="9" s="1"/>
  <c r="C432" i="9"/>
  <c r="N432" i="9" s="1"/>
  <c r="C433" i="9"/>
  <c r="N433" i="9" s="1"/>
  <c r="C434" i="9"/>
  <c r="N434" i="9" s="1"/>
  <c r="C435" i="9"/>
  <c r="N435" i="9" s="1"/>
  <c r="C436" i="9"/>
  <c r="N436" i="9" s="1"/>
  <c r="C437" i="9"/>
  <c r="N437" i="9" s="1"/>
  <c r="C438" i="9"/>
  <c r="N438" i="9" s="1"/>
  <c r="C439" i="9"/>
  <c r="N439" i="9" s="1"/>
  <c r="C440" i="9"/>
  <c r="N440" i="9" s="1"/>
  <c r="C441" i="9"/>
  <c r="N441" i="9" s="1"/>
  <c r="C442" i="9"/>
  <c r="N442" i="9" s="1"/>
  <c r="C443" i="9"/>
  <c r="N443" i="9" s="1"/>
  <c r="C444" i="9"/>
  <c r="N444" i="9" s="1"/>
  <c r="C445" i="9"/>
  <c r="N445" i="9" s="1"/>
  <c r="C446" i="9"/>
  <c r="N446" i="9" s="1"/>
  <c r="C447" i="9"/>
  <c r="N447" i="9" s="1"/>
  <c r="C448" i="9"/>
  <c r="N448" i="9" s="1"/>
  <c r="C449" i="9"/>
  <c r="N449" i="9" s="1"/>
  <c r="C450" i="9"/>
  <c r="N450" i="9" s="1"/>
  <c r="C451" i="9"/>
  <c r="N451" i="9" s="1"/>
  <c r="C452" i="9"/>
  <c r="N452" i="9" s="1"/>
  <c r="C453" i="9"/>
  <c r="N453" i="9" s="1"/>
  <c r="C454" i="9"/>
  <c r="N454" i="9" s="1"/>
  <c r="C455" i="9"/>
  <c r="N455" i="9" s="1"/>
  <c r="C456" i="9"/>
  <c r="N456" i="9" s="1"/>
  <c r="C457" i="9"/>
  <c r="N457" i="9" s="1"/>
  <c r="C458" i="9"/>
  <c r="N458" i="9" s="1"/>
  <c r="C459" i="9"/>
  <c r="N459" i="9" s="1"/>
  <c r="C460" i="9"/>
  <c r="N460" i="9" s="1"/>
  <c r="C461" i="9"/>
  <c r="N461" i="9" s="1"/>
  <c r="C462" i="9"/>
  <c r="N462" i="9" s="1"/>
  <c r="C463" i="9"/>
  <c r="N463" i="9" s="1"/>
  <c r="C464" i="9"/>
  <c r="N464" i="9" s="1"/>
  <c r="C465" i="9"/>
  <c r="N465" i="9" s="1"/>
  <c r="C466" i="9"/>
  <c r="N466" i="9" s="1"/>
  <c r="C467" i="9"/>
  <c r="N467" i="9" s="1"/>
  <c r="C468" i="9"/>
  <c r="N468" i="9" s="1"/>
  <c r="C469" i="9"/>
  <c r="N469" i="9" s="1"/>
  <c r="C470" i="9"/>
  <c r="N470" i="9" s="1"/>
  <c r="C471" i="9"/>
  <c r="N471" i="9" s="1"/>
  <c r="C472" i="9"/>
  <c r="N472" i="9" s="1"/>
  <c r="C473" i="9"/>
  <c r="N473" i="9" s="1"/>
  <c r="C474" i="9"/>
  <c r="N474" i="9" s="1"/>
  <c r="C475" i="9"/>
  <c r="N475" i="9" s="1"/>
  <c r="C476" i="9"/>
  <c r="N476" i="9" s="1"/>
  <c r="C477" i="9"/>
  <c r="N477" i="9" s="1"/>
  <c r="C478" i="9"/>
  <c r="N478" i="9" s="1"/>
  <c r="C479" i="9"/>
  <c r="N479" i="9" s="1"/>
  <c r="C480" i="9"/>
  <c r="N480" i="9" s="1"/>
  <c r="C481" i="9"/>
  <c r="N481" i="9" s="1"/>
  <c r="C482" i="9"/>
  <c r="N482" i="9" s="1"/>
  <c r="C483" i="9"/>
  <c r="N483" i="9" s="1"/>
  <c r="C484" i="9"/>
  <c r="N484" i="9" s="1"/>
  <c r="C485" i="9"/>
  <c r="N485" i="9" s="1"/>
  <c r="C486" i="9"/>
  <c r="N486" i="9" s="1"/>
  <c r="C487" i="9"/>
  <c r="N487" i="9" s="1"/>
  <c r="C488" i="9"/>
  <c r="N488" i="9" s="1"/>
  <c r="C489" i="9"/>
  <c r="N489" i="9" s="1"/>
  <c r="C490" i="9"/>
  <c r="N490" i="9" s="1"/>
  <c r="C491" i="9"/>
  <c r="N491" i="9" s="1"/>
  <c r="C492" i="9"/>
  <c r="N492" i="9" s="1"/>
  <c r="C493" i="9"/>
  <c r="N493" i="9" s="1"/>
  <c r="C494" i="9"/>
  <c r="N494" i="9" s="1"/>
  <c r="C495" i="9"/>
  <c r="N495" i="9" s="1"/>
  <c r="C496" i="9"/>
  <c r="N496" i="9" s="1"/>
  <c r="C497" i="9"/>
  <c r="N497" i="9" s="1"/>
  <c r="C498" i="9"/>
  <c r="N498" i="9" s="1"/>
  <c r="C499" i="9"/>
  <c r="N499" i="9" s="1"/>
  <c r="C500" i="9"/>
  <c r="N500" i="9" s="1"/>
  <c r="C501" i="9"/>
  <c r="N501" i="9" s="1"/>
  <c r="C502" i="9"/>
  <c r="N502" i="9" s="1"/>
  <c r="C503" i="9"/>
  <c r="N503" i="9" s="1"/>
  <c r="C504" i="9"/>
  <c r="N504" i="9" s="1"/>
  <c r="C505" i="9"/>
  <c r="N505" i="9" s="1"/>
  <c r="C506" i="9"/>
  <c r="N506" i="9" s="1"/>
  <c r="C507" i="9"/>
  <c r="N507" i="9" s="1"/>
  <c r="C508" i="9"/>
  <c r="N508" i="9" s="1"/>
  <c r="C509" i="9"/>
  <c r="N509" i="9" s="1"/>
  <c r="C510" i="9"/>
  <c r="N510" i="9" s="1"/>
  <c r="C511" i="9"/>
  <c r="N511" i="9" s="1"/>
  <c r="B47" i="9"/>
  <c r="J47" i="9" s="1"/>
  <c r="B48" i="9"/>
  <c r="J48" i="9" s="1"/>
  <c r="B49" i="9"/>
  <c r="J49" i="9" s="1"/>
  <c r="B50" i="9"/>
  <c r="J50" i="9" s="1"/>
  <c r="B51" i="9"/>
  <c r="J51" i="9" s="1"/>
  <c r="B52" i="9"/>
  <c r="J52" i="9" s="1"/>
  <c r="B53" i="9"/>
  <c r="J53" i="9" s="1"/>
  <c r="B54" i="9"/>
  <c r="J54" i="9" s="1"/>
  <c r="B55" i="9"/>
  <c r="J55" i="9" s="1"/>
  <c r="B56" i="9"/>
  <c r="J56" i="9" s="1"/>
  <c r="B57" i="9"/>
  <c r="J57" i="9" s="1"/>
  <c r="B58" i="9"/>
  <c r="J58" i="9" s="1"/>
  <c r="B59" i="9"/>
  <c r="J59" i="9" s="1"/>
  <c r="B60" i="9"/>
  <c r="J60" i="9" s="1"/>
  <c r="B61" i="9"/>
  <c r="J61" i="9" s="1"/>
  <c r="B62" i="9"/>
  <c r="J62" i="9" s="1"/>
  <c r="B63" i="9"/>
  <c r="J63" i="9" s="1"/>
  <c r="B64" i="9"/>
  <c r="J64" i="9" s="1"/>
  <c r="B65" i="9"/>
  <c r="J65" i="9" s="1"/>
  <c r="B66" i="9"/>
  <c r="J66" i="9" s="1"/>
  <c r="B67" i="9"/>
  <c r="J67" i="9" s="1"/>
  <c r="B68" i="9"/>
  <c r="J68" i="9" s="1"/>
  <c r="B69" i="9"/>
  <c r="J69" i="9" s="1"/>
  <c r="B70" i="9"/>
  <c r="J70" i="9" s="1"/>
  <c r="B71" i="9"/>
  <c r="J71" i="9" s="1"/>
  <c r="B72" i="9"/>
  <c r="J72" i="9" s="1"/>
  <c r="B73" i="9"/>
  <c r="J73" i="9" s="1"/>
  <c r="B74" i="9"/>
  <c r="J74" i="9" s="1"/>
  <c r="B75" i="9"/>
  <c r="J75" i="9" s="1"/>
  <c r="B76" i="9"/>
  <c r="J76" i="9" s="1"/>
  <c r="B77" i="9"/>
  <c r="J77" i="9" s="1"/>
  <c r="B78" i="9"/>
  <c r="J78" i="9" s="1"/>
  <c r="B79" i="9"/>
  <c r="J79" i="9" s="1"/>
  <c r="B80" i="9"/>
  <c r="J80" i="9" s="1"/>
  <c r="B81" i="9"/>
  <c r="J81" i="9" s="1"/>
  <c r="B82" i="9"/>
  <c r="J82" i="9" s="1"/>
  <c r="B83" i="9"/>
  <c r="J83" i="9" s="1"/>
  <c r="B84" i="9"/>
  <c r="J84" i="9" s="1"/>
  <c r="B85" i="9"/>
  <c r="J85" i="9" s="1"/>
  <c r="B86" i="9"/>
  <c r="J86" i="9" s="1"/>
  <c r="B87" i="9"/>
  <c r="J87" i="9" s="1"/>
  <c r="B88" i="9"/>
  <c r="J88" i="9" s="1"/>
  <c r="B89" i="9"/>
  <c r="J89" i="9" s="1"/>
  <c r="B90" i="9"/>
  <c r="J90" i="9" s="1"/>
  <c r="B91" i="9"/>
  <c r="J91" i="9" s="1"/>
  <c r="B92" i="9"/>
  <c r="J92" i="9" s="1"/>
  <c r="B93" i="9"/>
  <c r="J93" i="9" s="1"/>
  <c r="B94" i="9"/>
  <c r="J94" i="9" s="1"/>
  <c r="B95" i="9"/>
  <c r="J95" i="9" s="1"/>
  <c r="B96" i="9"/>
  <c r="J96" i="9" s="1"/>
  <c r="B97" i="9"/>
  <c r="J97" i="9" s="1"/>
  <c r="B98" i="9"/>
  <c r="J98" i="9" s="1"/>
  <c r="B99" i="9"/>
  <c r="J99" i="9" s="1"/>
  <c r="B100" i="9"/>
  <c r="J100" i="9" s="1"/>
  <c r="B101" i="9"/>
  <c r="J101" i="9" s="1"/>
  <c r="B102" i="9"/>
  <c r="J102" i="9" s="1"/>
  <c r="B103" i="9"/>
  <c r="J103" i="9" s="1"/>
  <c r="B104" i="9"/>
  <c r="J104" i="9" s="1"/>
  <c r="B105" i="9"/>
  <c r="J105" i="9" s="1"/>
  <c r="B106" i="9"/>
  <c r="J106" i="9" s="1"/>
  <c r="B107" i="9"/>
  <c r="J107" i="9" s="1"/>
  <c r="B108" i="9"/>
  <c r="J108" i="9" s="1"/>
  <c r="B109" i="9"/>
  <c r="J109" i="9" s="1"/>
  <c r="B110" i="9"/>
  <c r="J110" i="9" s="1"/>
  <c r="B111" i="9"/>
  <c r="J111" i="9" s="1"/>
  <c r="B112" i="9"/>
  <c r="J112" i="9" s="1"/>
  <c r="B113" i="9"/>
  <c r="J113" i="9" s="1"/>
  <c r="B114" i="9"/>
  <c r="J114" i="9" s="1"/>
  <c r="B115" i="9"/>
  <c r="J115" i="9" s="1"/>
  <c r="B116" i="9"/>
  <c r="J116" i="9" s="1"/>
  <c r="B117" i="9"/>
  <c r="J117" i="9" s="1"/>
  <c r="B118" i="9"/>
  <c r="J118" i="9" s="1"/>
  <c r="B119" i="9"/>
  <c r="J119" i="9" s="1"/>
  <c r="B120" i="9"/>
  <c r="J120" i="9" s="1"/>
  <c r="B121" i="9"/>
  <c r="J121" i="9" s="1"/>
  <c r="B122" i="9"/>
  <c r="J122" i="9" s="1"/>
  <c r="B123" i="9"/>
  <c r="J123" i="9" s="1"/>
  <c r="B124" i="9"/>
  <c r="J124" i="9" s="1"/>
  <c r="B125" i="9"/>
  <c r="J125" i="9" s="1"/>
  <c r="B126" i="9"/>
  <c r="J126" i="9" s="1"/>
  <c r="B127" i="9"/>
  <c r="J127" i="9" s="1"/>
  <c r="B128" i="9"/>
  <c r="J128" i="9" s="1"/>
  <c r="B129" i="9"/>
  <c r="J129" i="9" s="1"/>
  <c r="B130" i="9"/>
  <c r="J130" i="9" s="1"/>
  <c r="B131" i="9"/>
  <c r="J131" i="9" s="1"/>
  <c r="B132" i="9"/>
  <c r="J132" i="9" s="1"/>
  <c r="B133" i="9"/>
  <c r="J133" i="9" s="1"/>
  <c r="B134" i="9"/>
  <c r="J134" i="9" s="1"/>
  <c r="B135" i="9"/>
  <c r="J135" i="9" s="1"/>
  <c r="B136" i="9"/>
  <c r="J136" i="9" s="1"/>
  <c r="B137" i="9"/>
  <c r="J137" i="9" s="1"/>
  <c r="B138" i="9"/>
  <c r="J138" i="9" s="1"/>
  <c r="B139" i="9"/>
  <c r="J139" i="9" s="1"/>
  <c r="B140" i="9"/>
  <c r="J140" i="9" s="1"/>
  <c r="B141" i="9"/>
  <c r="J141" i="9" s="1"/>
  <c r="B142" i="9"/>
  <c r="J142" i="9" s="1"/>
  <c r="B143" i="9"/>
  <c r="J143" i="9" s="1"/>
  <c r="B144" i="9"/>
  <c r="J144" i="9" s="1"/>
  <c r="B145" i="9"/>
  <c r="J145" i="9" s="1"/>
  <c r="B146" i="9"/>
  <c r="J146" i="9" s="1"/>
  <c r="B147" i="9"/>
  <c r="J147" i="9" s="1"/>
  <c r="B148" i="9"/>
  <c r="J148" i="9" s="1"/>
  <c r="B149" i="9"/>
  <c r="J149" i="9" s="1"/>
  <c r="B150" i="9"/>
  <c r="J150" i="9" s="1"/>
  <c r="B151" i="9"/>
  <c r="J151" i="9" s="1"/>
  <c r="B152" i="9"/>
  <c r="J152" i="9" s="1"/>
  <c r="B153" i="9"/>
  <c r="J153" i="9" s="1"/>
  <c r="B154" i="9"/>
  <c r="J154" i="9" s="1"/>
  <c r="B155" i="9"/>
  <c r="J155" i="9" s="1"/>
  <c r="B156" i="9"/>
  <c r="J156" i="9" s="1"/>
  <c r="B157" i="9"/>
  <c r="J157" i="9" s="1"/>
  <c r="B158" i="9"/>
  <c r="J158" i="9" s="1"/>
  <c r="B159" i="9"/>
  <c r="J159" i="9" s="1"/>
  <c r="B160" i="9"/>
  <c r="J160" i="9" s="1"/>
  <c r="B161" i="9"/>
  <c r="J161" i="9" s="1"/>
  <c r="B162" i="9"/>
  <c r="J162" i="9" s="1"/>
  <c r="B163" i="9"/>
  <c r="J163" i="9" s="1"/>
  <c r="B164" i="9"/>
  <c r="J164" i="9" s="1"/>
  <c r="B165" i="9"/>
  <c r="J165" i="9" s="1"/>
  <c r="B166" i="9"/>
  <c r="J166" i="9" s="1"/>
  <c r="B167" i="9"/>
  <c r="J167" i="9" s="1"/>
  <c r="B168" i="9"/>
  <c r="J168" i="9" s="1"/>
  <c r="B169" i="9"/>
  <c r="J169" i="9" s="1"/>
  <c r="B170" i="9"/>
  <c r="J170" i="9" s="1"/>
  <c r="B171" i="9"/>
  <c r="J171" i="9" s="1"/>
  <c r="B172" i="9"/>
  <c r="J172" i="9" s="1"/>
  <c r="B173" i="9"/>
  <c r="J173" i="9" s="1"/>
  <c r="B174" i="9"/>
  <c r="J174" i="9" s="1"/>
  <c r="B175" i="9"/>
  <c r="J175" i="9" s="1"/>
  <c r="B176" i="9"/>
  <c r="J176" i="9" s="1"/>
  <c r="B177" i="9"/>
  <c r="J177" i="9" s="1"/>
  <c r="B178" i="9"/>
  <c r="J178" i="9" s="1"/>
  <c r="B179" i="9"/>
  <c r="J179" i="9" s="1"/>
  <c r="B180" i="9"/>
  <c r="J180" i="9" s="1"/>
  <c r="B181" i="9"/>
  <c r="J181" i="9" s="1"/>
  <c r="B182" i="9"/>
  <c r="J182" i="9" s="1"/>
  <c r="B183" i="9"/>
  <c r="J183" i="9" s="1"/>
  <c r="B184" i="9"/>
  <c r="J184" i="9" s="1"/>
  <c r="B185" i="9"/>
  <c r="J185" i="9" s="1"/>
  <c r="B186" i="9"/>
  <c r="J186" i="9" s="1"/>
  <c r="B187" i="9"/>
  <c r="J187" i="9" s="1"/>
  <c r="B188" i="9"/>
  <c r="J188" i="9" s="1"/>
  <c r="B189" i="9"/>
  <c r="J189" i="9" s="1"/>
  <c r="B190" i="9"/>
  <c r="J190" i="9" s="1"/>
  <c r="B191" i="9"/>
  <c r="J191" i="9" s="1"/>
  <c r="B192" i="9"/>
  <c r="J192" i="9" s="1"/>
  <c r="B193" i="9"/>
  <c r="J193" i="9" s="1"/>
  <c r="B194" i="9"/>
  <c r="J194" i="9" s="1"/>
  <c r="B195" i="9"/>
  <c r="J195" i="9" s="1"/>
  <c r="B196" i="9"/>
  <c r="J196" i="9" s="1"/>
  <c r="B197" i="9"/>
  <c r="J197" i="9" s="1"/>
  <c r="B198" i="9"/>
  <c r="J198" i="9" s="1"/>
  <c r="B199" i="9"/>
  <c r="J199" i="9" s="1"/>
  <c r="B200" i="9"/>
  <c r="J200" i="9" s="1"/>
  <c r="B201" i="9"/>
  <c r="J201" i="9" s="1"/>
  <c r="B202" i="9"/>
  <c r="J202" i="9" s="1"/>
  <c r="B203" i="9"/>
  <c r="J203" i="9" s="1"/>
  <c r="B204" i="9"/>
  <c r="J204" i="9" s="1"/>
  <c r="B205" i="9"/>
  <c r="J205" i="9" s="1"/>
  <c r="B206" i="9"/>
  <c r="J206" i="9" s="1"/>
  <c r="B207" i="9"/>
  <c r="J207" i="9" s="1"/>
  <c r="B208" i="9"/>
  <c r="J208" i="9" s="1"/>
  <c r="B209" i="9"/>
  <c r="J209" i="9" s="1"/>
  <c r="B210" i="9"/>
  <c r="J210" i="9" s="1"/>
  <c r="B211" i="9"/>
  <c r="J211" i="9" s="1"/>
  <c r="B212" i="9"/>
  <c r="J212" i="9" s="1"/>
  <c r="B213" i="9"/>
  <c r="J213" i="9" s="1"/>
  <c r="B214" i="9"/>
  <c r="J214" i="9" s="1"/>
  <c r="B215" i="9"/>
  <c r="J215" i="9" s="1"/>
  <c r="B216" i="9"/>
  <c r="J216" i="9" s="1"/>
  <c r="B217" i="9"/>
  <c r="J217" i="9" s="1"/>
  <c r="B218" i="9"/>
  <c r="J218" i="9" s="1"/>
  <c r="B219" i="9"/>
  <c r="J219" i="9" s="1"/>
  <c r="B220" i="9"/>
  <c r="J220" i="9" s="1"/>
  <c r="B221" i="9"/>
  <c r="J221" i="9" s="1"/>
  <c r="B222" i="9"/>
  <c r="J222" i="9" s="1"/>
  <c r="B223" i="9"/>
  <c r="J223" i="9" s="1"/>
  <c r="B224" i="9"/>
  <c r="J224" i="9" s="1"/>
  <c r="B225" i="9"/>
  <c r="J225" i="9" s="1"/>
  <c r="B226" i="9"/>
  <c r="J226" i="9" s="1"/>
  <c r="B227" i="9"/>
  <c r="J227" i="9" s="1"/>
  <c r="B228" i="9"/>
  <c r="J228" i="9" s="1"/>
  <c r="B229" i="9"/>
  <c r="J229" i="9" s="1"/>
  <c r="B230" i="9"/>
  <c r="J230" i="9" s="1"/>
  <c r="B231" i="9"/>
  <c r="J231" i="9" s="1"/>
  <c r="B232" i="9"/>
  <c r="J232" i="9" s="1"/>
  <c r="B233" i="9"/>
  <c r="J233" i="9" s="1"/>
  <c r="B234" i="9"/>
  <c r="J234" i="9" s="1"/>
  <c r="B235" i="9"/>
  <c r="J235" i="9" s="1"/>
  <c r="B236" i="9"/>
  <c r="J236" i="9" s="1"/>
  <c r="B237" i="9"/>
  <c r="J237" i="9" s="1"/>
  <c r="B238" i="9"/>
  <c r="J238" i="9" s="1"/>
  <c r="B239" i="9"/>
  <c r="J239" i="9" s="1"/>
  <c r="B240" i="9"/>
  <c r="J240" i="9" s="1"/>
  <c r="B241" i="9"/>
  <c r="J241" i="9" s="1"/>
  <c r="B242" i="9"/>
  <c r="J242" i="9" s="1"/>
  <c r="B243" i="9"/>
  <c r="J243" i="9" s="1"/>
  <c r="B244" i="9"/>
  <c r="J244" i="9" s="1"/>
  <c r="B245" i="9"/>
  <c r="J245" i="9" s="1"/>
  <c r="B246" i="9"/>
  <c r="J246" i="9" s="1"/>
  <c r="B247" i="9"/>
  <c r="J247" i="9" s="1"/>
  <c r="B248" i="9"/>
  <c r="J248" i="9" s="1"/>
  <c r="B249" i="9"/>
  <c r="J249" i="9" s="1"/>
  <c r="B250" i="9"/>
  <c r="J250" i="9" s="1"/>
  <c r="B251" i="9"/>
  <c r="J251" i="9" s="1"/>
  <c r="B252" i="9"/>
  <c r="J252" i="9" s="1"/>
  <c r="B253" i="9"/>
  <c r="J253" i="9" s="1"/>
  <c r="B254" i="9"/>
  <c r="J254" i="9" s="1"/>
  <c r="B255" i="9"/>
  <c r="J255" i="9" s="1"/>
  <c r="B256" i="9"/>
  <c r="J256" i="9" s="1"/>
  <c r="B257" i="9"/>
  <c r="J257" i="9" s="1"/>
  <c r="B258" i="9"/>
  <c r="J258" i="9" s="1"/>
  <c r="B259" i="9"/>
  <c r="J259" i="9" s="1"/>
  <c r="B260" i="9"/>
  <c r="J260" i="9" s="1"/>
  <c r="B261" i="9"/>
  <c r="J261" i="9" s="1"/>
  <c r="B262" i="9"/>
  <c r="J262" i="9" s="1"/>
  <c r="B263" i="9"/>
  <c r="J263" i="9" s="1"/>
  <c r="B264" i="9"/>
  <c r="J264" i="9" s="1"/>
  <c r="B265" i="9"/>
  <c r="J265" i="9" s="1"/>
  <c r="B266" i="9"/>
  <c r="J266" i="9" s="1"/>
  <c r="B267" i="9"/>
  <c r="J267" i="9" s="1"/>
  <c r="B268" i="9"/>
  <c r="J268" i="9" s="1"/>
  <c r="B269" i="9"/>
  <c r="J269" i="9" s="1"/>
  <c r="B270" i="9"/>
  <c r="J270" i="9" s="1"/>
  <c r="B271" i="9"/>
  <c r="J271" i="9" s="1"/>
  <c r="B272" i="9"/>
  <c r="J272" i="9" s="1"/>
  <c r="B273" i="9"/>
  <c r="J273" i="9" s="1"/>
  <c r="B274" i="9"/>
  <c r="J274" i="9" s="1"/>
  <c r="B275" i="9"/>
  <c r="J275" i="9" s="1"/>
  <c r="B276" i="9"/>
  <c r="J276" i="9" s="1"/>
  <c r="B277" i="9"/>
  <c r="J277" i="9" s="1"/>
  <c r="B278" i="9"/>
  <c r="J278" i="9" s="1"/>
  <c r="B279" i="9"/>
  <c r="J279" i="9" s="1"/>
  <c r="B280" i="9"/>
  <c r="J280" i="9" s="1"/>
  <c r="B281" i="9"/>
  <c r="J281" i="9" s="1"/>
  <c r="B282" i="9"/>
  <c r="J282" i="9" s="1"/>
  <c r="B283" i="9"/>
  <c r="J283" i="9" s="1"/>
  <c r="B284" i="9"/>
  <c r="J284" i="9" s="1"/>
  <c r="B285" i="9"/>
  <c r="J285" i="9" s="1"/>
  <c r="B286" i="9"/>
  <c r="J286" i="9" s="1"/>
  <c r="B287" i="9"/>
  <c r="J287" i="9" s="1"/>
  <c r="B288" i="9"/>
  <c r="J288" i="9" s="1"/>
  <c r="B289" i="9"/>
  <c r="J289" i="9" s="1"/>
  <c r="B290" i="9"/>
  <c r="J290" i="9" s="1"/>
  <c r="B291" i="9"/>
  <c r="J291" i="9" s="1"/>
  <c r="B292" i="9"/>
  <c r="J292" i="9" s="1"/>
  <c r="B293" i="9"/>
  <c r="J293" i="9" s="1"/>
  <c r="B294" i="9"/>
  <c r="J294" i="9" s="1"/>
  <c r="B295" i="9"/>
  <c r="J295" i="9" s="1"/>
  <c r="B296" i="9"/>
  <c r="J296" i="9" s="1"/>
  <c r="B297" i="9"/>
  <c r="J297" i="9" s="1"/>
  <c r="B298" i="9"/>
  <c r="J298" i="9" s="1"/>
  <c r="B299" i="9"/>
  <c r="J299" i="9" s="1"/>
  <c r="B300" i="9"/>
  <c r="J300" i="9" s="1"/>
  <c r="B301" i="9"/>
  <c r="J301" i="9" s="1"/>
  <c r="B302" i="9"/>
  <c r="J302" i="9" s="1"/>
  <c r="B303" i="9"/>
  <c r="J303" i="9" s="1"/>
  <c r="B304" i="9"/>
  <c r="J304" i="9" s="1"/>
  <c r="B305" i="9"/>
  <c r="J305" i="9" s="1"/>
  <c r="B306" i="9"/>
  <c r="J306" i="9" s="1"/>
  <c r="B307" i="9"/>
  <c r="J307" i="9" s="1"/>
  <c r="B308" i="9"/>
  <c r="J308" i="9" s="1"/>
  <c r="B309" i="9"/>
  <c r="J309" i="9" s="1"/>
  <c r="B310" i="9"/>
  <c r="J310" i="9" s="1"/>
  <c r="B311" i="9"/>
  <c r="J311" i="9" s="1"/>
  <c r="B312" i="9"/>
  <c r="J312" i="9" s="1"/>
  <c r="B313" i="9"/>
  <c r="J313" i="9" s="1"/>
  <c r="B314" i="9"/>
  <c r="J314" i="9" s="1"/>
  <c r="B315" i="9"/>
  <c r="J315" i="9" s="1"/>
  <c r="B316" i="9"/>
  <c r="J316" i="9" s="1"/>
  <c r="B317" i="9"/>
  <c r="J317" i="9" s="1"/>
  <c r="B318" i="9"/>
  <c r="J318" i="9" s="1"/>
  <c r="B319" i="9"/>
  <c r="J319" i="9" s="1"/>
  <c r="B320" i="9"/>
  <c r="J320" i="9" s="1"/>
  <c r="B321" i="9"/>
  <c r="J321" i="9" s="1"/>
  <c r="B322" i="9"/>
  <c r="J322" i="9" s="1"/>
  <c r="B323" i="9"/>
  <c r="J323" i="9" s="1"/>
  <c r="B324" i="9"/>
  <c r="J324" i="9" s="1"/>
  <c r="B325" i="9"/>
  <c r="J325" i="9" s="1"/>
  <c r="B326" i="9"/>
  <c r="J326" i="9" s="1"/>
  <c r="B327" i="9"/>
  <c r="J327" i="9" s="1"/>
  <c r="B328" i="9"/>
  <c r="J328" i="9" s="1"/>
  <c r="B329" i="9"/>
  <c r="J329" i="9" s="1"/>
  <c r="B330" i="9"/>
  <c r="J330" i="9" s="1"/>
  <c r="B331" i="9"/>
  <c r="J331" i="9" s="1"/>
  <c r="B332" i="9"/>
  <c r="J332" i="9" s="1"/>
  <c r="B333" i="9"/>
  <c r="J333" i="9" s="1"/>
  <c r="B334" i="9"/>
  <c r="J334" i="9" s="1"/>
  <c r="B335" i="9"/>
  <c r="J335" i="9" s="1"/>
  <c r="B336" i="9"/>
  <c r="J336" i="9" s="1"/>
  <c r="B337" i="9"/>
  <c r="J337" i="9" s="1"/>
  <c r="B338" i="9"/>
  <c r="J338" i="9" s="1"/>
  <c r="B339" i="9"/>
  <c r="J339" i="9" s="1"/>
  <c r="B340" i="9"/>
  <c r="J340" i="9" s="1"/>
  <c r="B341" i="9"/>
  <c r="J341" i="9" s="1"/>
  <c r="B342" i="9"/>
  <c r="J342" i="9" s="1"/>
  <c r="B343" i="9"/>
  <c r="J343" i="9" s="1"/>
  <c r="B344" i="9"/>
  <c r="J344" i="9" s="1"/>
  <c r="B345" i="9"/>
  <c r="J345" i="9" s="1"/>
  <c r="B346" i="9"/>
  <c r="J346" i="9" s="1"/>
  <c r="B347" i="9"/>
  <c r="J347" i="9" s="1"/>
  <c r="B348" i="9"/>
  <c r="J348" i="9" s="1"/>
  <c r="B349" i="9"/>
  <c r="J349" i="9" s="1"/>
  <c r="B350" i="9"/>
  <c r="J350" i="9" s="1"/>
  <c r="B351" i="9"/>
  <c r="J351" i="9" s="1"/>
  <c r="B352" i="9"/>
  <c r="J352" i="9" s="1"/>
  <c r="B353" i="9"/>
  <c r="J353" i="9" s="1"/>
  <c r="B354" i="9"/>
  <c r="J354" i="9" s="1"/>
  <c r="B355" i="9"/>
  <c r="J355" i="9" s="1"/>
  <c r="B356" i="9"/>
  <c r="J356" i="9" s="1"/>
  <c r="B357" i="9"/>
  <c r="J357" i="9" s="1"/>
  <c r="B358" i="9"/>
  <c r="J358" i="9" s="1"/>
  <c r="B359" i="9"/>
  <c r="J359" i="9" s="1"/>
  <c r="B360" i="9"/>
  <c r="J360" i="9" s="1"/>
  <c r="B361" i="9"/>
  <c r="J361" i="9" s="1"/>
  <c r="B362" i="9"/>
  <c r="J362" i="9" s="1"/>
  <c r="B363" i="9"/>
  <c r="J363" i="9" s="1"/>
  <c r="B364" i="9"/>
  <c r="J364" i="9" s="1"/>
  <c r="B365" i="9"/>
  <c r="J365" i="9" s="1"/>
  <c r="B366" i="9"/>
  <c r="J366" i="9" s="1"/>
  <c r="B367" i="9"/>
  <c r="J367" i="9" s="1"/>
  <c r="B368" i="9"/>
  <c r="J368" i="9" s="1"/>
  <c r="B369" i="9"/>
  <c r="J369" i="9" s="1"/>
  <c r="B370" i="9"/>
  <c r="J370" i="9" s="1"/>
  <c r="B371" i="9"/>
  <c r="J371" i="9" s="1"/>
  <c r="B372" i="9"/>
  <c r="J372" i="9" s="1"/>
  <c r="B373" i="9"/>
  <c r="J373" i="9" s="1"/>
  <c r="B374" i="9"/>
  <c r="J374" i="9" s="1"/>
  <c r="B375" i="9"/>
  <c r="J375" i="9" s="1"/>
  <c r="B376" i="9"/>
  <c r="J376" i="9" s="1"/>
  <c r="B377" i="9"/>
  <c r="J377" i="9" s="1"/>
  <c r="B378" i="9"/>
  <c r="J378" i="9" s="1"/>
  <c r="B379" i="9"/>
  <c r="J379" i="9" s="1"/>
  <c r="B380" i="9"/>
  <c r="J380" i="9" s="1"/>
  <c r="B381" i="9"/>
  <c r="J381" i="9" s="1"/>
  <c r="B382" i="9"/>
  <c r="J382" i="9" s="1"/>
  <c r="B383" i="9"/>
  <c r="J383" i="9" s="1"/>
  <c r="B384" i="9"/>
  <c r="J384" i="9" s="1"/>
  <c r="B385" i="9"/>
  <c r="J385" i="9" s="1"/>
  <c r="B386" i="9"/>
  <c r="J386" i="9" s="1"/>
  <c r="B387" i="9"/>
  <c r="J387" i="9" s="1"/>
  <c r="B388" i="9"/>
  <c r="J388" i="9" s="1"/>
  <c r="B389" i="9"/>
  <c r="J389" i="9" s="1"/>
  <c r="B390" i="9"/>
  <c r="J390" i="9" s="1"/>
  <c r="B391" i="9"/>
  <c r="J391" i="9" s="1"/>
  <c r="B392" i="9"/>
  <c r="J392" i="9" s="1"/>
  <c r="B393" i="9"/>
  <c r="J393" i="9" s="1"/>
  <c r="B394" i="9"/>
  <c r="J394" i="9" s="1"/>
  <c r="B395" i="9"/>
  <c r="J395" i="9" s="1"/>
  <c r="B396" i="9"/>
  <c r="J396" i="9" s="1"/>
  <c r="B397" i="9"/>
  <c r="J397" i="9" s="1"/>
  <c r="B398" i="9"/>
  <c r="J398" i="9" s="1"/>
  <c r="B399" i="9"/>
  <c r="J399" i="9" s="1"/>
  <c r="B400" i="9"/>
  <c r="J400" i="9" s="1"/>
  <c r="B401" i="9"/>
  <c r="J401" i="9" s="1"/>
  <c r="B402" i="9"/>
  <c r="J402" i="9" s="1"/>
  <c r="B403" i="9"/>
  <c r="J403" i="9" s="1"/>
  <c r="B404" i="9"/>
  <c r="J404" i="9" s="1"/>
  <c r="B405" i="9"/>
  <c r="J405" i="9" s="1"/>
  <c r="B406" i="9"/>
  <c r="J406" i="9" s="1"/>
  <c r="B407" i="9"/>
  <c r="J407" i="9" s="1"/>
  <c r="B408" i="9"/>
  <c r="J408" i="9" s="1"/>
  <c r="B409" i="9"/>
  <c r="J409" i="9" s="1"/>
  <c r="B410" i="9"/>
  <c r="J410" i="9" s="1"/>
  <c r="B411" i="9"/>
  <c r="J411" i="9" s="1"/>
  <c r="B412" i="9"/>
  <c r="J412" i="9" s="1"/>
  <c r="B413" i="9"/>
  <c r="J413" i="9" s="1"/>
  <c r="B414" i="9"/>
  <c r="J414" i="9" s="1"/>
  <c r="B415" i="9"/>
  <c r="J415" i="9" s="1"/>
  <c r="B416" i="9"/>
  <c r="J416" i="9" s="1"/>
  <c r="B417" i="9"/>
  <c r="J417" i="9" s="1"/>
  <c r="B418" i="9"/>
  <c r="J418" i="9" s="1"/>
  <c r="B419" i="9"/>
  <c r="J419" i="9" s="1"/>
  <c r="B420" i="9"/>
  <c r="J420" i="9" s="1"/>
  <c r="B421" i="9"/>
  <c r="J421" i="9" s="1"/>
  <c r="B422" i="9"/>
  <c r="J422" i="9" s="1"/>
  <c r="B423" i="9"/>
  <c r="J423" i="9" s="1"/>
  <c r="B424" i="9"/>
  <c r="J424" i="9" s="1"/>
  <c r="B425" i="9"/>
  <c r="J425" i="9" s="1"/>
  <c r="B426" i="9"/>
  <c r="J426" i="9" s="1"/>
  <c r="B427" i="9"/>
  <c r="J427" i="9" s="1"/>
  <c r="B428" i="9"/>
  <c r="J428" i="9" s="1"/>
  <c r="B429" i="9"/>
  <c r="J429" i="9" s="1"/>
  <c r="B430" i="9"/>
  <c r="J430" i="9" s="1"/>
  <c r="B431" i="9"/>
  <c r="J431" i="9" s="1"/>
  <c r="B432" i="9"/>
  <c r="J432" i="9" s="1"/>
  <c r="B433" i="9"/>
  <c r="J433" i="9" s="1"/>
  <c r="B434" i="9"/>
  <c r="J434" i="9" s="1"/>
  <c r="B435" i="9"/>
  <c r="J435" i="9" s="1"/>
  <c r="B436" i="9"/>
  <c r="J436" i="9" s="1"/>
  <c r="B437" i="9"/>
  <c r="J437" i="9" s="1"/>
  <c r="B438" i="9"/>
  <c r="J438" i="9" s="1"/>
  <c r="B439" i="9"/>
  <c r="J439" i="9" s="1"/>
  <c r="B440" i="9"/>
  <c r="J440" i="9" s="1"/>
  <c r="B441" i="9"/>
  <c r="J441" i="9" s="1"/>
  <c r="B442" i="9"/>
  <c r="J442" i="9" s="1"/>
  <c r="B443" i="9"/>
  <c r="J443" i="9" s="1"/>
  <c r="B444" i="9"/>
  <c r="J444" i="9" s="1"/>
  <c r="B445" i="9"/>
  <c r="J445" i="9" s="1"/>
  <c r="B446" i="9"/>
  <c r="J446" i="9" s="1"/>
  <c r="B447" i="9"/>
  <c r="J447" i="9" s="1"/>
  <c r="B448" i="9"/>
  <c r="J448" i="9" s="1"/>
  <c r="B449" i="9"/>
  <c r="J449" i="9" s="1"/>
  <c r="B450" i="9"/>
  <c r="J450" i="9" s="1"/>
  <c r="B451" i="9"/>
  <c r="J451" i="9" s="1"/>
  <c r="B452" i="9"/>
  <c r="J452" i="9" s="1"/>
  <c r="B453" i="9"/>
  <c r="J453" i="9" s="1"/>
  <c r="B454" i="9"/>
  <c r="J454" i="9" s="1"/>
  <c r="B455" i="9"/>
  <c r="J455" i="9" s="1"/>
  <c r="B456" i="9"/>
  <c r="J456" i="9" s="1"/>
  <c r="B457" i="9"/>
  <c r="J457" i="9" s="1"/>
  <c r="B458" i="9"/>
  <c r="J458" i="9" s="1"/>
  <c r="B459" i="9"/>
  <c r="J459" i="9" s="1"/>
  <c r="B460" i="9"/>
  <c r="J460" i="9" s="1"/>
  <c r="B461" i="9"/>
  <c r="J461" i="9" s="1"/>
  <c r="B462" i="9"/>
  <c r="J462" i="9" s="1"/>
  <c r="B463" i="9"/>
  <c r="J463" i="9" s="1"/>
  <c r="B464" i="9"/>
  <c r="J464" i="9" s="1"/>
  <c r="B465" i="9"/>
  <c r="J465" i="9" s="1"/>
  <c r="B466" i="9"/>
  <c r="J466" i="9" s="1"/>
  <c r="B467" i="9"/>
  <c r="J467" i="9" s="1"/>
  <c r="B468" i="9"/>
  <c r="J468" i="9" s="1"/>
  <c r="B469" i="9"/>
  <c r="J469" i="9" s="1"/>
  <c r="B470" i="9"/>
  <c r="J470" i="9" s="1"/>
  <c r="B471" i="9"/>
  <c r="J471" i="9" s="1"/>
  <c r="B472" i="9"/>
  <c r="J472" i="9" s="1"/>
  <c r="B473" i="9"/>
  <c r="J473" i="9" s="1"/>
  <c r="B474" i="9"/>
  <c r="J474" i="9" s="1"/>
  <c r="B475" i="9"/>
  <c r="J475" i="9" s="1"/>
  <c r="B476" i="9"/>
  <c r="J476" i="9" s="1"/>
  <c r="B477" i="9"/>
  <c r="J477" i="9" s="1"/>
  <c r="B478" i="9"/>
  <c r="J478" i="9" s="1"/>
  <c r="B479" i="9"/>
  <c r="J479" i="9" s="1"/>
  <c r="B480" i="9"/>
  <c r="J480" i="9" s="1"/>
  <c r="B481" i="9"/>
  <c r="J481" i="9" s="1"/>
  <c r="B482" i="9"/>
  <c r="J482" i="9" s="1"/>
  <c r="B483" i="9"/>
  <c r="J483" i="9" s="1"/>
  <c r="B484" i="9"/>
  <c r="J484" i="9" s="1"/>
  <c r="B485" i="9"/>
  <c r="J485" i="9" s="1"/>
  <c r="B486" i="9"/>
  <c r="J486" i="9" s="1"/>
  <c r="B487" i="9"/>
  <c r="J487" i="9" s="1"/>
  <c r="B488" i="9"/>
  <c r="J488" i="9" s="1"/>
  <c r="B489" i="9"/>
  <c r="J489" i="9" s="1"/>
  <c r="B490" i="9"/>
  <c r="J490" i="9" s="1"/>
  <c r="B491" i="9"/>
  <c r="J491" i="9" s="1"/>
  <c r="B492" i="9"/>
  <c r="J492" i="9" s="1"/>
  <c r="B493" i="9"/>
  <c r="J493" i="9" s="1"/>
  <c r="B494" i="9"/>
  <c r="J494" i="9" s="1"/>
  <c r="B495" i="9"/>
  <c r="J495" i="9" s="1"/>
  <c r="B496" i="9"/>
  <c r="J496" i="9" s="1"/>
  <c r="B497" i="9"/>
  <c r="J497" i="9" s="1"/>
  <c r="B498" i="9"/>
  <c r="J498" i="9" s="1"/>
  <c r="B499" i="9"/>
  <c r="J499" i="9" s="1"/>
  <c r="B500" i="9"/>
  <c r="J500" i="9" s="1"/>
  <c r="B501" i="9"/>
  <c r="J501" i="9" s="1"/>
  <c r="B502" i="9"/>
  <c r="J502" i="9" s="1"/>
  <c r="B503" i="9"/>
  <c r="J503" i="9" s="1"/>
  <c r="B504" i="9"/>
  <c r="J504" i="9" s="1"/>
  <c r="B505" i="9"/>
  <c r="J505" i="9" s="1"/>
  <c r="B506" i="9"/>
  <c r="J506" i="9" s="1"/>
  <c r="B507" i="9"/>
  <c r="J507" i="9" s="1"/>
  <c r="B508" i="9"/>
  <c r="J508" i="9" s="1"/>
  <c r="B509" i="9"/>
  <c r="J509" i="9" s="1"/>
  <c r="B510" i="9"/>
  <c r="J510" i="9" s="1"/>
  <c r="B511" i="9"/>
  <c r="J511" i="9" s="1"/>
  <c r="B46" i="9"/>
  <c r="J46" i="9" s="1"/>
  <c r="T10" i="8"/>
  <c r="U10" i="8"/>
  <c r="U10" i="9" l="1"/>
  <c r="G31" i="9"/>
  <c r="V10" i="8"/>
  <c r="N10" i="8"/>
  <c r="O11" i="8" s="1"/>
  <c r="G32" i="9" l="1"/>
  <c r="A22" i="8"/>
  <c r="B22" i="8"/>
  <c r="C22" i="8"/>
  <c r="D22" i="8"/>
  <c r="E22" i="8"/>
  <c r="F22" i="8"/>
  <c r="G22" i="8"/>
  <c r="A23" i="8"/>
  <c r="B23" i="8"/>
  <c r="C23" i="8"/>
  <c r="D23" i="8"/>
  <c r="E23" i="8"/>
  <c r="F23" i="8"/>
  <c r="G23" i="8"/>
  <c r="A24" i="8"/>
  <c r="B24" i="8"/>
  <c r="C24" i="8"/>
  <c r="D24" i="8"/>
  <c r="E24" i="8"/>
  <c r="F24" i="8"/>
  <c r="G24" i="8"/>
  <c r="A25" i="8"/>
  <c r="B25" i="8"/>
  <c r="C25" i="8"/>
  <c r="D25" i="8"/>
  <c r="E25" i="8"/>
  <c r="F25" i="8"/>
  <c r="G25" i="8"/>
  <c r="A26" i="8"/>
  <c r="B26" i="8"/>
  <c r="C26" i="8"/>
  <c r="D26" i="8"/>
  <c r="E26" i="8"/>
  <c r="F26" i="8"/>
  <c r="G26" i="8"/>
  <c r="A27" i="8"/>
  <c r="B27" i="8"/>
  <c r="C27" i="8"/>
  <c r="D27" i="8"/>
  <c r="E27" i="8"/>
  <c r="F27" i="8"/>
  <c r="G27" i="8"/>
  <c r="A28" i="8"/>
  <c r="B28" i="8"/>
  <c r="C28" i="8"/>
  <c r="D28" i="8"/>
  <c r="E28" i="8"/>
  <c r="F28" i="8"/>
  <c r="G28" i="8"/>
  <c r="A29" i="8"/>
  <c r="B29" i="8"/>
  <c r="C29" i="8"/>
  <c r="D29" i="8"/>
  <c r="E29" i="8"/>
  <c r="F29" i="8"/>
  <c r="G29" i="8"/>
  <c r="A30" i="8"/>
  <c r="B30" i="8"/>
  <c r="C30" i="8"/>
  <c r="D30" i="8"/>
  <c r="E30" i="8"/>
  <c r="F30" i="8"/>
  <c r="G30" i="8"/>
  <c r="A31" i="8"/>
  <c r="B31" i="8"/>
  <c r="C31" i="8"/>
  <c r="D31" i="8"/>
  <c r="E31" i="8"/>
  <c r="F31" i="8"/>
  <c r="G31" i="8"/>
  <c r="A32" i="8"/>
  <c r="B32" i="8"/>
  <c r="C32" i="8"/>
  <c r="D32" i="8"/>
  <c r="E32" i="8"/>
  <c r="F32" i="8"/>
  <c r="G32" i="8"/>
  <c r="A33" i="8"/>
  <c r="B33" i="8"/>
  <c r="C33" i="8"/>
  <c r="D33" i="8"/>
  <c r="E33" i="8"/>
  <c r="F33" i="8"/>
  <c r="G33" i="8"/>
  <c r="A34" i="8"/>
  <c r="B34" i="8"/>
  <c r="C34" i="8"/>
  <c r="D34" i="8"/>
  <c r="E34" i="8"/>
  <c r="F34" i="8"/>
  <c r="G34" i="8"/>
  <c r="A35" i="8"/>
  <c r="B35" i="8"/>
  <c r="C35" i="8"/>
  <c r="D35" i="8"/>
  <c r="E35" i="8"/>
  <c r="F35" i="8"/>
  <c r="G35" i="8"/>
  <c r="A36" i="8"/>
  <c r="B36" i="8"/>
  <c r="C36" i="8"/>
  <c r="D36" i="8"/>
  <c r="E36" i="8"/>
  <c r="F36" i="8"/>
  <c r="G36" i="8"/>
  <c r="A37" i="8"/>
  <c r="B37" i="8"/>
  <c r="C37" i="8"/>
  <c r="D37" i="8"/>
  <c r="E37" i="8"/>
  <c r="F37" i="8"/>
  <c r="G37" i="8"/>
  <c r="A38" i="8"/>
  <c r="B38" i="8"/>
  <c r="C38" i="8"/>
  <c r="D38" i="8"/>
  <c r="E38" i="8"/>
  <c r="F38" i="8"/>
  <c r="G38" i="8"/>
  <c r="A39" i="8"/>
  <c r="B39" i="8"/>
  <c r="C39" i="8"/>
  <c r="D39" i="8"/>
  <c r="E39" i="8"/>
  <c r="F39" i="8"/>
  <c r="G39" i="8"/>
  <c r="A40" i="8"/>
  <c r="B40" i="8"/>
  <c r="C40" i="8"/>
  <c r="D40" i="8"/>
  <c r="E40" i="8"/>
  <c r="F40" i="8"/>
  <c r="G40" i="8"/>
  <c r="A41" i="8"/>
  <c r="B41" i="8"/>
  <c r="C41" i="8"/>
  <c r="D41" i="8"/>
  <c r="E41" i="8"/>
  <c r="F41" i="8"/>
  <c r="G41" i="8"/>
  <c r="A42" i="8"/>
  <c r="B42" i="8"/>
  <c r="C42" i="8"/>
  <c r="D42" i="8"/>
  <c r="E42" i="8"/>
  <c r="F42" i="8"/>
  <c r="G42" i="8"/>
  <c r="A43" i="8"/>
  <c r="B43" i="8"/>
  <c r="C43" i="8"/>
  <c r="D43" i="8"/>
  <c r="E43" i="8"/>
  <c r="F43" i="8"/>
  <c r="G43" i="8"/>
  <c r="A44" i="8"/>
  <c r="B44" i="8"/>
  <c r="C44" i="8"/>
  <c r="D44" i="8"/>
  <c r="E44" i="8"/>
  <c r="F44" i="8"/>
  <c r="G44" i="8"/>
  <c r="A45" i="8"/>
  <c r="B45" i="8"/>
  <c r="C45" i="8"/>
  <c r="D45" i="8"/>
  <c r="E45" i="8"/>
  <c r="F45" i="8"/>
  <c r="G45" i="8"/>
  <c r="A46" i="8"/>
  <c r="B46" i="8"/>
  <c r="C46" i="8"/>
  <c r="D46" i="8"/>
  <c r="E46" i="8"/>
  <c r="F46" i="8"/>
  <c r="G46" i="8"/>
  <c r="A47" i="8"/>
  <c r="B47" i="8"/>
  <c r="C47" i="8"/>
  <c r="D47" i="8"/>
  <c r="E47" i="8"/>
  <c r="F47" i="8"/>
  <c r="G47" i="8"/>
  <c r="A48" i="8"/>
  <c r="B48" i="8"/>
  <c r="C48" i="8"/>
  <c r="D48" i="8"/>
  <c r="E48" i="8"/>
  <c r="F48" i="8"/>
  <c r="G48" i="8"/>
  <c r="A49" i="8"/>
  <c r="B49" i="8"/>
  <c r="C49" i="8"/>
  <c r="D49" i="8"/>
  <c r="E49" i="8"/>
  <c r="F49" i="8"/>
  <c r="G49" i="8"/>
  <c r="A50" i="8"/>
  <c r="B50" i="8"/>
  <c r="C50" i="8"/>
  <c r="D50" i="8"/>
  <c r="E50" i="8"/>
  <c r="F50" i="8"/>
  <c r="G50" i="8"/>
  <c r="A51" i="8"/>
  <c r="B51" i="8"/>
  <c r="C51" i="8"/>
  <c r="D51" i="8"/>
  <c r="E51" i="8"/>
  <c r="F51" i="8"/>
  <c r="G51" i="8"/>
  <c r="A52" i="8"/>
  <c r="B52" i="8"/>
  <c r="C52" i="8"/>
  <c r="D52" i="8"/>
  <c r="E52" i="8"/>
  <c r="F52" i="8"/>
  <c r="G52" i="8"/>
  <c r="A53" i="8"/>
  <c r="B53" i="8"/>
  <c r="C53" i="8"/>
  <c r="D53" i="8"/>
  <c r="E53" i="8"/>
  <c r="F53" i="8"/>
  <c r="G53" i="8"/>
  <c r="A54" i="8"/>
  <c r="B54" i="8"/>
  <c r="C54" i="8"/>
  <c r="D54" i="8"/>
  <c r="E54" i="8"/>
  <c r="F54" i="8"/>
  <c r="G54" i="8"/>
  <c r="A55" i="8"/>
  <c r="B55" i="8"/>
  <c r="C55" i="8"/>
  <c r="D55" i="8"/>
  <c r="E55" i="8"/>
  <c r="F55" i="8"/>
  <c r="G55" i="8"/>
  <c r="A56" i="8"/>
  <c r="B56" i="8"/>
  <c r="C56" i="8"/>
  <c r="D56" i="8"/>
  <c r="E56" i="8"/>
  <c r="F56" i="8"/>
  <c r="G56" i="8"/>
  <c r="A57" i="8"/>
  <c r="B57" i="8"/>
  <c r="C57" i="8"/>
  <c r="D57" i="8"/>
  <c r="E57" i="8"/>
  <c r="F57" i="8"/>
  <c r="G57" i="8"/>
  <c r="A58" i="8"/>
  <c r="B58" i="8"/>
  <c r="C58" i="8"/>
  <c r="D58" i="8"/>
  <c r="E58" i="8"/>
  <c r="F58" i="8"/>
  <c r="G58" i="8"/>
  <c r="A59" i="8"/>
  <c r="B59" i="8"/>
  <c r="C59" i="8"/>
  <c r="D59" i="8"/>
  <c r="E59" i="8"/>
  <c r="F59" i="8"/>
  <c r="G59" i="8"/>
  <c r="A60" i="8"/>
  <c r="B60" i="8"/>
  <c r="C60" i="8"/>
  <c r="D60" i="8"/>
  <c r="E60" i="8"/>
  <c r="F60" i="8"/>
  <c r="G60" i="8"/>
  <c r="A61" i="8"/>
  <c r="B61" i="8"/>
  <c r="C61" i="8"/>
  <c r="D61" i="8"/>
  <c r="E61" i="8"/>
  <c r="F61" i="8"/>
  <c r="G61" i="8"/>
  <c r="A62" i="8"/>
  <c r="B62" i="8"/>
  <c r="C62" i="8"/>
  <c r="D62" i="8"/>
  <c r="E62" i="8"/>
  <c r="F62" i="8"/>
  <c r="G62" i="8"/>
  <c r="A63" i="8"/>
  <c r="B63" i="8"/>
  <c r="C63" i="8"/>
  <c r="D63" i="8"/>
  <c r="E63" i="8"/>
  <c r="F63" i="8"/>
  <c r="G63" i="8"/>
  <c r="A64" i="8"/>
  <c r="B64" i="8"/>
  <c r="C64" i="8"/>
  <c r="D64" i="8"/>
  <c r="E64" i="8"/>
  <c r="F64" i="8"/>
  <c r="G64" i="8"/>
  <c r="A65" i="8"/>
  <c r="B65" i="8"/>
  <c r="C65" i="8"/>
  <c r="D65" i="8"/>
  <c r="E65" i="8"/>
  <c r="F65" i="8"/>
  <c r="G65" i="8"/>
  <c r="A66" i="8"/>
  <c r="B66" i="8"/>
  <c r="C66" i="8"/>
  <c r="D66" i="8"/>
  <c r="E66" i="8"/>
  <c r="F66" i="8"/>
  <c r="G66" i="8"/>
  <c r="A67" i="8"/>
  <c r="B67" i="8"/>
  <c r="C67" i="8"/>
  <c r="D67" i="8"/>
  <c r="E67" i="8"/>
  <c r="F67" i="8"/>
  <c r="G67" i="8"/>
  <c r="A68" i="8"/>
  <c r="B68" i="8"/>
  <c r="C68" i="8"/>
  <c r="D68" i="8"/>
  <c r="E68" i="8"/>
  <c r="F68" i="8"/>
  <c r="G68" i="8"/>
  <c r="A69" i="8"/>
  <c r="B69" i="8"/>
  <c r="C69" i="8"/>
  <c r="D69" i="8"/>
  <c r="E69" i="8"/>
  <c r="F69" i="8"/>
  <c r="G69" i="8"/>
  <c r="A70" i="8"/>
  <c r="B70" i="8"/>
  <c r="C70" i="8"/>
  <c r="D70" i="8"/>
  <c r="E70" i="8"/>
  <c r="F70" i="8"/>
  <c r="G70" i="8"/>
  <c r="A71" i="8"/>
  <c r="B71" i="8"/>
  <c r="C71" i="8"/>
  <c r="D71" i="8"/>
  <c r="E71" i="8"/>
  <c r="F71" i="8"/>
  <c r="G71" i="8"/>
  <c r="A72" i="8"/>
  <c r="B72" i="8"/>
  <c r="C72" i="8"/>
  <c r="D72" i="8"/>
  <c r="E72" i="8"/>
  <c r="F72" i="8"/>
  <c r="G72" i="8"/>
  <c r="A73" i="8"/>
  <c r="B73" i="8"/>
  <c r="C73" i="8"/>
  <c r="D73" i="8"/>
  <c r="E73" i="8"/>
  <c r="F73" i="8"/>
  <c r="G73" i="8"/>
  <c r="A74" i="8"/>
  <c r="B74" i="8"/>
  <c r="C74" i="8"/>
  <c r="D74" i="8"/>
  <c r="E74" i="8"/>
  <c r="F74" i="8"/>
  <c r="G74" i="8"/>
  <c r="A75" i="8"/>
  <c r="B75" i="8"/>
  <c r="C75" i="8"/>
  <c r="D75" i="8"/>
  <c r="E75" i="8"/>
  <c r="F75" i="8"/>
  <c r="G75" i="8"/>
  <c r="A76" i="8"/>
  <c r="B76" i="8"/>
  <c r="C76" i="8"/>
  <c r="D76" i="8"/>
  <c r="E76" i="8"/>
  <c r="F76" i="8"/>
  <c r="G76" i="8"/>
  <c r="A77" i="8"/>
  <c r="B77" i="8"/>
  <c r="C77" i="8"/>
  <c r="D77" i="8"/>
  <c r="E77" i="8"/>
  <c r="F77" i="8"/>
  <c r="G77" i="8"/>
  <c r="A78" i="8"/>
  <c r="B78" i="8"/>
  <c r="C78" i="8"/>
  <c r="D78" i="8"/>
  <c r="E78" i="8"/>
  <c r="F78" i="8"/>
  <c r="G78" i="8"/>
  <c r="A79" i="8"/>
  <c r="B79" i="8"/>
  <c r="C79" i="8"/>
  <c r="D79" i="8"/>
  <c r="E79" i="8"/>
  <c r="F79" i="8"/>
  <c r="G79" i="8"/>
  <c r="A80" i="8"/>
  <c r="B80" i="8"/>
  <c r="C80" i="8"/>
  <c r="D80" i="8"/>
  <c r="E80" i="8"/>
  <c r="F80" i="8"/>
  <c r="G80" i="8"/>
  <c r="A81" i="8"/>
  <c r="B81" i="8"/>
  <c r="C81" i="8"/>
  <c r="D81" i="8"/>
  <c r="E81" i="8"/>
  <c r="F81" i="8"/>
  <c r="G81" i="8"/>
  <c r="A82" i="8"/>
  <c r="B82" i="8"/>
  <c r="C82" i="8"/>
  <c r="D82" i="8"/>
  <c r="E82" i="8"/>
  <c r="F82" i="8"/>
  <c r="G82" i="8"/>
  <c r="A83" i="8"/>
  <c r="B83" i="8"/>
  <c r="C83" i="8"/>
  <c r="D83" i="8"/>
  <c r="E83" i="8"/>
  <c r="F83" i="8"/>
  <c r="G83" i="8"/>
  <c r="A84" i="8"/>
  <c r="B84" i="8"/>
  <c r="C84" i="8"/>
  <c r="D84" i="8"/>
  <c r="E84" i="8"/>
  <c r="F84" i="8"/>
  <c r="G84" i="8"/>
  <c r="A85" i="8"/>
  <c r="B85" i="8"/>
  <c r="C85" i="8"/>
  <c r="D85" i="8"/>
  <c r="E85" i="8"/>
  <c r="F85" i="8"/>
  <c r="G85" i="8"/>
  <c r="A86" i="8"/>
  <c r="B86" i="8"/>
  <c r="C86" i="8"/>
  <c r="D86" i="8"/>
  <c r="E86" i="8"/>
  <c r="F86" i="8"/>
  <c r="G86" i="8"/>
  <c r="A87" i="8"/>
  <c r="B87" i="8"/>
  <c r="C87" i="8"/>
  <c r="D87" i="8"/>
  <c r="E87" i="8"/>
  <c r="F87" i="8"/>
  <c r="G87" i="8"/>
  <c r="A88" i="8"/>
  <c r="B88" i="8"/>
  <c r="C88" i="8"/>
  <c r="D88" i="8"/>
  <c r="E88" i="8"/>
  <c r="F88" i="8"/>
  <c r="G88" i="8"/>
  <c r="A89" i="8"/>
  <c r="B89" i="8"/>
  <c r="C89" i="8"/>
  <c r="D89" i="8"/>
  <c r="E89" i="8"/>
  <c r="F89" i="8"/>
  <c r="G89" i="8"/>
  <c r="A90" i="8"/>
  <c r="B90" i="8"/>
  <c r="C90" i="8"/>
  <c r="D90" i="8"/>
  <c r="E90" i="8"/>
  <c r="F90" i="8"/>
  <c r="G90" i="8"/>
  <c r="A91" i="8"/>
  <c r="B91" i="8"/>
  <c r="C91" i="8"/>
  <c r="D91" i="8"/>
  <c r="E91" i="8"/>
  <c r="F91" i="8"/>
  <c r="G91" i="8"/>
  <c r="A92" i="8"/>
  <c r="B92" i="8"/>
  <c r="C92" i="8"/>
  <c r="D92" i="8"/>
  <c r="E92" i="8"/>
  <c r="F92" i="8"/>
  <c r="G92" i="8"/>
  <c r="A93" i="8"/>
  <c r="B93" i="8"/>
  <c r="C93" i="8"/>
  <c r="D93" i="8"/>
  <c r="E93" i="8"/>
  <c r="F93" i="8"/>
  <c r="G93" i="8"/>
  <c r="A94" i="8"/>
  <c r="B94" i="8"/>
  <c r="C94" i="8"/>
  <c r="D94" i="8"/>
  <c r="E94" i="8"/>
  <c r="F94" i="8"/>
  <c r="G94" i="8"/>
  <c r="A95" i="8"/>
  <c r="B95" i="8"/>
  <c r="C95" i="8"/>
  <c r="D95" i="8"/>
  <c r="E95" i="8"/>
  <c r="F95" i="8"/>
  <c r="G95" i="8"/>
  <c r="A96" i="8"/>
  <c r="B96" i="8"/>
  <c r="C96" i="8"/>
  <c r="D96" i="8"/>
  <c r="E96" i="8"/>
  <c r="F96" i="8"/>
  <c r="G96" i="8"/>
  <c r="A97" i="8"/>
  <c r="B97" i="8"/>
  <c r="C97" i="8"/>
  <c r="D97" i="8"/>
  <c r="E97" i="8"/>
  <c r="F97" i="8"/>
  <c r="G97" i="8"/>
  <c r="A98" i="8"/>
  <c r="B98" i="8"/>
  <c r="C98" i="8"/>
  <c r="D98" i="8"/>
  <c r="E98" i="8"/>
  <c r="F98" i="8"/>
  <c r="G98" i="8"/>
  <c r="A99" i="8"/>
  <c r="B99" i="8"/>
  <c r="C99" i="8"/>
  <c r="D99" i="8"/>
  <c r="E99" i="8"/>
  <c r="F99" i="8"/>
  <c r="G99" i="8"/>
  <c r="A100" i="8"/>
  <c r="B100" i="8"/>
  <c r="C100" i="8"/>
  <c r="D100" i="8"/>
  <c r="E100" i="8"/>
  <c r="F100" i="8"/>
  <c r="G100" i="8"/>
  <c r="A101" i="8"/>
  <c r="B101" i="8"/>
  <c r="C101" i="8"/>
  <c r="D101" i="8"/>
  <c r="E101" i="8"/>
  <c r="F101" i="8"/>
  <c r="G101" i="8"/>
  <c r="A102" i="8"/>
  <c r="B102" i="8"/>
  <c r="C102" i="8"/>
  <c r="D102" i="8"/>
  <c r="E102" i="8"/>
  <c r="F102" i="8"/>
  <c r="G102" i="8"/>
  <c r="A103" i="8"/>
  <c r="B103" i="8"/>
  <c r="C103" i="8"/>
  <c r="D103" i="8"/>
  <c r="E103" i="8"/>
  <c r="F103" i="8"/>
  <c r="G103" i="8"/>
  <c r="A104" i="8"/>
  <c r="B104" i="8"/>
  <c r="C104" i="8"/>
  <c r="D104" i="8"/>
  <c r="E104" i="8"/>
  <c r="F104" i="8"/>
  <c r="G104" i="8"/>
  <c r="A105" i="8"/>
  <c r="B105" i="8"/>
  <c r="C105" i="8"/>
  <c r="D105" i="8"/>
  <c r="E105" i="8"/>
  <c r="F105" i="8"/>
  <c r="G105" i="8"/>
  <c r="A106" i="8"/>
  <c r="B106" i="8"/>
  <c r="C106" i="8"/>
  <c r="D106" i="8"/>
  <c r="E106" i="8"/>
  <c r="F106" i="8"/>
  <c r="G106" i="8"/>
  <c r="A107" i="8"/>
  <c r="B107" i="8"/>
  <c r="C107" i="8"/>
  <c r="D107" i="8"/>
  <c r="E107" i="8"/>
  <c r="F107" i="8"/>
  <c r="G107" i="8"/>
  <c r="A108" i="8"/>
  <c r="B108" i="8"/>
  <c r="C108" i="8"/>
  <c r="D108" i="8"/>
  <c r="E108" i="8"/>
  <c r="F108" i="8"/>
  <c r="G108" i="8"/>
  <c r="A109" i="8"/>
  <c r="B109" i="8"/>
  <c r="C109" i="8"/>
  <c r="D109" i="8"/>
  <c r="E109" i="8"/>
  <c r="F109" i="8"/>
  <c r="G109" i="8"/>
  <c r="A110" i="8"/>
  <c r="B110" i="8"/>
  <c r="C110" i="8"/>
  <c r="D110" i="8"/>
  <c r="E110" i="8"/>
  <c r="F110" i="8"/>
  <c r="G110" i="8"/>
  <c r="A111" i="8"/>
  <c r="B111" i="8"/>
  <c r="C111" i="8"/>
  <c r="D111" i="8"/>
  <c r="E111" i="8"/>
  <c r="F111" i="8"/>
  <c r="G111" i="8"/>
  <c r="A112" i="8"/>
  <c r="B112" i="8"/>
  <c r="C112" i="8"/>
  <c r="D112" i="8"/>
  <c r="E112" i="8"/>
  <c r="F112" i="8"/>
  <c r="G112" i="8"/>
  <c r="A113" i="8"/>
  <c r="B113" i="8"/>
  <c r="C113" i="8"/>
  <c r="D113" i="8"/>
  <c r="E113" i="8"/>
  <c r="F113" i="8"/>
  <c r="G113" i="8"/>
  <c r="A114" i="8"/>
  <c r="B114" i="8"/>
  <c r="C114" i="8"/>
  <c r="D114" i="8"/>
  <c r="E114" i="8"/>
  <c r="F114" i="8"/>
  <c r="G114" i="8"/>
  <c r="A115" i="8"/>
  <c r="B115" i="8"/>
  <c r="C115" i="8"/>
  <c r="D115" i="8"/>
  <c r="E115" i="8"/>
  <c r="F115" i="8"/>
  <c r="G115" i="8"/>
  <c r="A116" i="8"/>
  <c r="B116" i="8"/>
  <c r="C116" i="8"/>
  <c r="D116" i="8"/>
  <c r="E116" i="8"/>
  <c r="F116" i="8"/>
  <c r="G116" i="8"/>
  <c r="A117" i="8"/>
  <c r="B117" i="8"/>
  <c r="C117" i="8"/>
  <c r="D117" i="8"/>
  <c r="E117" i="8"/>
  <c r="F117" i="8"/>
  <c r="G117" i="8"/>
  <c r="A118" i="8"/>
  <c r="B118" i="8"/>
  <c r="C118" i="8"/>
  <c r="D118" i="8"/>
  <c r="E118" i="8"/>
  <c r="F118" i="8"/>
  <c r="G118" i="8"/>
  <c r="A119" i="8"/>
  <c r="B119" i="8"/>
  <c r="C119" i="8"/>
  <c r="D119" i="8"/>
  <c r="E119" i="8"/>
  <c r="F119" i="8"/>
  <c r="G119" i="8"/>
  <c r="A120" i="8"/>
  <c r="B120" i="8"/>
  <c r="C120" i="8"/>
  <c r="D120" i="8"/>
  <c r="E120" i="8"/>
  <c r="F120" i="8"/>
  <c r="G120" i="8"/>
  <c r="A121" i="8"/>
  <c r="B121" i="8"/>
  <c r="C121" i="8"/>
  <c r="D121" i="8"/>
  <c r="E121" i="8"/>
  <c r="F121" i="8"/>
  <c r="G121" i="8"/>
  <c r="A122" i="8"/>
  <c r="B122" i="8"/>
  <c r="C122" i="8"/>
  <c r="D122" i="8"/>
  <c r="E122" i="8"/>
  <c r="F122" i="8"/>
  <c r="G122" i="8"/>
  <c r="A123" i="8"/>
  <c r="B123" i="8"/>
  <c r="C123" i="8"/>
  <c r="D123" i="8"/>
  <c r="E123" i="8"/>
  <c r="F123" i="8"/>
  <c r="G123" i="8"/>
  <c r="A124" i="8"/>
  <c r="B124" i="8"/>
  <c r="C124" i="8"/>
  <c r="D124" i="8"/>
  <c r="E124" i="8"/>
  <c r="F124" i="8"/>
  <c r="G124" i="8"/>
  <c r="A125" i="8"/>
  <c r="B125" i="8"/>
  <c r="C125" i="8"/>
  <c r="D125" i="8"/>
  <c r="E125" i="8"/>
  <c r="F125" i="8"/>
  <c r="G125" i="8"/>
  <c r="A126" i="8"/>
  <c r="B126" i="8"/>
  <c r="C126" i="8"/>
  <c r="D126" i="8"/>
  <c r="E126" i="8"/>
  <c r="F126" i="8"/>
  <c r="G126" i="8"/>
  <c r="A127" i="8"/>
  <c r="B127" i="8"/>
  <c r="C127" i="8"/>
  <c r="D127" i="8"/>
  <c r="E127" i="8"/>
  <c r="F127" i="8"/>
  <c r="G127" i="8"/>
  <c r="A128" i="8"/>
  <c r="B128" i="8"/>
  <c r="C128" i="8"/>
  <c r="D128" i="8"/>
  <c r="E128" i="8"/>
  <c r="F128" i="8"/>
  <c r="G128" i="8"/>
  <c r="A129" i="8"/>
  <c r="B129" i="8"/>
  <c r="C129" i="8"/>
  <c r="D129" i="8"/>
  <c r="E129" i="8"/>
  <c r="F129" i="8"/>
  <c r="G129" i="8"/>
  <c r="A130" i="8"/>
  <c r="B130" i="8"/>
  <c r="C130" i="8"/>
  <c r="D130" i="8"/>
  <c r="E130" i="8"/>
  <c r="F130" i="8"/>
  <c r="G130" i="8"/>
  <c r="A131" i="8"/>
  <c r="B131" i="8"/>
  <c r="C131" i="8"/>
  <c r="D131" i="8"/>
  <c r="E131" i="8"/>
  <c r="F131" i="8"/>
  <c r="G131" i="8"/>
  <c r="A132" i="8"/>
  <c r="B132" i="8"/>
  <c r="C132" i="8"/>
  <c r="D132" i="8"/>
  <c r="E132" i="8"/>
  <c r="F132" i="8"/>
  <c r="G132" i="8"/>
  <c r="A133" i="8"/>
  <c r="B133" i="8"/>
  <c r="C133" i="8"/>
  <c r="D133" i="8"/>
  <c r="E133" i="8"/>
  <c r="F133" i="8"/>
  <c r="G133" i="8"/>
  <c r="A134" i="8"/>
  <c r="B134" i="8"/>
  <c r="C134" i="8"/>
  <c r="D134" i="8"/>
  <c r="E134" i="8"/>
  <c r="F134" i="8"/>
  <c r="G134" i="8"/>
  <c r="A135" i="8"/>
  <c r="B135" i="8"/>
  <c r="C135" i="8"/>
  <c r="D135" i="8"/>
  <c r="E135" i="8"/>
  <c r="F135" i="8"/>
  <c r="G135" i="8"/>
  <c r="A136" i="8"/>
  <c r="B136" i="8"/>
  <c r="C136" i="8"/>
  <c r="D136" i="8"/>
  <c r="E136" i="8"/>
  <c r="F136" i="8"/>
  <c r="G136" i="8"/>
  <c r="A137" i="8"/>
  <c r="B137" i="8"/>
  <c r="C137" i="8"/>
  <c r="D137" i="8"/>
  <c r="E137" i="8"/>
  <c r="F137" i="8"/>
  <c r="G137" i="8"/>
  <c r="A138" i="8"/>
  <c r="B138" i="8"/>
  <c r="C138" i="8"/>
  <c r="D138" i="8"/>
  <c r="E138" i="8"/>
  <c r="F138" i="8"/>
  <c r="G138" i="8"/>
  <c r="A139" i="8"/>
  <c r="B139" i="8"/>
  <c r="C139" i="8"/>
  <c r="D139" i="8"/>
  <c r="E139" i="8"/>
  <c r="F139" i="8"/>
  <c r="G139" i="8"/>
  <c r="A140" i="8"/>
  <c r="B140" i="8"/>
  <c r="C140" i="8"/>
  <c r="D140" i="8"/>
  <c r="E140" i="8"/>
  <c r="F140" i="8"/>
  <c r="G140" i="8"/>
  <c r="A141" i="8"/>
  <c r="B141" i="8"/>
  <c r="C141" i="8"/>
  <c r="D141" i="8"/>
  <c r="E141" i="8"/>
  <c r="F141" i="8"/>
  <c r="G141" i="8"/>
  <c r="A142" i="8"/>
  <c r="B142" i="8"/>
  <c r="C142" i="8"/>
  <c r="D142" i="8"/>
  <c r="E142" i="8"/>
  <c r="F142" i="8"/>
  <c r="G142" i="8"/>
  <c r="A143" i="8"/>
  <c r="B143" i="8"/>
  <c r="C143" i="8"/>
  <c r="D143" i="8"/>
  <c r="E143" i="8"/>
  <c r="F143" i="8"/>
  <c r="G143" i="8"/>
  <c r="A144" i="8"/>
  <c r="B144" i="8"/>
  <c r="C144" i="8"/>
  <c r="D144" i="8"/>
  <c r="E144" i="8"/>
  <c r="F144" i="8"/>
  <c r="G144" i="8"/>
  <c r="A145" i="8"/>
  <c r="B145" i="8"/>
  <c r="C145" i="8"/>
  <c r="D145" i="8"/>
  <c r="E145" i="8"/>
  <c r="F145" i="8"/>
  <c r="G145" i="8"/>
  <c r="A146" i="8"/>
  <c r="B146" i="8"/>
  <c r="C146" i="8"/>
  <c r="D146" i="8"/>
  <c r="E146" i="8"/>
  <c r="F146" i="8"/>
  <c r="G146" i="8"/>
  <c r="A147" i="8"/>
  <c r="B147" i="8"/>
  <c r="C147" i="8"/>
  <c r="D147" i="8"/>
  <c r="E147" i="8"/>
  <c r="F147" i="8"/>
  <c r="G147" i="8"/>
  <c r="A148" i="8"/>
  <c r="B148" i="8"/>
  <c r="C148" i="8"/>
  <c r="D148" i="8"/>
  <c r="E148" i="8"/>
  <c r="F148" i="8"/>
  <c r="G148" i="8"/>
  <c r="A149" i="8"/>
  <c r="B149" i="8"/>
  <c r="C149" i="8"/>
  <c r="D149" i="8"/>
  <c r="E149" i="8"/>
  <c r="F149" i="8"/>
  <c r="G149" i="8"/>
  <c r="A150" i="8"/>
  <c r="B150" i="8"/>
  <c r="C150" i="8"/>
  <c r="D150" i="8"/>
  <c r="E150" i="8"/>
  <c r="F150" i="8"/>
  <c r="G150" i="8"/>
  <c r="A151" i="8"/>
  <c r="B151" i="8"/>
  <c r="C151" i="8"/>
  <c r="D151" i="8"/>
  <c r="E151" i="8"/>
  <c r="F151" i="8"/>
  <c r="G151" i="8"/>
  <c r="A152" i="8"/>
  <c r="B152" i="8"/>
  <c r="C152" i="8"/>
  <c r="D152" i="8"/>
  <c r="E152" i="8"/>
  <c r="F152" i="8"/>
  <c r="G152" i="8"/>
  <c r="A153" i="8"/>
  <c r="B153" i="8"/>
  <c r="C153" i="8"/>
  <c r="D153" i="8"/>
  <c r="E153" i="8"/>
  <c r="F153" i="8"/>
  <c r="G153" i="8"/>
  <c r="A154" i="8"/>
  <c r="B154" i="8"/>
  <c r="C154" i="8"/>
  <c r="D154" i="8"/>
  <c r="E154" i="8"/>
  <c r="F154" i="8"/>
  <c r="G154" i="8"/>
  <c r="A155" i="8"/>
  <c r="B155" i="8"/>
  <c r="C155" i="8"/>
  <c r="D155" i="8"/>
  <c r="E155" i="8"/>
  <c r="F155" i="8"/>
  <c r="G155" i="8"/>
  <c r="A156" i="8"/>
  <c r="B156" i="8"/>
  <c r="C156" i="8"/>
  <c r="D156" i="8"/>
  <c r="E156" i="8"/>
  <c r="F156" i="8"/>
  <c r="G156" i="8"/>
  <c r="A157" i="8"/>
  <c r="B157" i="8"/>
  <c r="C157" i="8"/>
  <c r="D157" i="8"/>
  <c r="E157" i="8"/>
  <c r="F157" i="8"/>
  <c r="G157" i="8"/>
  <c r="A158" i="8"/>
  <c r="B158" i="8"/>
  <c r="C158" i="8"/>
  <c r="D158" i="8"/>
  <c r="E158" i="8"/>
  <c r="F158" i="8"/>
  <c r="G158" i="8"/>
  <c r="A159" i="8"/>
  <c r="B159" i="8"/>
  <c r="C159" i="8"/>
  <c r="D159" i="8"/>
  <c r="E159" i="8"/>
  <c r="F159" i="8"/>
  <c r="G159" i="8"/>
  <c r="A160" i="8"/>
  <c r="B160" i="8"/>
  <c r="C160" i="8"/>
  <c r="D160" i="8"/>
  <c r="E160" i="8"/>
  <c r="F160" i="8"/>
  <c r="G160" i="8"/>
  <c r="A161" i="8"/>
  <c r="B161" i="8"/>
  <c r="C161" i="8"/>
  <c r="D161" i="8"/>
  <c r="E161" i="8"/>
  <c r="F161" i="8"/>
  <c r="G161" i="8"/>
  <c r="A162" i="8"/>
  <c r="B162" i="8"/>
  <c r="C162" i="8"/>
  <c r="D162" i="8"/>
  <c r="E162" i="8"/>
  <c r="F162" i="8"/>
  <c r="G162" i="8"/>
  <c r="A163" i="8"/>
  <c r="B163" i="8"/>
  <c r="C163" i="8"/>
  <c r="D163" i="8"/>
  <c r="E163" i="8"/>
  <c r="F163" i="8"/>
  <c r="G163" i="8"/>
  <c r="A164" i="8"/>
  <c r="B164" i="8"/>
  <c r="C164" i="8"/>
  <c r="D164" i="8"/>
  <c r="E164" i="8"/>
  <c r="F164" i="8"/>
  <c r="G164" i="8"/>
  <c r="A165" i="8"/>
  <c r="B165" i="8"/>
  <c r="C165" i="8"/>
  <c r="D165" i="8"/>
  <c r="E165" i="8"/>
  <c r="F165" i="8"/>
  <c r="G165" i="8"/>
  <c r="A166" i="8"/>
  <c r="B166" i="8"/>
  <c r="C166" i="8"/>
  <c r="D166" i="8"/>
  <c r="E166" i="8"/>
  <c r="F166" i="8"/>
  <c r="G166" i="8"/>
  <c r="A167" i="8"/>
  <c r="B167" i="8"/>
  <c r="C167" i="8"/>
  <c r="D167" i="8"/>
  <c r="E167" i="8"/>
  <c r="F167" i="8"/>
  <c r="G167" i="8"/>
  <c r="A168" i="8"/>
  <c r="B168" i="8"/>
  <c r="C168" i="8"/>
  <c r="D168" i="8"/>
  <c r="E168" i="8"/>
  <c r="F168" i="8"/>
  <c r="G168" i="8"/>
  <c r="A169" i="8"/>
  <c r="B169" i="8"/>
  <c r="C169" i="8"/>
  <c r="D169" i="8"/>
  <c r="E169" i="8"/>
  <c r="F169" i="8"/>
  <c r="G169" i="8"/>
  <c r="A170" i="8"/>
  <c r="B170" i="8"/>
  <c r="C170" i="8"/>
  <c r="D170" i="8"/>
  <c r="E170" i="8"/>
  <c r="F170" i="8"/>
  <c r="G170" i="8"/>
  <c r="A171" i="8"/>
  <c r="B171" i="8"/>
  <c r="C171" i="8"/>
  <c r="D171" i="8"/>
  <c r="E171" i="8"/>
  <c r="F171" i="8"/>
  <c r="G171" i="8"/>
  <c r="A172" i="8"/>
  <c r="B172" i="8"/>
  <c r="C172" i="8"/>
  <c r="D172" i="8"/>
  <c r="E172" i="8"/>
  <c r="F172" i="8"/>
  <c r="G172" i="8"/>
  <c r="A173" i="8"/>
  <c r="B173" i="8"/>
  <c r="C173" i="8"/>
  <c r="D173" i="8"/>
  <c r="E173" i="8"/>
  <c r="F173" i="8"/>
  <c r="G173" i="8"/>
  <c r="A174" i="8"/>
  <c r="B174" i="8"/>
  <c r="C174" i="8"/>
  <c r="D174" i="8"/>
  <c r="E174" i="8"/>
  <c r="F174" i="8"/>
  <c r="G174" i="8"/>
  <c r="A175" i="8"/>
  <c r="B175" i="8"/>
  <c r="C175" i="8"/>
  <c r="D175" i="8"/>
  <c r="E175" i="8"/>
  <c r="F175" i="8"/>
  <c r="G175" i="8"/>
  <c r="A176" i="8"/>
  <c r="B176" i="8"/>
  <c r="C176" i="8"/>
  <c r="D176" i="8"/>
  <c r="E176" i="8"/>
  <c r="F176" i="8"/>
  <c r="G176" i="8"/>
  <c r="A177" i="8"/>
  <c r="B177" i="8"/>
  <c r="C177" i="8"/>
  <c r="D177" i="8"/>
  <c r="E177" i="8"/>
  <c r="F177" i="8"/>
  <c r="G177" i="8"/>
  <c r="A178" i="8"/>
  <c r="B178" i="8"/>
  <c r="C178" i="8"/>
  <c r="D178" i="8"/>
  <c r="E178" i="8"/>
  <c r="F178" i="8"/>
  <c r="G178" i="8"/>
  <c r="A179" i="8"/>
  <c r="B179" i="8"/>
  <c r="C179" i="8"/>
  <c r="D179" i="8"/>
  <c r="E179" i="8"/>
  <c r="F179" i="8"/>
  <c r="G179" i="8"/>
  <c r="A180" i="8"/>
  <c r="B180" i="8"/>
  <c r="C180" i="8"/>
  <c r="D180" i="8"/>
  <c r="E180" i="8"/>
  <c r="F180" i="8"/>
  <c r="G180" i="8"/>
  <c r="A181" i="8"/>
  <c r="B181" i="8"/>
  <c r="C181" i="8"/>
  <c r="D181" i="8"/>
  <c r="E181" i="8"/>
  <c r="F181" i="8"/>
  <c r="G181" i="8"/>
  <c r="A182" i="8"/>
  <c r="B182" i="8"/>
  <c r="C182" i="8"/>
  <c r="D182" i="8"/>
  <c r="E182" i="8"/>
  <c r="F182" i="8"/>
  <c r="G182" i="8"/>
  <c r="A183" i="8"/>
  <c r="B183" i="8"/>
  <c r="C183" i="8"/>
  <c r="D183" i="8"/>
  <c r="E183" i="8"/>
  <c r="F183" i="8"/>
  <c r="G183" i="8"/>
  <c r="A184" i="8"/>
  <c r="B184" i="8"/>
  <c r="C184" i="8"/>
  <c r="D184" i="8"/>
  <c r="E184" i="8"/>
  <c r="F184" i="8"/>
  <c r="G184" i="8"/>
  <c r="A185" i="8"/>
  <c r="B185" i="8"/>
  <c r="C185" i="8"/>
  <c r="D185" i="8"/>
  <c r="E185" i="8"/>
  <c r="F185" i="8"/>
  <c r="G185" i="8"/>
  <c r="A186" i="8"/>
  <c r="B186" i="8"/>
  <c r="C186" i="8"/>
  <c r="D186" i="8"/>
  <c r="E186" i="8"/>
  <c r="F186" i="8"/>
  <c r="G186" i="8"/>
  <c r="A187" i="8"/>
  <c r="B187" i="8"/>
  <c r="C187" i="8"/>
  <c r="D187" i="8"/>
  <c r="E187" i="8"/>
  <c r="F187" i="8"/>
  <c r="G187" i="8"/>
  <c r="A188" i="8"/>
  <c r="B188" i="8"/>
  <c r="C188" i="8"/>
  <c r="D188" i="8"/>
  <c r="E188" i="8"/>
  <c r="F188" i="8"/>
  <c r="G188" i="8"/>
  <c r="A189" i="8"/>
  <c r="B189" i="8"/>
  <c r="C189" i="8"/>
  <c r="D189" i="8"/>
  <c r="E189" i="8"/>
  <c r="F189" i="8"/>
  <c r="G189" i="8"/>
  <c r="A190" i="8"/>
  <c r="B190" i="8"/>
  <c r="C190" i="8"/>
  <c r="D190" i="8"/>
  <c r="E190" i="8"/>
  <c r="F190" i="8"/>
  <c r="G190" i="8"/>
  <c r="A191" i="8"/>
  <c r="B191" i="8"/>
  <c r="C191" i="8"/>
  <c r="D191" i="8"/>
  <c r="E191" i="8"/>
  <c r="F191" i="8"/>
  <c r="G191" i="8"/>
  <c r="A192" i="8"/>
  <c r="B192" i="8"/>
  <c r="C192" i="8"/>
  <c r="D192" i="8"/>
  <c r="E192" i="8"/>
  <c r="F192" i="8"/>
  <c r="G192" i="8"/>
  <c r="A193" i="8"/>
  <c r="B193" i="8"/>
  <c r="C193" i="8"/>
  <c r="D193" i="8"/>
  <c r="E193" i="8"/>
  <c r="F193" i="8"/>
  <c r="G193" i="8"/>
  <c r="A194" i="8"/>
  <c r="B194" i="8"/>
  <c r="C194" i="8"/>
  <c r="D194" i="8"/>
  <c r="E194" i="8"/>
  <c r="F194" i="8"/>
  <c r="G194" i="8"/>
  <c r="A195" i="8"/>
  <c r="B195" i="8"/>
  <c r="C195" i="8"/>
  <c r="D195" i="8"/>
  <c r="E195" i="8"/>
  <c r="F195" i="8"/>
  <c r="G195" i="8"/>
  <c r="A196" i="8"/>
  <c r="B196" i="8"/>
  <c r="C196" i="8"/>
  <c r="D196" i="8"/>
  <c r="E196" i="8"/>
  <c r="F196" i="8"/>
  <c r="G196" i="8"/>
  <c r="A197" i="8"/>
  <c r="B197" i="8"/>
  <c r="C197" i="8"/>
  <c r="D197" i="8"/>
  <c r="E197" i="8"/>
  <c r="F197" i="8"/>
  <c r="G197" i="8"/>
  <c r="A198" i="8"/>
  <c r="B198" i="8"/>
  <c r="C198" i="8"/>
  <c r="D198" i="8"/>
  <c r="E198" i="8"/>
  <c r="F198" i="8"/>
  <c r="G198" i="8"/>
  <c r="A199" i="8"/>
  <c r="B199" i="8"/>
  <c r="C199" i="8"/>
  <c r="D199" i="8"/>
  <c r="E199" i="8"/>
  <c r="F199" i="8"/>
  <c r="G199" i="8"/>
  <c r="A200" i="8"/>
  <c r="B200" i="8"/>
  <c r="C200" i="8"/>
  <c r="D200" i="8"/>
  <c r="E200" i="8"/>
  <c r="F200" i="8"/>
  <c r="G200" i="8"/>
  <c r="A201" i="8"/>
  <c r="B201" i="8"/>
  <c r="C201" i="8"/>
  <c r="D201" i="8"/>
  <c r="E201" i="8"/>
  <c r="F201" i="8"/>
  <c r="G201" i="8"/>
  <c r="A202" i="8"/>
  <c r="B202" i="8"/>
  <c r="C202" i="8"/>
  <c r="D202" i="8"/>
  <c r="E202" i="8"/>
  <c r="F202" i="8"/>
  <c r="G202" i="8"/>
  <c r="A203" i="8"/>
  <c r="B203" i="8"/>
  <c r="C203" i="8"/>
  <c r="D203" i="8"/>
  <c r="E203" i="8"/>
  <c r="F203" i="8"/>
  <c r="G203" i="8"/>
  <c r="A204" i="8"/>
  <c r="B204" i="8"/>
  <c r="C204" i="8"/>
  <c r="D204" i="8"/>
  <c r="E204" i="8"/>
  <c r="F204" i="8"/>
  <c r="G204" i="8"/>
  <c r="A205" i="8"/>
  <c r="B205" i="8"/>
  <c r="C205" i="8"/>
  <c r="D205" i="8"/>
  <c r="E205" i="8"/>
  <c r="F205" i="8"/>
  <c r="G205" i="8"/>
  <c r="A206" i="8"/>
  <c r="B206" i="8"/>
  <c r="C206" i="8"/>
  <c r="D206" i="8"/>
  <c r="E206" i="8"/>
  <c r="F206" i="8"/>
  <c r="G206" i="8"/>
  <c r="A207" i="8"/>
  <c r="B207" i="8"/>
  <c r="C207" i="8"/>
  <c r="D207" i="8"/>
  <c r="E207" i="8"/>
  <c r="F207" i="8"/>
  <c r="G207" i="8"/>
  <c r="A208" i="8"/>
  <c r="B208" i="8"/>
  <c r="C208" i="8"/>
  <c r="D208" i="8"/>
  <c r="E208" i="8"/>
  <c r="F208" i="8"/>
  <c r="G208" i="8"/>
  <c r="A209" i="8"/>
  <c r="B209" i="8"/>
  <c r="C209" i="8"/>
  <c r="D209" i="8"/>
  <c r="E209" i="8"/>
  <c r="F209" i="8"/>
  <c r="G209" i="8"/>
  <c r="A210" i="8"/>
  <c r="B210" i="8"/>
  <c r="C210" i="8"/>
  <c r="D210" i="8"/>
  <c r="E210" i="8"/>
  <c r="F210" i="8"/>
  <c r="G210" i="8"/>
  <c r="A211" i="8"/>
  <c r="B211" i="8"/>
  <c r="C211" i="8"/>
  <c r="D211" i="8"/>
  <c r="E211" i="8"/>
  <c r="F211" i="8"/>
  <c r="G211" i="8"/>
  <c r="A212" i="8"/>
  <c r="B212" i="8"/>
  <c r="C212" i="8"/>
  <c r="D212" i="8"/>
  <c r="E212" i="8"/>
  <c r="F212" i="8"/>
  <c r="G212" i="8"/>
  <c r="A213" i="8"/>
  <c r="B213" i="8"/>
  <c r="C213" i="8"/>
  <c r="D213" i="8"/>
  <c r="E213" i="8"/>
  <c r="F213" i="8"/>
  <c r="G213" i="8"/>
  <c r="A214" i="8"/>
  <c r="B214" i="8"/>
  <c r="C214" i="8"/>
  <c r="D214" i="8"/>
  <c r="E214" i="8"/>
  <c r="F214" i="8"/>
  <c r="G214" i="8"/>
  <c r="A215" i="8"/>
  <c r="B215" i="8"/>
  <c r="C215" i="8"/>
  <c r="D215" i="8"/>
  <c r="E215" i="8"/>
  <c r="F215" i="8"/>
  <c r="G215" i="8"/>
  <c r="A216" i="8"/>
  <c r="B216" i="8"/>
  <c r="C216" i="8"/>
  <c r="D216" i="8"/>
  <c r="E216" i="8"/>
  <c r="F216" i="8"/>
  <c r="G216" i="8"/>
  <c r="A217" i="8"/>
  <c r="B217" i="8"/>
  <c r="C217" i="8"/>
  <c r="D217" i="8"/>
  <c r="E217" i="8"/>
  <c r="F217" i="8"/>
  <c r="G217" i="8"/>
  <c r="A218" i="8"/>
  <c r="B218" i="8"/>
  <c r="C218" i="8"/>
  <c r="D218" i="8"/>
  <c r="E218" i="8"/>
  <c r="F218" i="8"/>
  <c r="G218" i="8"/>
  <c r="A219" i="8"/>
  <c r="B219" i="8"/>
  <c r="C219" i="8"/>
  <c r="D219" i="8"/>
  <c r="E219" i="8"/>
  <c r="F219" i="8"/>
  <c r="G219" i="8"/>
  <c r="A220" i="8"/>
  <c r="B220" i="8"/>
  <c r="C220" i="8"/>
  <c r="D220" i="8"/>
  <c r="E220" i="8"/>
  <c r="F220" i="8"/>
  <c r="G220" i="8"/>
  <c r="A221" i="8"/>
  <c r="B221" i="8"/>
  <c r="C221" i="8"/>
  <c r="D221" i="8"/>
  <c r="E221" i="8"/>
  <c r="F221" i="8"/>
  <c r="G221" i="8"/>
  <c r="A222" i="8"/>
  <c r="B222" i="8"/>
  <c r="C222" i="8"/>
  <c r="D222" i="8"/>
  <c r="E222" i="8"/>
  <c r="F222" i="8"/>
  <c r="G222" i="8"/>
  <c r="A223" i="8"/>
  <c r="B223" i="8"/>
  <c r="C223" i="8"/>
  <c r="D223" i="8"/>
  <c r="E223" i="8"/>
  <c r="F223" i="8"/>
  <c r="G223" i="8"/>
  <c r="A224" i="8"/>
  <c r="B224" i="8"/>
  <c r="C224" i="8"/>
  <c r="D224" i="8"/>
  <c r="E224" i="8"/>
  <c r="F224" i="8"/>
  <c r="G224" i="8"/>
  <c r="A225" i="8"/>
  <c r="B225" i="8"/>
  <c r="C225" i="8"/>
  <c r="D225" i="8"/>
  <c r="E225" i="8"/>
  <c r="F225" i="8"/>
  <c r="G225" i="8"/>
  <c r="A226" i="8"/>
  <c r="B226" i="8"/>
  <c r="C226" i="8"/>
  <c r="D226" i="8"/>
  <c r="E226" i="8"/>
  <c r="F226" i="8"/>
  <c r="G226" i="8"/>
  <c r="A227" i="8"/>
  <c r="B227" i="8"/>
  <c r="C227" i="8"/>
  <c r="D227" i="8"/>
  <c r="E227" i="8"/>
  <c r="F227" i="8"/>
  <c r="G227" i="8"/>
  <c r="A228" i="8"/>
  <c r="B228" i="8"/>
  <c r="C228" i="8"/>
  <c r="D228" i="8"/>
  <c r="E228" i="8"/>
  <c r="F228" i="8"/>
  <c r="G228" i="8"/>
  <c r="A229" i="8"/>
  <c r="B229" i="8"/>
  <c r="C229" i="8"/>
  <c r="D229" i="8"/>
  <c r="E229" i="8"/>
  <c r="F229" i="8"/>
  <c r="G229" i="8"/>
  <c r="A230" i="8"/>
  <c r="B230" i="8"/>
  <c r="C230" i="8"/>
  <c r="D230" i="8"/>
  <c r="E230" i="8"/>
  <c r="F230" i="8"/>
  <c r="G230" i="8"/>
  <c r="A231" i="8"/>
  <c r="B231" i="8"/>
  <c r="C231" i="8"/>
  <c r="D231" i="8"/>
  <c r="E231" i="8"/>
  <c r="F231" i="8"/>
  <c r="G231" i="8"/>
  <c r="A232" i="8"/>
  <c r="B232" i="8"/>
  <c r="C232" i="8"/>
  <c r="D232" i="8"/>
  <c r="E232" i="8"/>
  <c r="F232" i="8"/>
  <c r="G232" i="8"/>
  <c r="A233" i="8"/>
  <c r="B233" i="8"/>
  <c r="C233" i="8"/>
  <c r="D233" i="8"/>
  <c r="E233" i="8"/>
  <c r="F233" i="8"/>
  <c r="G233" i="8"/>
  <c r="A234" i="8"/>
  <c r="B234" i="8"/>
  <c r="C234" i="8"/>
  <c r="D234" i="8"/>
  <c r="E234" i="8"/>
  <c r="F234" i="8"/>
  <c r="G234" i="8"/>
  <c r="A235" i="8"/>
  <c r="B235" i="8"/>
  <c r="C235" i="8"/>
  <c r="D235" i="8"/>
  <c r="E235" i="8"/>
  <c r="F235" i="8"/>
  <c r="G235" i="8"/>
  <c r="A236" i="8"/>
  <c r="B236" i="8"/>
  <c r="C236" i="8"/>
  <c r="D236" i="8"/>
  <c r="E236" i="8"/>
  <c r="F236" i="8"/>
  <c r="G236" i="8"/>
  <c r="A237" i="8"/>
  <c r="B237" i="8"/>
  <c r="C237" i="8"/>
  <c r="D237" i="8"/>
  <c r="E237" i="8"/>
  <c r="F237" i="8"/>
  <c r="G237" i="8"/>
  <c r="A238" i="8"/>
  <c r="B238" i="8"/>
  <c r="C238" i="8"/>
  <c r="D238" i="8"/>
  <c r="E238" i="8"/>
  <c r="F238" i="8"/>
  <c r="G238" i="8"/>
  <c r="A239" i="8"/>
  <c r="B239" i="8"/>
  <c r="C239" i="8"/>
  <c r="D239" i="8"/>
  <c r="E239" i="8"/>
  <c r="F239" i="8"/>
  <c r="G239" i="8"/>
  <c r="A240" i="8"/>
  <c r="B240" i="8"/>
  <c r="C240" i="8"/>
  <c r="D240" i="8"/>
  <c r="E240" i="8"/>
  <c r="F240" i="8"/>
  <c r="G240" i="8"/>
  <c r="A241" i="8"/>
  <c r="B241" i="8"/>
  <c r="C241" i="8"/>
  <c r="D241" i="8"/>
  <c r="E241" i="8"/>
  <c r="F241" i="8"/>
  <c r="G241" i="8"/>
  <c r="A242" i="8"/>
  <c r="B242" i="8"/>
  <c r="C242" i="8"/>
  <c r="D242" i="8"/>
  <c r="E242" i="8"/>
  <c r="F242" i="8"/>
  <c r="G242" i="8"/>
  <c r="A243" i="8"/>
  <c r="B243" i="8"/>
  <c r="C243" i="8"/>
  <c r="D243" i="8"/>
  <c r="E243" i="8"/>
  <c r="F243" i="8"/>
  <c r="G243" i="8"/>
  <c r="A244" i="8"/>
  <c r="B244" i="8"/>
  <c r="C244" i="8"/>
  <c r="D244" i="8"/>
  <c r="E244" i="8"/>
  <c r="F244" i="8"/>
  <c r="G244" i="8"/>
  <c r="A245" i="8"/>
  <c r="B245" i="8"/>
  <c r="C245" i="8"/>
  <c r="D245" i="8"/>
  <c r="E245" i="8"/>
  <c r="F245" i="8"/>
  <c r="G245" i="8"/>
  <c r="A246" i="8"/>
  <c r="B246" i="8"/>
  <c r="C246" i="8"/>
  <c r="D246" i="8"/>
  <c r="E246" i="8"/>
  <c r="F246" i="8"/>
  <c r="G246" i="8"/>
  <c r="A247" i="8"/>
  <c r="B247" i="8"/>
  <c r="C247" i="8"/>
  <c r="D247" i="8"/>
  <c r="E247" i="8"/>
  <c r="F247" i="8"/>
  <c r="G247" i="8"/>
  <c r="A248" i="8"/>
  <c r="B248" i="8"/>
  <c r="C248" i="8"/>
  <c r="D248" i="8"/>
  <c r="E248" i="8"/>
  <c r="F248" i="8"/>
  <c r="G248" i="8"/>
  <c r="A249" i="8"/>
  <c r="B249" i="8"/>
  <c r="C249" i="8"/>
  <c r="D249" i="8"/>
  <c r="E249" i="8"/>
  <c r="F249" i="8"/>
  <c r="G249" i="8"/>
  <c r="A250" i="8"/>
  <c r="B250" i="8"/>
  <c r="C250" i="8"/>
  <c r="D250" i="8"/>
  <c r="E250" i="8"/>
  <c r="F250" i="8"/>
  <c r="G250" i="8"/>
  <c r="A251" i="8"/>
  <c r="B251" i="8"/>
  <c r="C251" i="8"/>
  <c r="D251" i="8"/>
  <c r="E251" i="8"/>
  <c r="F251" i="8"/>
  <c r="G251" i="8"/>
  <c r="A252" i="8"/>
  <c r="B252" i="8"/>
  <c r="C252" i="8"/>
  <c r="D252" i="8"/>
  <c r="E252" i="8"/>
  <c r="F252" i="8"/>
  <c r="G252" i="8"/>
  <c r="A253" i="8"/>
  <c r="B253" i="8"/>
  <c r="C253" i="8"/>
  <c r="D253" i="8"/>
  <c r="E253" i="8"/>
  <c r="F253" i="8"/>
  <c r="G253" i="8"/>
  <c r="A254" i="8"/>
  <c r="B254" i="8"/>
  <c r="C254" i="8"/>
  <c r="D254" i="8"/>
  <c r="E254" i="8"/>
  <c r="F254" i="8"/>
  <c r="G254" i="8"/>
  <c r="A255" i="8"/>
  <c r="B255" i="8"/>
  <c r="C255" i="8"/>
  <c r="D255" i="8"/>
  <c r="E255" i="8"/>
  <c r="F255" i="8"/>
  <c r="G255" i="8"/>
  <c r="A256" i="8"/>
  <c r="B256" i="8"/>
  <c r="C256" i="8"/>
  <c r="D256" i="8"/>
  <c r="E256" i="8"/>
  <c r="F256" i="8"/>
  <c r="G256" i="8"/>
  <c r="A257" i="8"/>
  <c r="B257" i="8"/>
  <c r="C257" i="8"/>
  <c r="D257" i="8"/>
  <c r="E257" i="8"/>
  <c r="F257" i="8"/>
  <c r="G257" i="8"/>
  <c r="A258" i="8"/>
  <c r="B258" i="8"/>
  <c r="C258" i="8"/>
  <c r="D258" i="8"/>
  <c r="E258" i="8"/>
  <c r="F258" i="8"/>
  <c r="G258" i="8"/>
  <c r="A259" i="8"/>
  <c r="B259" i="8"/>
  <c r="C259" i="8"/>
  <c r="D259" i="8"/>
  <c r="E259" i="8"/>
  <c r="F259" i="8"/>
  <c r="G259" i="8"/>
  <c r="A260" i="8"/>
  <c r="B260" i="8"/>
  <c r="C260" i="8"/>
  <c r="D260" i="8"/>
  <c r="E260" i="8"/>
  <c r="F260" i="8"/>
  <c r="G260" i="8"/>
  <c r="A261" i="8"/>
  <c r="B261" i="8"/>
  <c r="C261" i="8"/>
  <c r="D261" i="8"/>
  <c r="E261" i="8"/>
  <c r="F261" i="8"/>
  <c r="G261" i="8"/>
  <c r="A262" i="8"/>
  <c r="B262" i="8"/>
  <c r="C262" i="8"/>
  <c r="D262" i="8"/>
  <c r="E262" i="8"/>
  <c r="F262" i="8"/>
  <c r="G262" i="8"/>
  <c r="A263" i="8"/>
  <c r="B263" i="8"/>
  <c r="C263" i="8"/>
  <c r="D263" i="8"/>
  <c r="E263" i="8"/>
  <c r="F263" i="8"/>
  <c r="G263" i="8"/>
  <c r="A264" i="8"/>
  <c r="B264" i="8"/>
  <c r="C264" i="8"/>
  <c r="D264" i="8"/>
  <c r="E264" i="8"/>
  <c r="F264" i="8"/>
  <c r="G264" i="8"/>
  <c r="A265" i="8"/>
  <c r="B265" i="8"/>
  <c r="C265" i="8"/>
  <c r="D265" i="8"/>
  <c r="E265" i="8"/>
  <c r="F265" i="8"/>
  <c r="G265" i="8"/>
  <c r="A266" i="8"/>
  <c r="B266" i="8"/>
  <c r="C266" i="8"/>
  <c r="D266" i="8"/>
  <c r="E266" i="8"/>
  <c r="F266" i="8"/>
  <c r="G266" i="8"/>
  <c r="A267" i="8"/>
  <c r="B267" i="8"/>
  <c r="C267" i="8"/>
  <c r="D267" i="8"/>
  <c r="E267" i="8"/>
  <c r="F267" i="8"/>
  <c r="G267" i="8"/>
  <c r="A268" i="8"/>
  <c r="B268" i="8"/>
  <c r="C268" i="8"/>
  <c r="D268" i="8"/>
  <c r="E268" i="8"/>
  <c r="F268" i="8"/>
  <c r="G268" i="8"/>
  <c r="A269" i="8"/>
  <c r="B269" i="8"/>
  <c r="C269" i="8"/>
  <c r="D269" i="8"/>
  <c r="E269" i="8"/>
  <c r="F269" i="8"/>
  <c r="G269" i="8"/>
  <c r="A270" i="8"/>
  <c r="B270" i="8"/>
  <c r="C270" i="8"/>
  <c r="D270" i="8"/>
  <c r="E270" i="8"/>
  <c r="F270" i="8"/>
  <c r="G270" i="8"/>
  <c r="A271" i="8"/>
  <c r="B271" i="8"/>
  <c r="C271" i="8"/>
  <c r="D271" i="8"/>
  <c r="E271" i="8"/>
  <c r="F271" i="8"/>
  <c r="G271" i="8"/>
  <c r="A272" i="8"/>
  <c r="B272" i="8"/>
  <c r="C272" i="8"/>
  <c r="D272" i="8"/>
  <c r="E272" i="8"/>
  <c r="F272" i="8"/>
  <c r="G272" i="8"/>
  <c r="A273" i="8"/>
  <c r="B273" i="8"/>
  <c r="C273" i="8"/>
  <c r="D273" i="8"/>
  <c r="E273" i="8"/>
  <c r="F273" i="8"/>
  <c r="G273" i="8"/>
  <c r="A274" i="8"/>
  <c r="B274" i="8"/>
  <c r="C274" i="8"/>
  <c r="D274" i="8"/>
  <c r="E274" i="8"/>
  <c r="F274" i="8"/>
  <c r="G274" i="8"/>
  <c r="A275" i="8"/>
  <c r="B275" i="8"/>
  <c r="C275" i="8"/>
  <c r="D275" i="8"/>
  <c r="E275" i="8"/>
  <c r="F275" i="8"/>
  <c r="G275" i="8"/>
  <c r="A276" i="8"/>
  <c r="B276" i="8"/>
  <c r="C276" i="8"/>
  <c r="D276" i="8"/>
  <c r="E276" i="8"/>
  <c r="F276" i="8"/>
  <c r="G276" i="8"/>
  <c r="A277" i="8"/>
  <c r="B277" i="8"/>
  <c r="C277" i="8"/>
  <c r="D277" i="8"/>
  <c r="E277" i="8"/>
  <c r="F277" i="8"/>
  <c r="G277" i="8"/>
  <c r="A278" i="8"/>
  <c r="B278" i="8"/>
  <c r="C278" i="8"/>
  <c r="D278" i="8"/>
  <c r="E278" i="8"/>
  <c r="F278" i="8"/>
  <c r="G278" i="8"/>
  <c r="A279" i="8"/>
  <c r="B279" i="8"/>
  <c r="C279" i="8"/>
  <c r="D279" i="8"/>
  <c r="E279" i="8"/>
  <c r="F279" i="8"/>
  <c r="G279" i="8"/>
  <c r="A280" i="8"/>
  <c r="B280" i="8"/>
  <c r="C280" i="8"/>
  <c r="D280" i="8"/>
  <c r="E280" i="8"/>
  <c r="F280" i="8"/>
  <c r="G280" i="8"/>
  <c r="A281" i="8"/>
  <c r="B281" i="8"/>
  <c r="C281" i="8"/>
  <c r="D281" i="8"/>
  <c r="E281" i="8"/>
  <c r="F281" i="8"/>
  <c r="G281" i="8"/>
  <c r="A282" i="8"/>
  <c r="B282" i="8"/>
  <c r="C282" i="8"/>
  <c r="D282" i="8"/>
  <c r="E282" i="8"/>
  <c r="F282" i="8"/>
  <c r="G282" i="8"/>
  <c r="A283" i="8"/>
  <c r="B283" i="8"/>
  <c r="C283" i="8"/>
  <c r="D283" i="8"/>
  <c r="E283" i="8"/>
  <c r="F283" i="8"/>
  <c r="G283" i="8"/>
  <c r="A284" i="8"/>
  <c r="B284" i="8"/>
  <c r="C284" i="8"/>
  <c r="D284" i="8"/>
  <c r="E284" i="8"/>
  <c r="F284" i="8"/>
  <c r="G284" i="8"/>
  <c r="A285" i="8"/>
  <c r="B285" i="8"/>
  <c r="C285" i="8"/>
  <c r="D285" i="8"/>
  <c r="E285" i="8"/>
  <c r="F285" i="8"/>
  <c r="G285" i="8"/>
  <c r="A286" i="8"/>
  <c r="B286" i="8"/>
  <c r="C286" i="8"/>
  <c r="D286" i="8"/>
  <c r="E286" i="8"/>
  <c r="F286" i="8"/>
  <c r="G286" i="8"/>
  <c r="A287" i="8"/>
  <c r="B287" i="8"/>
  <c r="C287" i="8"/>
  <c r="D287" i="8"/>
  <c r="E287" i="8"/>
  <c r="F287" i="8"/>
  <c r="G287" i="8"/>
  <c r="A288" i="8"/>
  <c r="B288" i="8"/>
  <c r="C288" i="8"/>
  <c r="D288" i="8"/>
  <c r="E288" i="8"/>
  <c r="F288" i="8"/>
  <c r="G288" i="8"/>
  <c r="A289" i="8"/>
  <c r="B289" i="8"/>
  <c r="C289" i="8"/>
  <c r="D289" i="8"/>
  <c r="E289" i="8"/>
  <c r="F289" i="8"/>
  <c r="G289" i="8"/>
  <c r="A290" i="8"/>
  <c r="B290" i="8"/>
  <c r="C290" i="8"/>
  <c r="D290" i="8"/>
  <c r="E290" i="8"/>
  <c r="F290" i="8"/>
  <c r="G290" i="8"/>
  <c r="A291" i="8"/>
  <c r="B291" i="8"/>
  <c r="C291" i="8"/>
  <c r="D291" i="8"/>
  <c r="E291" i="8"/>
  <c r="F291" i="8"/>
  <c r="G291" i="8"/>
  <c r="A292" i="8"/>
  <c r="B292" i="8"/>
  <c r="C292" i="8"/>
  <c r="D292" i="8"/>
  <c r="E292" i="8"/>
  <c r="F292" i="8"/>
  <c r="G292" i="8"/>
  <c r="A293" i="8"/>
  <c r="B293" i="8"/>
  <c r="C293" i="8"/>
  <c r="D293" i="8"/>
  <c r="E293" i="8"/>
  <c r="F293" i="8"/>
  <c r="G293" i="8"/>
  <c r="A294" i="8"/>
  <c r="B294" i="8"/>
  <c r="C294" i="8"/>
  <c r="D294" i="8"/>
  <c r="E294" i="8"/>
  <c r="F294" i="8"/>
  <c r="G294" i="8"/>
  <c r="A295" i="8"/>
  <c r="B295" i="8"/>
  <c r="C295" i="8"/>
  <c r="D295" i="8"/>
  <c r="E295" i="8"/>
  <c r="F295" i="8"/>
  <c r="G295" i="8"/>
  <c r="A296" i="8"/>
  <c r="B296" i="8"/>
  <c r="C296" i="8"/>
  <c r="D296" i="8"/>
  <c r="E296" i="8"/>
  <c r="F296" i="8"/>
  <c r="G296" i="8"/>
  <c r="A297" i="8"/>
  <c r="B297" i="8"/>
  <c r="C297" i="8"/>
  <c r="D297" i="8"/>
  <c r="E297" i="8"/>
  <c r="F297" i="8"/>
  <c r="G297" i="8"/>
  <c r="A298" i="8"/>
  <c r="B298" i="8"/>
  <c r="C298" i="8"/>
  <c r="D298" i="8"/>
  <c r="E298" i="8"/>
  <c r="F298" i="8"/>
  <c r="G298" i="8"/>
  <c r="A299" i="8"/>
  <c r="B299" i="8"/>
  <c r="C299" i="8"/>
  <c r="D299" i="8"/>
  <c r="E299" i="8"/>
  <c r="F299" i="8"/>
  <c r="G299" i="8"/>
  <c r="A300" i="8"/>
  <c r="B300" i="8"/>
  <c r="C300" i="8"/>
  <c r="D300" i="8"/>
  <c r="E300" i="8"/>
  <c r="F300" i="8"/>
  <c r="G300" i="8"/>
  <c r="A301" i="8"/>
  <c r="B301" i="8"/>
  <c r="C301" i="8"/>
  <c r="D301" i="8"/>
  <c r="E301" i="8"/>
  <c r="F301" i="8"/>
  <c r="G301" i="8"/>
  <c r="A302" i="8"/>
  <c r="B302" i="8"/>
  <c r="C302" i="8"/>
  <c r="D302" i="8"/>
  <c r="E302" i="8"/>
  <c r="F302" i="8"/>
  <c r="G302" i="8"/>
  <c r="A303" i="8"/>
  <c r="B303" i="8"/>
  <c r="C303" i="8"/>
  <c r="D303" i="8"/>
  <c r="E303" i="8"/>
  <c r="F303" i="8"/>
  <c r="G303" i="8"/>
  <c r="A304" i="8"/>
  <c r="B304" i="8"/>
  <c r="C304" i="8"/>
  <c r="D304" i="8"/>
  <c r="E304" i="8"/>
  <c r="F304" i="8"/>
  <c r="G304" i="8"/>
  <c r="A305" i="8"/>
  <c r="B305" i="8"/>
  <c r="C305" i="8"/>
  <c r="D305" i="8"/>
  <c r="E305" i="8"/>
  <c r="F305" i="8"/>
  <c r="G305" i="8"/>
  <c r="A306" i="8"/>
  <c r="B306" i="8"/>
  <c r="C306" i="8"/>
  <c r="D306" i="8"/>
  <c r="E306" i="8"/>
  <c r="F306" i="8"/>
  <c r="G306" i="8"/>
  <c r="A307" i="8"/>
  <c r="B307" i="8"/>
  <c r="C307" i="8"/>
  <c r="D307" i="8"/>
  <c r="E307" i="8"/>
  <c r="F307" i="8"/>
  <c r="G307" i="8"/>
  <c r="A308" i="8"/>
  <c r="B308" i="8"/>
  <c r="C308" i="8"/>
  <c r="D308" i="8"/>
  <c r="E308" i="8"/>
  <c r="F308" i="8"/>
  <c r="G308" i="8"/>
  <c r="A309" i="8"/>
  <c r="B309" i="8"/>
  <c r="C309" i="8"/>
  <c r="D309" i="8"/>
  <c r="E309" i="8"/>
  <c r="F309" i="8"/>
  <c r="G309" i="8"/>
  <c r="A310" i="8"/>
  <c r="B310" i="8"/>
  <c r="C310" i="8"/>
  <c r="D310" i="8"/>
  <c r="E310" i="8"/>
  <c r="F310" i="8"/>
  <c r="G310" i="8"/>
  <c r="A311" i="8"/>
  <c r="B311" i="8"/>
  <c r="C311" i="8"/>
  <c r="D311" i="8"/>
  <c r="E311" i="8"/>
  <c r="F311" i="8"/>
  <c r="G311" i="8"/>
  <c r="A312" i="8"/>
  <c r="B312" i="8"/>
  <c r="C312" i="8"/>
  <c r="D312" i="8"/>
  <c r="E312" i="8"/>
  <c r="F312" i="8"/>
  <c r="G312" i="8"/>
  <c r="A313" i="8"/>
  <c r="B313" i="8"/>
  <c r="C313" i="8"/>
  <c r="D313" i="8"/>
  <c r="E313" i="8"/>
  <c r="F313" i="8"/>
  <c r="G313" i="8"/>
  <c r="A314" i="8"/>
  <c r="B314" i="8"/>
  <c r="C314" i="8"/>
  <c r="D314" i="8"/>
  <c r="E314" i="8"/>
  <c r="F314" i="8"/>
  <c r="G314" i="8"/>
  <c r="A315" i="8"/>
  <c r="B315" i="8"/>
  <c r="C315" i="8"/>
  <c r="D315" i="8"/>
  <c r="E315" i="8"/>
  <c r="F315" i="8"/>
  <c r="G315" i="8"/>
  <c r="A316" i="8"/>
  <c r="B316" i="8"/>
  <c r="C316" i="8"/>
  <c r="D316" i="8"/>
  <c r="E316" i="8"/>
  <c r="F316" i="8"/>
  <c r="G316" i="8"/>
  <c r="A317" i="8"/>
  <c r="B317" i="8"/>
  <c r="C317" i="8"/>
  <c r="D317" i="8"/>
  <c r="E317" i="8"/>
  <c r="F317" i="8"/>
  <c r="G317" i="8"/>
  <c r="A318" i="8"/>
  <c r="B318" i="8"/>
  <c r="C318" i="8"/>
  <c r="D318" i="8"/>
  <c r="E318" i="8"/>
  <c r="F318" i="8"/>
  <c r="G318" i="8"/>
  <c r="A319" i="8"/>
  <c r="B319" i="8"/>
  <c r="C319" i="8"/>
  <c r="D319" i="8"/>
  <c r="E319" i="8"/>
  <c r="F319" i="8"/>
  <c r="G319" i="8"/>
  <c r="A320" i="8"/>
  <c r="B320" i="8"/>
  <c r="C320" i="8"/>
  <c r="D320" i="8"/>
  <c r="E320" i="8"/>
  <c r="F320" i="8"/>
  <c r="G320" i="8"/>
  <c r="A321" i="8"/>
  <c r="B321" i="8"/>
  <c r="C321" i="8"/>
  <c r="D321" i="8"/>
  <c r="E321" i="8"/>
  <c r="F321" i="8"/>
  <c r="G321" i="8"/>
  <c r="A322" i="8"/>
  <c r="B322" i="8"/>
  <c r="C322" i="8"/>
  <c r="D322" i="8"/>
  <c r="E322" i="8"/>
  <c r="F322" i="8"/>
  <c r="G322" i="8"/>
  <c r="A323" i="8"/>
  <c r="B323" i="8"/>
  <c r="C323" i="8"/>
  <c r="D323" i="8"/>
  <c r="E323" i="8"/>
  <c r="F323" i="8"/>
  <c r="G323" i="8"/>
  <c r="A324" i="8"/>
  <c r="B324" i="8"/>
  <c r="C324" i="8"/>
  <c r="D324" i="8"/>
  <c r="E324" i="8"/>
  <c r="F324" i="8"/>
  <c r="G324" i="8"/>
  <c r="A325" i="8"/>
  <c r="B325" i="8"/>
  <c r="C325" i="8"/>
  <c r="D325" i="8"/>
  <c r="E325" i="8"/>
  <c r="F325" i="8"/>
  <c r="G325" i="8"/>
  <c r="A326" i="8"/>
  <c r="B326" i="8"/>
  <c r="C326" i="8"/>
  <c r="D326" i="8"/>
  <c r="E326" i="8"/>
  <c r="F326" i="8"/>
  <c r="G326" i="8"/>
  <c r="A327" i="8"/>
  <c r="B327" i="8"/>
  <c r="C327" i="8"/>
  <c r="D327" i="8"/>
  <c r="E327" i="8"/>
  <c r="F327" i="8"/>
  <c r="G327" i="8"/>
  <c r="A328" i="8"/>
  <c r="B328" i="8"/>
  <c r="C328" i="8"/>
  <c r="D328" i="8"/>
  <c r="E328" i="8"/>
  <c r="F328" i="8"/>
  <c r="G328" i="8"/>
  <c r="A329" i="8"/>
  <c r="B329" i="8"/>
  <c r="C329" i="8"/>
  <c r="D329" i="8"/>
  <c r="E329" i="8"/>
  <c r="F329" i="8"/>
  <c r="G329" i="8"/>
  <c r="A330" i="8"/>
  <c r="B330" i="8"/>
  <c r="C330" i="8"/>
  <c r="D330" i="8"/>
  <c r="E330" i="8"/>
  <c r="F330" i="8"/>
  <c r="G330" i="8"/>
  <c r="A331" i="8"/>
  <c r="B331" i="8"/>
  <c r="C331" i="8"/>
  <c r="D331" i="8"/>
  <c r="E331" i="8"/>
  <c r="F331" i="8"/>
  <c r="G331" i="8"/>
  <c r="A332" i="8"/>
  <c r="B332" i="8"/>
  <c r="C332" i="8"/>
  <c r="D332" i="8"/>
  <c r="E332" i="8"/>
  <c r="F332" i="8"/>
  <c r="G332" i="8"/>
  <c r="A333" i="8"/>
  <c r="B333" i="8"/>
  <c r="C333" i="8"/>
  <c r="D333" i="8"/>
  <c r="E333" i="8"/>
  <c r="F333" i="8"/>
  <c r="G333" i="8"/>
  <c r="A334" i="8"/>
  <c r="B334" i="8"/>
  <c r="C334" i="8"/>
  <c r="D334" i="8"/>
  <c r="E334" i="8"/>
  <c r="F334" i="8"/>
  <c r="G334" i="8"/>
  <c r="A335" i="8"/>
  <c r="B335" i="8"/>
  <c r="C335" i="8"/>
  <c r="D335" i="8"/>
  <c r="E335" i="8"/>
  <c r="F335" i="8"/>
  <c r="G335" i="8"/>
  <c r="A336" i="8"/>
  <c r="B336" i="8"/>
  <c r="C336" i="8"/>
  <c r="D336" i="8"/>
  <c r="E336" i="8"/>
  <c r="F336" i="8"/>
  <c r="G336" i="8"/>
  <c r="A337" i="8"/>
  <c r="B337" i="8"/>
  <c r="C337" i="8"/>
  <c r="D337" i="8"/>
  <c r="E337" i="8"/>
  <c r="F337" i="8"/>
  <c r="G337" i="8"/>
  <c r="A338" i="8"/>
  <c r="B338" i="8"/>
  <c r="C338" i="8"/>
  <c r="D338" i="8"/>
  <c r="E338" i="8"/>
  <c r="F338" i="8"/>
  <c r="G338" i="8"/>
  <c r="A339" i="8"/>
  <c r="B339" i="8"/>
  <c r="C339" i="8"/>
  <c r="D339" i="8"/>
  <c r="E339" i="8"/>
  <c r="F339" i="8"/>
  <c r="G339" i="8"/>
  <c r="A340" i="8"/>
  <c r="B340" i="8"/>
  <c r="C340" i="8"/>
  <c r="D340" i="8"/>
  <c r="E340" i="8"/>
  <c r="F340" i="8"/>
  <c r="G340" i="8"/>
  <c r="A341" i="8"/>
  <c r="B341" i="8"/>
  <c r="C341" i="8"/>
  <c r="D341" i="8"/>
  <c r="E341" i="8"/>
  <c r="F341" i="8"/>
  <c r="G341" i="8"/>
  <c r="A342" i="8"/>
  <c r="B342" i="8"/>
  <c r="C342" i="8"/>
  <c r="D342" i="8"/>
  <c r="E342" i="8"/>
  <c r="F342" i="8"/>
  <c r="G342" i="8"/>
  <c r="A343" i="8"/>
  <c r="B343" i="8"/>
  <c r="C343" i="8"/>
  <c r="D343" i="8"/>
  <c r="E343" i="8"/>
  <c r="F343" i="8"/>
  <c r="G343" i="8"/>
  <c r="A344" i="8"/>
  <c r="B344" i="8"/>
  <c r="C344" i="8"/>
  <c r="D344" i="8"/>
  <c r="E344" i="8"/>
  <c r="F344" i="8"/>
  <c r="G344" i="8"/>
  <c r="A345" i="8"/>
  <c r="B345" i="8"/>
  <c r="C345" i="8"/>
  <c r="D345" i="8"/>
  <c r="E345" i="8"/>
  <c r="F345" i="8"/>
  <c r="G345" i="8"/>
  <c r="A346" i="8"/>
  <c r="B346" i="8"/>
  <c r="C346" i="8"/>
  <c r="D346" i="8"/>
  <c r="E346" i="8"/>
  <c r="F346" i="8"/>
  <c r="G346" i="8"/>
  <c r="A347" i="8"/>
  <c r="B347" i="8"/>
  <c r="C347" i="8"/>
  <c r="D347" i="8"/>
  <c r="E347" i="8"/>
  <c r="F347" i="8"/>
  <c r="G347" i="8"/>
  <c r="A348" i="8"/>
  <c r="B348" i="8"/>
  <c r="C348" i="8"/>
  <c r="D348" i="8"/>
  <c r="E348" i="8"/>
  <c r="F348" i="8"/>
  <c r="G348" i="8"/>
  <c r="A349" i="8"/>
  <c r="B349" i="8"/>
  <c r="C349" i="8"/>
  <c r="D349" i="8"/>
  <c r="E349" i="8"/>
  <c r="F349" i="8"/>
  <c r="G349" i="8"/>
  <c r="A350" i="8"/>
  <c r="B350" i="8"/>
  <c r="C350" i="8"/>
  <c r="D350" i="8"/>
  <c r="E350" i="8"/>
  <c r="F350" i="8"/>
  <c r="G350" i="8"/>
  <c r="A351" i="8"/>
  <c r="B351" i="8"/>
  <c r="C351" i="8"/>
  <c r="D351" i="8"/>
  <c r="E351" i="8"/>
  <c r="F351" i="8"/>
  <c r="G351" i="8"/>
  <c r="A352" i="8"/>
  <c r="B352" i="8"/>
  <c r="C352" i="8"/>
  <c r="D352" i="8"/>
  <c r="E352" i="8"/>
  <c r="F352" i="8"/>
  <c r="G352" i="8"/>
  <c r="A353" i="8"/>
  <c r="B353" i="8"/>
  <c r="C353" i="8"/>
  <c r="D353" i="8"/>
  <c r="E353" i="8"/>
  <c r="F353" i="8"/>
  <c r="G353" i="8"/>
  <c r="A354" i="8"/>
  <c r="B354" i="8"/>
  <c r="C354" i="8"/>
  <c r="D354" i="8"/>
  <c r="E354" i="8"/>
  <c r="F354" i="8"/>
  <c r="G354" i="8"/>
  <c r="A355" i="8"/>
  <c r="B355" i="8"/>
  <c r="C355" i="8"/>
  <c r="D355" i="8"/>
  <c r="E355" i="8"/>
  <c r="F355" i="8"/>
  <c r="G355" i="8"/>
  <c r="A356" i="8"/>
  <c r="B356" i="8"/>
  <c r="C356" i="8"/>
  <c r="D356" i="8"/>
  <c r="E356" i="8"/>
  <c r="F356" i="8"/>
  <c r="G356" i="8"/>
  <c r="A357" i="8"/>
  <c r="B357" i="8"/>
  <c r="C357" i="8"/>
  <c r="D357" i="8"/>
  <c r="E357" i="8"/>
  <c r="F357" i="8"/>
  <c r="G357" i="8"/>
  <c r="A358" i="8"/>
  <c r="B358" i="8"/>
  <c r="C358" i="8"/>
  <c r="D358" i="8"/>
  <c r="E358" i="8"/>
  <c r="F358" i="8"/>
  <c r="G358" i="8"/>
  <c r="A359" i="8"/>
  <c r="B359" i="8"/>
  <c r="C359" i="8"/>
  <c r="D359" i="8"/>
  <c r="E359" i="8"/>
  <c r="F359" i="8"/>
  <c r="G359" i="8"/>
  <c r="A360" i="8"/>
  <c r="B360" i="8"/>
  <c r="C360" i="8"/>
  <c r="D360" i="8"/>
  <c r="E360" i="8"/>
  <c r="F360" i="8"/>
  <c r="G360" i="8"/>
  <c r="A361" i="8"/>
  <c r="B361" i="8"/>
  <c r="C361" i="8"/>
  <c r="D361" i="8"/>
  <c r="E361" i="8"/>
  <c r="F361" i="8"/>
  <c r="G361" i="8"/>
  <c r="A362" i="8"/>
  <c r="B362" i="8"/>
  <c r="C362" i="8"/>
  <c r="D362" i="8"/>
  <c r="E362" i="8"/>
  <c r="F362" i="8"/>
  <c r="G362" i="8"/>
  <c r="A363" i="8"/>
  <c r="B363" i="8"/>
  <c r="C363" i="8"/>
  <c r="D363" i="8"/>
  <c r="E363" i="8"/>
  <c r="F363" i="8"/>
  <c r="G363" i="8"/>
  <c r="A364" i="8"/>
  <c r="B364" i="8"/>
  <c r="C364" i="8"/>
  <c r="D364" i="8"/>
  <c r="E364" i="8"/>
  <c r="F364" i="8"/>
  <c r="G364" i="8"/>
  <c r="A365" i="8"/>
  <c r="B365" i="8"/>
  <c r="C365" i="8"/>
  <c r="D365" i="8"/>
  <c r="E365" i="8"/>
  <c r="F365" i="8"/>
  <c r="G365" i="8"/>
  <c r="A366" i="8"/>
  <c r="B366" i="8"/>
  <c r="C366" i="8"/>
  <c r="D366" i="8"/>
  <c r="E366" i="8"/>
  <c r="F366" i="8"/>
  <c r="G366" i="8"/>
  <c r="A367" i="8"/>
  <c r="B367" i="8"/>
  <c r="C367" i="8"/>
  <c r="D367" i="8"/>
  <c r="E367" i="8"/>
  <c r="F367" i="8"/>
  <c r="G367" i="8"/>
  <c r="A368" i="8"/>
  <c r="B368" i="8"/>
  <c r="C368" i="8"/>
  <c r="D368" i="8"/>
  <c r="E368" i="8"/>
  <c r="F368" i="8"/>
  <c r="G368" i="8"/>
  <c r="A369" i="8"/>
  <c r="B369" i="8"/>
  <c r="C369" i="8"/>
  <c r="D369" i="8"/>
  <c r="E369" i="8"/>
  <c r="F369" i="8"/>
  <c r="G369" i="8"/>
  <c r="A370" i="8"/>
  <c r="B370" i="8"/>
  <c r="C370" i="8"/>
  <c r="D370" i="8"/>
  <c r="E370" i="8"/>
  <c r="F370" i="8"/>
  <c r="G370" i="8"/>
  <c r="A371" i="8"/>
  <c r="B371" i="8"/>
  <c r="C371" i="8"/>
  <c r="D371" i="8"/>
  <c r="E371" i="8"/>
  <c r="F371" i="8"/>
  <c r="G371" i="8"/>
  <c r="A372" i="8"/>
  <c r="B372" i="8"/>
  <c r="C372" i="8"/>
  <c r="D372" i="8"/>
  <c r="E372" i="8"/>
  <c r="F372" i="8"/>
  <c r="G372" i="8"/>
  <c r="A373" i="8"/>
  <c r="B373" i="8"/>
  <c r="C373" i="8"/>
  <c r="D373" i="8"/>
  <c r="E373" i="8"/>
  <c r="F373" i="8"/>
  <c r="G373" i="8"/>
  <c r="A374" i="8"/>
  <c r="B374" i="8"/>
  <c r="C374" i="8"/>
  <c r="D374" i="8"/>
  <c r="E374" i="8"/>
  <c r="F374" i="8"/>
  <c r="G374" i="8"/>
  <c r="A375" i="8"/>
  <c r="B375" i="8"/>
  <c r="C375" i="8"/>
  <c r="D375" i="8"/>
  <c r="E375" i="8"/>
  <c r="F375" i="8"/>
  <c r="G375" i="8"/>
  <c r="A376" i="8"/>
  <c r="B376" i="8"/>
  <c r="C376" i="8"/>
  <c r="D376" i="8"/>
  <c r="E376" i="8"/>
  <c r="F376" i="8"/>
  <c r="G376" i="8"/>
  <c r="A377" i="8"/>
  <c r="B377" i="8"/>
  <c r="C377" i="8"/>
  <c r="D377" i="8"/>
  <c r="E377" i="8"/>
  <c r="F377" i="8"/>
  <c r="G377" i="8"/>
  <c r="A378" i="8"/>
  <c r="B378" i="8"/>
  <c r="C378" i="8"/>
  <c r="D378" i="8"/>
  <c r="E378" i="8"/>
  <c r="F378" i="8"/>
  <c r="G378" i="8"/>
  <c r="A379" i="8"/>
  <c r="B379" i="8"/>
  <c r="C379" i="8"/>
  <c r="D379" i="8"/>
  <c r="E379" i="8"/>
  <c r="F379" i="8"/>
  <c r="G379" i="8"/>
  <c r="A380" i="8"/>
  <c r="B380" i="8"/>
  <c r="C380" i="8"/>
  <c r="D380" i="8"/>
  <c r="E380" i="8"/>
  <c r="F380" i="8"/>
  <c r="G380" i="8"/>
  <c r="A381" i="8"/>
  <c r="B381" i="8"/>
  <c r="C381" i="8"/>
  <c r="D381" i="8"/>
  <c r="E381" i="8"/>
  <c r="F381" i="8"/>
  <c r="G381" i="8"/>
  <c r="A382" i="8"/>
  <c r="B382" i="8"/>
  <c r="C382" i="8"/>
  <c r="D382" i="8"/>
  <c r="E382" i="8"/>
  <c r="F382" i="8"/>
  <c r="G382" i="8"/>
  <c r="A383" i="8"/>
  <c r="B383" i="8"/>
  <c r="C383" i="8"/>
  <c r="D383" i="8"/>
  <c r="E383" i="8"/>
  <c r="F383" i="8"/>
  <c r="G383" i="8"/>
  <c r="A384" i="8"/>
  <c r="B384" i="8"/>
  <c r="C384" i="8"/>
  <c r="D384" i="8"/>
  <c r="E384" i="8"/>
  <c r="F384" i="8"/>
  <c r="G384" i="8"/>
  <c r="A385" i="8"/>
  <c r="B385" i="8"/>
  <c r="C385" i="8"/>
  <c r="D385" i="8"/>
  <c r="E385" i="8"/>
  <c r="F385" i="8"/>
  <c r="G385" i="8"/>
  <c r="A386" i="8"/>
  <c r="B386" i="8"/>
  <c r="C386" i="8"/>
  <c r="D386" i="8"/>
  <c r="E386" i="8"/>
  <c r="F386" i="8"/>
  <c r="G386" i="8"/>
  <c r="A387" i="8"/>
  <c r="B387" i="8"/>
  <c r="C387" i="8"/>
  <c r="D387" i="8"/>
  <c r="E387" i="8"/>
  <c r="F387" i="8"/>
  <c r="G387" i="8"/>
  <c r="A388" i="8"/>
  <c r="B388" i="8"/>
  <c r="C388" i="8"/>
  <c r="D388" i="8"/>
  <c r="E388" i="8"/>
  <c r="F388" i="8"/>
  <c r="G388" i="8"/>
  <c r="A389" i="8"/>
  <c r="B389" i="8"/>
  <c r="C389" i="8"/>
  <c r="D389" i="8"/>
  <c r="E389" i="8"/>
  <c r="F389" i="8"/>
  <c r="G389" i="8"/>
  <c r="A390" i="8"/>
  <c r="B390" i="8"/>
  <c r="C390" i="8"/>
  <c r="D390" i="8"/>
  <c r="E390" i="8"/>
  <c r="F390" i="8"/>
  <c r="G390" i="8"/>
  <c r="A391" i="8"/>
  <c r="B391" i="8"/>
  <c r="C391" i="8"/>
  <c r="D391" i="8"/>
  <c r="E391" i="8"/>
  <c r="F391" i="8"/>
  <c r="G391" i="8"/>
  <c r="A392" i="8"/>
  <c r="B392" i="8"/>
  <c r="C392" i="8"/>
  <c r="D392" i="8"/>
  <c r="E392" i="8"/>
  <c r="F392" i="8"/>
  <c r="G392" i="8"/>
  <c r="A393" i="8"/>
  <c r="B393" i="8"/>
  <c r="C393" i="8"/>
  <c r="D393" i="8"/>
  <c r="E393" i="8"/>
  <c r="F393" i="8"/>
  <c r="G393" i="8"/>
  <c r="A394" i="8"/>
  <c r="B394" i="8"/>
  <c r="C394" i="8"/>
  <c r="D394" i="8"/>
  <c r="E394" i="8"/>
  <c r="F394" i="8"/>
  <c r="G394" i="8"/>
  <c r="A395" i="8"/>
  <c r="B395" i="8"/>
  <c r="C395" i="8"/>
  <c r="D395" i="8"/>
  <c r="E395" i="8"/>
  <c r="F395" i="8"/>
  <c r="G395" i="8"/>
  <c r="A396" i="8"/>
  <c r="B396" i="8"/>
  <c r="C396" i="8"/>
  <c r="D396" i="8"/>
  <c r="E396" i="8"/>
  <c r="F396" i="8"/>
  <c r="G396" i="8"/>
  <c r="A397" i="8"/>
  <c r="B397" i="8"/>
  <c r="C397" i="8"/>
  <c r="D397" i="8"/>
  <c r="E397" i="8"/>
  <c r="F397" i="8"/>
  <c r="G397" i="8"/>
  <c r="A398" i="8"/>
  <c r="B398" i="8"/>
  <c r="C398" i="8"/>
  <c r="D398" i="8"/>
  <c r="E398" i="8"/>
  <c r="F398" i="8"/>
  <c r="G398" i="8"/>
  <c r="A399" i="8"/>
  <c r="B399" i="8"/>
  <c r="C399" i="8"/>
  <c r="D399" i="8"/>
  <c r="E399" i="8"/>
  <c r="F399" i="8"/>
  <c r="G399" i="8"/>
  <c r="A400" i="8"/>
  <c r="B400" i="8"/>
  <c r="C400" i="8"/>
  <c r="D400" i="8"/>
  <c r="E400" i="8"/>
  <c r="F400" i="8"/>
  <c r="G400" i="8"/>
  <c r="A401" i="8"/>
  <c r="B401" i="8"/>
  <c r="C401" i="8"/>
  <c r="D401" i="8"/>
  <c r="E401" i="8"/>
  <c r="F401" i="8"/>
  <c r="G401" i="8"/>
  <c r="A402" i="8"/>
  <c r="B402" i="8"/>
  <c r="C402" i="8"/>
  <c r="D402" i="8"/>
  <c r="E402" i="8"/>
  <c r="F402" i="8"/>
  <c r="G402" i="8"/>
  <c r="A403" i="8"/>
  <c r="B403" i="8"/>
  <c r="C403" i="8"/>
  <c r="D403" i="8"/>
  <c r="E403" i="8"/>
  <c r="F403" i="8"/>
  <c r="G403" i="8"/>
  <c r="A404" i="8"/>
  <c r="B404" i="8"/>
  <c r="C404" i="8"/>
  <c r="D404" i="8"/>
  <c r="E404" i="8"/>
  <c r="F404" i="8"/>
  <c r="G404" i="8"/>
  <c r="A405" i="8"/>
  <c r="B405" i="8"/>
  <c r="C405" i="8"/>
  <c r="D405" i="8"/>
  <c r="E405" i="8"/>
  <c r="F405" i="8"/>
  <c r="G405" i="8"/>
  <c r="A406" i="8"/>
  <c r="B406" i="8"/>
  <c r="C406" i="8"/>
  <c r="D406" i="8"/>
  <c r="E406" i="8"/>
  <c r="F406" i="8"/>
  <c r="G406" i="8"/>
  <c r="A407" i="8"/>
  <c r="B407" i="8"/>
  <c r="C407" i="8"/>
  <c r="D407" i="8"/>
  <c r="E407" i="8"/>
  <c r="F407" i="8"/>
  <c r="G407" i="8"/>
  <c r="A408" i="8"/>
  <c r="B408" i="8"/>
  <c r="C408" i="8"/>
  <c r="D408" i="8"/>
  <c r="E408" i="8"/>
  <c r="F408" i="8"/>
  <c r="G408" i="8"/>
  <c r="A409" i="8"/>
  <c r="B409" i="8"/>
  <c r="C409" i="8"/>
  <c r="D409" i="8"/>
  <c r="E409" i="8"/>
  <c r="F409" i="8"/>
  <c r="G409" i="8"/>
  <c r="A410" i="8"/>
  <c r="B410" i="8"/>
  <c r="C410" i="8"/>
  <c r="D410" i="8"/>
  <c r="E410" i="8"/>
  <c r="F410" i="8"/>
  <c r="G410" i="8"/>
  <c r="A411" i="8"/>
  <c r="B411" i="8"/>
  <c r="C411" i="8"/>
  <c r="D411" i="8"/>
  <c r="E411" i="8"/>
  <c r="F411" i="8"/>
  <c r="G411" i="8"/>
  <c r="A412" i="8"/>
  <c r="B412" i="8"/>
  <c r="C412" i="8"/>
  <c r="D412" i="8"/>
  <c r="E412" i="8"/>
  <c r="F412" i="8"/>
  <c r="G412" i="8"/>
  <c r="A413" i="8"/>
  <c r="B413" i="8"/>
  <c r="C413" i="8"/>
  <c r="D413" i="8"/>
  <c r="E413" i="8"/>
  <c r="F413" i="8"/>
  <c r="G413" i="8"/>
  <c r="A414" i="8"/>
  <c r="B414" i="8"/>
  <c r="C414" i="8"/>
  <c r="D414" i="8"/>
  <c r="E414" i="8"/>
  <c r="F414" i="8"/>
  <c r="G414" i="8"/>
  <c r="A415" i="8"/>
  <c r="B415" i="8"/>
  <c r="C415" i="8"/>
  <c r="D415" i="8"/>
  <c r="E415" i="8"/>
  <c r="F415" i="8"/>
  <c r="G415" i="8"/>
  <c r="A416" i="8"/>
  <c r="B416" i="8"/>
  <c r="C416" i="8"/>
  <c r="D416" i="8"/>
  <c r="E416" i="8"/>
  <c r="F416" i="8"/>
  <c r="G416" i="8"/>
  <c r="A417" i="8"/>
  <c r="B417" i="8"/>
  <c r="C417" i="8"/>
  <c r="D417" i="8"/>
  <c r="E417" i="8"/>
  <c r="F417" i="8"/>
  <c r="G417" i="8"/>
  <c r="A418" i="8"/>
  <c r="B418" i="8"/>
  <c r="C418" i="8"/>
  <c r="D418" i="8"/>
  <c r="E418" i="8"/>
  <c r="F418" i="8"/>
  <c r="G418" i="8"/>
  <c r="A419" i="8"/>
  <c r="B419" i="8"/>
  <c r="C419" i="8"/>
  <c r="D419" i="8"/>
  <c r="E419" i="8"/>
  <c r="F419" i="8"/>
  <c r="G419" i="8"/>
  <c r="A420" i="8"/>
  <c r="B420" i="8"/>
  <c r="C420" i="8"/>
  <c r="D420" i="8"/>
  <c r="E420" i="8"/>
  <c r="F420" i="8"/>
  <c r="G420" i="8"/>
  <c r="A421" i="8"/>
  <c r="B421" i="8"/>
  <c r="C421" i="8"/>
  <c r="D421" i="8"/>
  <c r="E421" i="8"/>
  <c r="F421" i="8"/>
  <c r="G421" i="8"/>
  <c r="A422" i="8"/>
  <c r="B422" i="8"/>
  <c r="C422" i="8"/>
  <c r="D422" i="8"/>
  <c r="E422" i="8"/>
  <c r="F422" i="8"/>
  <c r="G422" i="8"/>
  <c r="A423" i="8"/>
  <c r="B423" i="8"/>
  <c r="C423" i="8"/>
  <c r="D423" i="8"/>
  <c r="E423" i="8"/>
  <c r="F423" i="8"/>
  <c r="G423" i="8"/>
  <c r="A424" i="8"/>
  <c r="B424" i="8"/>
  <c r="C424" i="8"/>
  <c r="D424" i="8"/>
  <c r="E424" i="8"/>
  <c r="F424" i="8"/>
  <c r="G424" i="8"/>
  <c r="A425" i="8"/>
  <c r="B425" i="8"/>
  <c r="C425" i="8"/>
  <c r="D425" i="8"/>
  <c r="E425" i="8"/>
  <c r="F425" i="8"/>
  <c r="G425" i="8"/>
  <c r="A426" i="8"/>
  <c r="B426" i="8"/>
  <c r="C426" i="8"/>
  <c r="D426" i="8"/>
  <c r="E426" i="8"/>
  <c r="F426" i="8"/>
  <c r="G426" i="8"/>
  <c r="A427" i="8"/>
  <c r="B427" i="8"/>
  <c r="C427" i="8"/>
  <c r="D427" i="8"/>
  <c r="E427" i="8"/>
  <c r="F427" i="8"/>
  <c r="G427" i="8"/>
  <c r="A428" i="8"/>
  <c r="B428" i="8"/>
  <c r="C428" i="8"/>
  <c r="D428" i="8"/>
  <c r="E428" i="8"/>
  <c r="F428" i="8"/>
  <c r="G428" i="8"/>
  <c r="A429" i="8"/>
  <c r="B429" i="8"/>
  <c r="C429" i="8"/>
  <c r="D429" i="8"/>
  <c r="E429" i="8"/>
  <c r="F429" i="8"/>
  <c r="G429" i="8"/>
  <c r="A430" i="8"/>
  <c r="B430" i="8"/>
  <c r="C430" i="8"/>
  <c r="D430" i="8"/>
  <c r="E430" i="8"/>
  <c r="F430" i="8"/>
  <c r="G430" i="8"/>
  <c r="A431" i="8"/>
  <c r="B431" i="8"/>
  <c r="C431" i="8"/>
  <c r="D431" i="8"/>
  <c r="E431" i="8"/>
  <c r="F431" i="8"/>
  <c r="G431" i="8"/>
  <c r="A432" i="8"/>
  <c r="B432" i="8"/>
  <c r="C432" i="8"/>
  <c r="D432" i="8"/>
  <c r="E432" i="8"/>
  <c r="F432" i="8"/>
  <c r="G432" i="8"/>
  <c r="A433" i="8"/>
  <c r="B433" i="8"/>
  <c r="C433" i="8"/>
  <c r="D433" i="8"/>
  <c r="E433" i="8"/>
  <c r="F433" i="8"/>
  <c r="G433" i="8"/>
  <c r="A434" i="8"/>
  <c r="B434" i="8"/>
  <c r="C434" i="8"/>
  <c r="D434" i="8"/>
  <c r="E434" i="8"/>
  <c r="F434" i="8"/>
  <c r="G434" i="8"/>
  <c r="A435" i="8"/>
  <c r="B435" i="8"/>
  <c r="C435" i="8"/>
  <c r="D435" i="8"/>
  <c r="E435" i="8"/>
  <c r="F435" i="8"/>
  <c r="G435" i="8"/>
  <c r="A436" i="8"/>
  <c r="B436" i="8"/>
  <c r="C436" i="8"/>
  <c r="D436" i="8"/>
  <c r="E436" i="8"/>
  <c r="F436" i="8"/>
  <c r="G436" i="8"/>
  <c r="A437" i="8"/>
  <c r="B437" i="8"/>
  <c r="C437" i="8"/>
  <c r="D437" i="8"/>
  <c r="E437" i="8"/>
  <c r="F437" i="8"/>
  <c r="G437" i="8"/>
  <c r="A438" i="8"/>
  <c r="B438" i="8"/>
  <c r="C438" i="8"/>
  <c r="D438" i="8"/>
  <c r="E438" i="8"/>
  <c r="F438" i="8"/>
  <c r="G438" i="8"/>
  <c r="A439" i="8"/>
  <c r="B439" i="8"/>
  <c r="C439" i="8"/>
  <c r="D439" i="8"/>
  <c r="E439" i="8"/>
  <c r="F439" i="8"/>
  <c r="G439" i="8"/>
  <c r="A440" i="8"/>
  <c r="B440" i="8"/>
  <c r="C440" i="8"/>
  <c r="D440" i="8"/>
  <c r="E440" i="8"/>
  <c r="F440" i="8"/>
  <c r="G440" i="8"/>
  <c r="A441" i="8"/>
  <c r="B441" i="8"/>
  <c r="C441" i="8"/>
  <c r="D441" i="8"/>
  <c r="E441" i="8"/>
  <c r="F441" i="8"/>
  <c r="G441" i="8"/>
  <c r="A442" i="8"/>
  <c r="B442" i="8"/>
  <c r="C442" i="8"/>
  <c r="D442" i="8"/>
  <c r="E442" i="8"/>
  <c r="F442" i="8"/>
  <c r="G442" i="8"/>
  <c r="A443" i="8"/>
  <c r="B443" i="8"/>
  <c r="C443" i="8"/>
  <c r="D443" i="8"/>
  <c r="E443" i="8"/>
  <c r="F443" i="8"/>
  <c r="G443" i="8"/>
  <c r="A444" i="8"/>
  <c r="B444" i="8"/>
  <c r="C444" i="8"/>
  <c r="D444" i="8"/>
  <c r="E444" i="8"/>
  <c r="F444" i="8"/>
  <c r="G444" i="8"/>
  <c r="A445" i="8"/>
  <c r="B445" i="8"/>
  <c r="C445" i="8"/>
  <c r="D445" i="8"/>
  <c r="E445" i="8"/>
  <c r="F445" i="8"/>
  <c r="G445" i="8"/>
  <c r="A446" i="8"/>
  <c r="B446" i="8"/>
  <c r="C446" i="8"/>
  <c r="D446" i="8"/>
  <c r="E446" i="8"/>
  <c r="F446" i="8"/>
  <c r="G446" i="8"/>
  <c r="A447" i="8"/>
  <c r="B447" i="8"/>
  <c r="C447" i="8"/>
  <c r="D447" i="8"/>
  <c r="E447" i="8"/>
  <c r="F447" i="8"/>
  <c r="G447" i="8"/>
  <c r="A448" i="8"/>
  <c r="B448" i="8"/>
  <c r="C448" i="8"/>
  <c r="D448" i="8"/>
  <c r="E448" i="8"/>
  <c r="F448" i="8"/>
  <c r="G448" i="8"/>
  <c r="A449" i="8"/>
  <c r="B449" i="8"/>
  <c r="C449" i="8"/>
  <c r="D449" i="8"/>
  <c r="E449" i="8"/>
  <c r="F449" i="8"/>
  <c r="G449" i="8"/>
  <c r="A450" i="8"/>
  <c r="B450" i="8"/>
  <c r="C450" i="8"/>
  <c r="D450" i="8"/>
  <c r="E450" i="8"/>
  <c r="F450" i="8"/>
  <c r="G450" i="8"/>
  <c r="A451" i="8"/>
  <c r="B451" i="8"/>
  <c r="C451" i="8"/>
  <c r="D451" i="8"/>
  <c r="E451" i="8"/>
  <c r="F451" i="8"/>
  <c r="G451" i="8"/>
  <c r="A452" i="8"/>
  <c r="B452" i="8"/>
  <c r="C452" i="8"/>
  <c r="D452" i="8"/>
  <c r="E452" i="8"/>
  <c r="F452" i="8"/>
  <c r="G452" i="8"/>
  <c r="A453" i="8"/>
  <c r="B453" i="8"/>
  <c r="C453" i="8"/>
  <c r="D453" i="8"/>
  <c r="E453" i="8"/>
  <c r="F453" i="8"/>
  <c r="G453" i="8"/>
  <c r="A454" i="8"/>
  <c r="B454" i="8"/>
  <c r="C454" i="8"/>
  <c r="D454" i="8"/>
  <c r="E454" i="8"/>
  <c r="F454" i="8"/>
  <c r="G454" i="8"/>
  <c r="A455" i="8"/>
  <c r="B455" i="8"/>
  <c r="C455" i="8"/>
  <c r="D455" i="8"/>
  <c r="E455" i="8"/>
  <c r="F455" i="8"/>
  <c r="G455" i="8"/>
  <c r="A456" i="8"/>
  <c r="B456" i="8"/>
  <c r="C456" i="8"/>
  <c r="D456" i="8"/>
  <c r="E456" i="8"/>
  <c r="F456" i="8"/>
  <c r="G456" i="8"/>
  <c r="A457" i="8"/>
  <c r="B457" i="8"/>
  <c r="C457" i="8"/>
  <c r="D457" i="8"/>
  <c r="E457" i="8"/>
  <c r="F457" i="8"/>
  <c r="G457" i="8"/>
  <c r="A458" i="8"/>
  <c r="B458" i="8"/>
  <c r="C458" i="8"/>
  <c r="D458" i="8"/>
  <c r="E458" i="8"/>
  <c r="F458" i="8"/>
  <c r="G458" i="8"/>
  <c r="A459" i="8"/>
  <c r="B459" i="8"/>
  <c r="C459" i="8"/>
  <c r="D459" i="8"/>
  <c r="E459" i="8"/>
  <c r="F459" i="8"/>
  <c r="G459" i="8"/>
  <c r="A460" i="8"/>
  <c r="B460" i="8"/>
  <c r="C460" i="8"/>
  <c r="D460" i="8"/>
  <c r="E460" i="8"/>
  <c r="F460" i="8"/>
  <c r="G460" i="8"/>
  <c r="A461" i="8"/>
  <c r="B461" i="8"/>
  <c r="C461" i="8"/>
  <c r="D461" i="8"/>
  <c r="E461" i="8"/>
  <c r="F461" i="8"/>
  <c r="G461" i="8"/>
  <c r="A462" i="8"/>
  <c r="B462" i="8"/>
  <c r="C462" i="8"/>
  <c r="D462" i="8"/>
  <c r="E462" i="8"/>
  <c r="F462" i="8"/>
  <c r="G462" i="8"/>
  <c r="A463" i="8"/>
  <c r="B463" i="8"/>
  <c r="C463" i="8"/>
  <c r="D463" i="8"/>
  <c r="E463" i="8"/>
  <c r="F463" i="8"/>
  <c r="G463" i="8"/>
  <c r="A464" i="8"/>
  <c r="B464" i="8"/>
  <c r="C464" i="8"/>
  <c r="D464" i="8"/>
  <c r="E464" i="8"/>
  <c r="F464" i="8"/>
  <c r="G464" i="8"/>
  <c r="A465" i="8"/>
  <c r="B465" i="8"/>
  <c r="C465" i="8"/>
  <c r="D465" i="8"/>
  <c r="E465" i="8"/>
  <c r="F465" i="8"/>
  <c r="G465" i="8"/>
  <c r="A466" i="8"/>
  <c r="B466" i="8"/>
  <c r="C466" i="8"/>
  <c r="D466" i="8"/>
  <c r="E466" i="8"/>
  <c r="F466" i="8"/>
  <c r="G466" i="8"/>
  <c r="A467" i="8"/>
  <c r="B467" i="8"/>
  <c r="C467" i="8"/>
  <c r="D467" i="8"/>
  <c r="E467" i="8"/>
  <c r="F467" i="8"/>
  <c r="G467" i="8"/>
  <c r="A468" i="8"/>
  <c r="B468" i="8"/>
  <c r="C468" i="8"/>
  <c r="D468" i="8"/>
  <c r="E468" i="8"/>
  <c r="F468" i="8"/>
  <c r="G468" i="8"/>
  <c r="A469" i="8"/>
  <c r="B469" i="8"/>
  <c r="C469" i="8"/>
  <c r="D469" i="8"/>
  <c r="E469" i="8"/>
  <c r="F469" i="8"/>
  <c r="G469" i="8"/>
  <c r="A470" i="8"/>
  <c r="B470" i="8"/>
  <c r="C470" i="8"/>
  <c r="D470" i="8"/>
  <c r="E470" i="8"/>
  <c r="F470" i="8"/>
  <c r="G470" i="8"/>
  <c r="A471" i="8"/>
  <c r="B471" i="8"/>
  <c r="C471" i="8"/>
  <c r="D471" i="8"/>
  <c r="E471" i="8"/>
  <c r="F471" i="8"/>
  <c r="G471" i="8"/>
  <c r="A472" i="8"/>
  <c r="B472" i="8"/>
  <c r="C472" i="8"/>
  <c r="D472" i="8"/>
  <c r="E472" i="8"/>
  <c r="F472" i="8"/>
  <c r="G472" i="8"/>
  <c r="A473" i="8"/>
  <c r="B473" i="8"/>
  <c r="C473" i="8"/>
  <c r="D473" i="8"/>
  <c r="E473" i="8"/>
  <c r="F473" i="8"/>
  <c r="G473" i="8"/>
  <c r="A474" i="8"/>
  <c r="B474" i="8"/>
  <c r="C474" i="8"/>
  <c r="D474" i="8"/>
  <c r="E474" i="8"/>
  <c r="F474" i="8"/>
  <c r="G474" i="8"/>
  <c r="A475" i="8"/>
  <c r="B475" i="8"/>
  <c r="C475" i="8"/>
  <c r="D475" i="8"/>
  <c r="E475" i="8"/>
  <c r="F475" i="8"/>
  <c r="G475" i="8"/>
  <c r="A476" i="8"/>
  <c r="B476" i="8"/>
  <c r="C476" i="8"/>
  <c r="D476" i="8"/>
  <c r="E476" i="8"/>
  <c r="F476" i="8"/>
  <c r="G476" i="8"/>
  <c r="A477" i="8"/>
  <c r="B477" i="8"/>
  <c r="C477" i="8"/>
  <c r="D477" i="8"/>
  <c r="E477" i="8"/>
  <c r="F477" i="8"/>
  <c r="G477" i="8"/>
  <c r="A478" i="8"/>
  <c r="B478" i="8"/>
  <c r="C478" i="8"/>
  <c r="D478" i="8"/>
  <c r="E478" i="8"/>
  <c r="F478" i="8"/>
  <c r="G478" i="8"/>
  <c r="A479" i="8"/>
  <c r="B479" i="8"/>
  <c r="C479" i="8"/>
  <c r="D479" i="8"/>
  <c r="E479" i="8"/>
  <c r="F479" i="8"/>
  <c r="G479" i="8"/>
  <c r="A480" i="8"/>
  <c r="B480" i="8"/>
  <c r="C480" i="8"/>
  <c r="D480" i="8"/>
  <c r="E480" i="8"/>
  <c r="F480" i="8"/>
  <c r="G480" i="8"/>
  <c r="A481" i="8"/>
  <c r="B481" i="8"/>
  <c r="C481" i="8"/>
  <c r="D481" i="8"/>
  <c r="E481" i="8"/>
  <c r="F481" i="8"/>
  <c r="G481" i="8"/>
  <c r="A482" i="8"/>
  <c r="B482" i="8"/>
  <c r="C482" i="8"/>
  <c r="D482" i="8"/>
  <c r="E482" i="8"/>
  <c r="F482" i="8"/>
  <c r="G482" i="8"/>
  <c r="A483" i="8"/>
  <c r="B483" i="8"/>
  <c r="C483" i="8"/>
  <c r="D483" i="8"/>
  <c r="E483" i="8"/>
  <c r="F483" i="8"/>
  <c r="G483" i="8"/>
  <c r="A484" i="8"/>
  <c r="B484" i="8"/>
  <c r="C484" i="8"/>
  <c r="D484" i="8"/>
  <c r="E484" i="8"/>
  <c r="F484" i="8"/>
  <c r="G484" i="8"/>
  <c r="A485" i="8"/>
  <c r="B485" i="8"/>
  <c r="C485" i="8"/>
  <c r="D485" i="8"/>
  <c r="E485" i="8"/>
  <c r="F485" i="8"/>
  <c r="G485" i="8"/>
  <c r="A486" i="8"/>
  <c r="B486" i="8"/>
  <c r="C486" i="8"/>
  <c r="D486" i="8"/>
  <c r="E486" i="8"/>
  <c r="F486" i="8"/>
  <c r="G486" i="8"/>
  <c r="A487" i="8"/>
  <c r="B487" i="8"/>
  <c r="C487" i="8"/>
  <c r="D487" i="8"/>
  <c r="E487" i="8"/>
  <c r="F487" i="8"/>
  <c r="G487" i="8"/>
  <c r="A488" i="8"/>
  <c r="B488" i="8"/>
  <c r="C488" i="8"/>
  <c r="D488" i="8"/>
  <c r="E488" i="8"/>
  <c r="F488" i="8"/>
  <c r="G488" i="8"/>
  <c r="A489" i="8"/>
  <c r="B489" i="8"/>
  <c r="C489" i="8"/>
  <c r="D489" i="8"/>
  <c r="E489" i="8"/>
  <c r="F489" i="8"/>
  <c r="G489" i="8"/>
  <c r="A490" i="8"/>
  <c r="B490" i="8"/>
  <c r="C490" i="8"/>
  <c r="D490" i="8"/>
  <c r="E490" i="8"/>
  <c r="F490" i="8"/>
  <c r="G490" i="8"/>
  <c r="A491" i="8"/>
  <c r="B491" i="8"/>
  <c r="C491" i="8"/>
  <c r="D491" i="8"/>
  <c r="E491" i="8"/>
  <c r="F491" i="8"/>
  <c r="G491" i="8"/>
  <c r="A492" i="8"/>
  <c r="B492" i="8"/>
  <c r="C492" i="8"/>
  <c r="D492" i="8"/>
  <c r="E492" i="8"/>
  <c r="F492" i="8"/>
  <c r="G492" i="8"/>
  <c r="A493" i="8"/>
  <c r="B493" i="8"/>
  <c r="C493" i="8"/>
  <c r="D493" i="8"/>
  <c r="E493" i="8"/>
  <c r="F493" i="8"/>
  <c r="G493" i="8"/>
  <c r="A494" i="8"/>
  <c r="B494" i="8"/>
  <c r="C494" i="8"/>
  <c r="D494" i="8"/>
  <c r="E494" i="8"/>
  <c r="F494" i="8"/>
  <c r="G494" i="8"/>
  <c r="A495" i="8"/>
  <c r="B495" i="8"/>
  <c r="C495" i="8"/>
  <c r="D495" i="8"/>
  <c r="E495" i="8"/>
  <c r="F495" i="8"/>
  <c r="G495" i="8"/>
  <c r="A496" i="8"/>
  <c r="B496" i="8"/>
  <c r="C496" i="8"/>
  <c r="D496" i="8"/>
  <c r="E496" i="8"/>
  <c r="F496" i="8"/>
  <c r="G496" i="8"/>
  <c r="A497" i="8"/>
  <c r="B497" i="8"/>
  <c r="C497" i="8"/>
  <c r="D497" i="8"/>
  <c r="E497" i="8"/>
  <c r="F497" i="8"/>
  <c r="G497" i="8"/>
  <c r="A498" i="8"/>
  <c r="B498" i="8"/>
  <c r="C498" i="8"/>
  <c r="D498" i="8"/>
  <c r="E498" i="8"/>
  <c r="F498" i="8"/>
  <c r="G498" i="8"/>
  <c r="A499" i="8"/>
  <c r="B499" i="8"/>
  <c r="C499" i="8"/>
  <c r="D499" i="8"/>
  <c r="E499" i="8"/>
  <c r="F499" i="8"/>
  <c r="G499" i="8"/>
  <c r="A500" i="8"/>
  <c r="B500" i="8"/>
  <c r="C500" i="8"/>
  <c r="D500" i="8"/>
  <c r="E500" i="8"/>
  <c r="F500" i="8"/>
  <c r="G500" i="8"/>
  <c r="A501" i="8"/>
  <c r="B501" i="8"/>
  <c r="C501" i="8"/>
  <c r="D501" i="8"/>
  <c r="E501" i="8"/>
  <c r="F501" i="8"/>
  <c r="G501" i="8"/>
  <c r="A502" i="8"/>
  <c r="B502" i="8"/>
  <c r="C502" i="8"/>
  <c r="D502" i="8"/>
  <c r="E502" i="8"/>
  <c r="F502" i="8"/>
  <c r="G502" i="8"/>
  <c r="A503" i="8"/>
  <c r="B503" i="8"/>
  <c r="C503" i="8"/>
  <c r="D503" i="8"/>
  <c r="E503" i="8"/>
  <c r="F503" i="8"/>
  <c r="G503" i="8"/>
  <c r="A504" i="8"/>
  <c r="B504" i="8"/>
  <c r="C504" i="8"/>
  <c r="D504" i="8"/>
  <c r="E504" i="8"/>
  <c r="F504" i="8"/>
  <c r="G504" i="8"/>
  <c r="A505" i="8"/>
  <c r="B505" i="8"/>
  <c r="C505" i="8"/>
  <c r="D505" i="8"/>
  <c r="E505" i="8"/>
  <c r="F505" i="8"/>
  <c r="G505" i="8"/>
  <c r="A506" i="8"/>
  <c r="B506" i="8"/>
  <c r="C506" i="8"/>
  <c r="D506" i="8"/>
  <c r="E506" i="8"/>
  <c r="F506" i="8"/>
  <c r="G506" i="8"/>
  <c r="A507" i="8"/>
  <c r="B507" i="8"/>
  <c r="C507" i="8"/>
  <c r="D507" i="8"/>
  <c r="E507" i="8"/>
  <c r="F507" i="8"/>
  <c r="G507" i="8"/>
  <c r="A508" i="8"/>
  <c r="B508" i="8"/>
  <c r="C508" i="8"/>
  <c r="D508" i="8"/>
  <c r="E508" i="8"/>
  <c r="F508" i="8"/>
  <c r="G508" i="8"/>
  <c r="A509" i="8"/>
  <c r="B509" i="8"/>
  <c r="C509" i="8"/>
  <c r="D509" i="8"/>
  <c r="E509" i="8"/>
  <c r="F509" i="8"/>
  <c r="G509" i="8"/>
  <c r="A510" i="8"/>
  <c r="B510" i="8"/>
  <c r="C510" i="8"/>
  <c r="D510" i="8"/>
  <c r="E510" i="8"/>
  <c r="F510" i="8"/>
  <c r="G510" i="8"/>
  <c r="G34" i="9" l="1"/>
  <c r="G33" i="9"/>
  <c r="S72" i="8"/>
  <c r="J80" i="8"/>
  <c r="S80" i="8"/>
  <c r="J414" i="8"/>
  <c r="J406" i="8"/>
  <c r="J185" i="8"/>
  <c r="Q114" i="8"/>
  <c r="Q90" i="8"/>
  <c r="R387" i="8"/>
  <c r="S46" i="8"/>
  <c r="S505" i="8"/>
  <c r="S48" i="8"/>
  <c r="Q35" i="8"/>
  <c r="R107" i="8"/>
  <c r="J84" i="8"/>
  <c r="J484" i="8"/>
  <c r="J120" i="8"/>
  <c r="Q56" i="8"/>
  <c r="R500" i="8"/>
  <c r="Q419" i="8"/>
  <c r="J409" i="8"/>
  <c r="Q403" i="8"/>
  <c r="S347" i="8"/>
  <c r="J275" i="8"/>
  <c r="Q405" i="8"/>
  <c r="J444" i="8"/>
  <c r="J292" i="8"/>
  <c r="S181" i="8"/>
  <c r="R424" i="8"/>
  <c r="Q383" i="8"/>
  <c r="J381" i="8"/>
  <c r="J366" i="8"/>
  <c r="J126" i="8"/>
  <c r="J118" i="8"/>
  <c r="Q232" i="8"/>
  <c r="S183" i="8"/>
  <c r="J231" i="8"/>
  <c r="J207" i="8"/>
  <c r="Q55" i="8"/>
  <c r="J418" i="8"/>
  <c r="S191" i="8"/>
  <c r="Q184" i="8"/>
  <c r="Q174" i="8"/>
  <c r="Q158" i="8"/>
  <c r="J108" i="8"/>
  <c r="I48" i="8"/>
  <c r="R39" i="8"/>
  <c r="S126" i="8"/>
  <c r="I92" i="8"/>
  <c r="R423" i="8"/>
  <c r="R382" i="8"/>
  <c r="J347" i="8"/>
  <c r="J338" i="8"/>
  <c r="Q276" i="8"/>
  <c r="J258" i="8"/>
  <c r="Q186" i="8"/>
  <c r="Q168" i="8"/>
  <c r="I167" i="8"/>
  <c r="Q143" i="8"/>
  <c r="R103" i="8"/>
  <c r="Q102" i="8"/>
  <c r="Q51" i="8"/>
  <c r="I426" i="8"/>
  <c r="Q425" i="8"/>
  <c r="Q407" i="8"/>
  <c r="I382" i="8"/>
  <c r="J365" i="8"/>
  <c r="J307" i="8"/>
  <c r="R238" i="8"/>
  <c r="J217" i="8"/>
  <c r="J151" i="8"/>
  <c r="I145" i="8"/>
  <c r="R128" i="8"/>
  <c r="Q121" i="8"/>
  <c r="R119" i="8"/>
  <c r="Q52" i="8"/>
  <c r="J50" i="8"/>
  <c r="Q443" i="8"/>
  <c r="R244" i="8"/>
  <c r="S187" i="8"/>
  <c r="Q146" i="8"/>
  <c r="R509" i="8"/>
  <c r="J426" i="8"/>
  <c r="R418" i="8"/>
  <c r="S408" i="8"/>
  <c r="J382" i="8"/>
  <c r="R296" i="8"/>
  <c r="J277" i="8"/>
  <c r="J189" i="8"/>
  <c r="I180" i="8"/>
  <c r="S179" i="8"/>
  <c r="J169" i="8"/>
  <c r="J161" i="8"/>
  <c r="Q64" i="8"/>
  <c r="J278" i="8"/>
  <c r="J239" i="8"/>
  <c r="Q214" i="8"/>
  <c r="J122" i="8"/>
  <c r="J104" i="8"/>
  <c r="Q479" i="8"/>
  <c r="Q447" i="8"/>
  <c r="Q337" i="8"/>
  <c r="R273" i="8"/>
  <c r="Q182" i="8"/>
  <c r="S124" i="8"/>
  <c r="Q118" i="8"/>
  <c r="I106" i="8"/>
  <c r="J54" i="8"/>
  <c r="Q48" i="8"/>
  <c r="Q47" i="8"/>
  <c r="R493" i="8"/>
  <c r="Q476" i="8"/>
  <c r="J459" i="8"/>
  <c r="J451" i="8"/>
  <c r="J399" i="8"/>
  <c r="J354" i="8"/>
  <c r="Q348" i="8"/>
  <c r="J345" i="8"/>
  <c r="J344" i="8"/>
  <c r="I279" i="8"/>
  <c r="S219" i="8"/>
  <c r="I195" i="8"/>
  <c r="J58" i="8"/>
  <c r="J491" i="8"/>
  <c r="R430" i="8"/>
  <c r="R395" i="8"/>
  <c r="Q329" i="8"/>
  <c r="S328" i="8"/>
  <c r="J295" i="8"/>
  <c r="R280" i="8"/>
  <c r="I277" i="8"/>
  <c r="R274" i="8"/>
  <c r="S247" i="8"/>
  <c r="Q230" i="8"/>
  <c r="R222" i="8"/>
  <c r="S221" i="8"/>
  <c r="R214" i="8"/>
  <c r="J203" i="8"/>
  <c r="Q188" i="8"/>
  <c r="I187" i="8"/>
  <c r="J158" i="8"/>
  <c r="J42" i="8"/>
  <c r="I42" i="8"/>
  <c r="Q500" i="8"/>
  <c r="S272" i="8"/>
  <c r="R247" i="8"/>
  <c r="Q198" i="8"/>
  <c r="S42" i="8"/>
  <c r="Q438" i="8"/>
  <c r="S486" i="8"/>
  <c r="R472" i="8"/>
  <c r="R464" i="8"/>
  <c r="R405" i="8"/>
  <c r="J386" i="8"/>
  <c r="Q331" i="8"/>
  <c r="I330" i="8"/>
  <c r="Q323" i="8"/>
  <c r="R308" i="8"/>
  <c r="Q299" i="8"/>
  <c r="J297" i="8"/>
  <c r="J273" i="8"/>
  <c r="Q242" i="8"/>
  <c r="J205" i="8"/>
  <c r="J197" i="8"/>
  <c r="I191" i="8"/>
  <c r="Q172" i="8"/>
  <c r="S171" i="8"/>
  <c r="S163" i="8"/>
  <c r="I144" i="8"/>
  <c r="S120" i="8"/>
  <c r="R92" i="8"/>
  <c r="S47" i="8"/>
  <c r="J46" i="8"/>
  <c r="J369" i="8"/>
  <c r="J340" i="8"/>
  <c r="R292" i="8"/>
  <c r="J289" i="8"/>
  <c r="J283" i="8"/>
  <c r="J276" i="8"/>
  <c r="I249" i="8"/>
  <c r="J241" i="8"/>
  <c r="Q208" i="8"/>
  <c r="J181" i="8"/>
  <c r="Q123" i="8"/>
  <c r="Q93" i="8"/>
  <c r="I46" i="8"/>
  <c r="R431" i="8"/>
  <c r="I378" i="8"/>
  <c r="R372" i="8"/>
  <c r="R344" i="8"/>
  <c r="Q244" i="8"/>
  <c r="R226" i="8"/>
  <c r="S225" i="8"/>
  <c r="S173" i="8"/>
  <c r="Q166" i="8"/>
  <c r="S165" i="8"/>
  <c r="Q127" i="8"/>
  <c r="R126" i="8"/>
  <c r="Q119" i="8"/>
  <c r="Q85" i="8"/>
  <c r="S497" i="8"/>
  <c r="J480" i="8"/>
  <c r="J456" i="8"/>
  <c r="J448" i="8"/>
  <c r="S422" i="8"/>
  <c r="Q399" i="8"/>
  <c r="J379" i="8"/>
  <c r="R370" i="8"/>
  <c r="J308" i="8"/>
  <c r="J243" i="8"/>
  <c r="S236" i="8"/>
  <c r="Q202" i="8"/>
  <c r="I201" i="8"/>
  <c r="I159" i="8"/>
  <c r="S104" i="8"/>
  <c r="Q86" i="8"/>
  <c r="S84" i="8"/>
  <c r="I38" i="8"/>
  <c r="S40" i="8"/>
  <c r="R31" i="8"/>
  <c r="I30" i="8"/>
  <c r="Q509" i="8"/>
  <c r="R384" i="8"/>
  <c r="I261" i="8"/>
  <c r="R473" i="8"/>
  <c r="R465" i="8"/>
  <c r="Q456" i="8"/>
  <c r="J434" i="8"/>
  <c r="R407" i="8"/>
  <c r="J371" i="8"/>
  <c r="J362" i="8"/>
  <c r="R301" i="8"/>
  <c r="S288" i="8"/>
  <c r="I253" i="8"/>
  <c r="J221" i="8"/>
  <c r="I211" i="8"/>
  <c r="J199" i="8"/>
  <c r="J198" i="8"/>
  <c r="J195" i="8"/>
  <c r="S175" i="8"/>
  <c r="J171" i="8"/>
  <c r="J165" i="8"/>
  <c r="R99" i="8"/>
  <c r="Q32" i="8"/>
  <c r="J359" i="8"/>
  <c r="Q270" i="8"/>
  <c r="Q81" i="8"/>
  <c r="J508" i="8"/>
  <c r="J488" i="8"/>
  <c r="J436" i="8"/>
  <c r="J501" i="8"/>
  <c r="J500" i="8"/>
  <c r="Q492" i="8"/>
  <c r="Q490" i="8"/>
  <c r="R474" i="8"/>
  <c r="R466" i="8"/>
  <c r="I446" i="8"/>
  <c r="S438" i="8"/>
  <c r="S436" i="8"/>
  <c r="Q427" i="8"/>
  <c r="Q387" i="8"/>
  <c r="Q363" i="8"/>
  <c r="R322" i="8"/>
  <c r="J280" i="8"/>
  <c r="I271" i="8"/>
  <c r="Q254" i="8"/>
  <c r="S223" i="8"/>
  <c r="J213" i="8"/>
  <c r="J210" i="8"/>
  <c r="J100" i="8"/>
  <c r="Q33" i="8"/>
  <c r="J242" i="8"/>
  <c r="S374" i="8"/>
  <c r="J155" i="8"/>
  <c r="S122" i="8"/>
  <c r="Q67" i="8"/>
  <c r="S58" i="8"/>
  <c r="J32" i="8"/>
  <c r="R27" i="8"/>
  <c r="Q25" i="8"/>
  <c r="J24" i="8"/>
  <c r="J469" i="8"/>
  <c r="Q505" i="8"/>
  <c r="J504" i="8"/>
  <c r="R484" i="8"/>
  <c r="J481" i="8"/>
  <c r="S474" i="8"/>
  <c r="R468" i="8"/>
  <c r="J457" i="8"/>
  <c r="J425" i="8"/>
  <c r="R422" i="8"/>
  <c r="J374" i="8"/>
  <c r="R366" i="8"/>
  <c r="R350" i="8"/>
  <c r="R307" i="8"/>
  <c r="S296" i="8"/>
  <c r="R290" i="8"/>
  <c r="R254" i="8"/>
  <c r="I247" i="8"/>
  <c r="J246" i="8"/>
  <c r="S243" i="8"/>
  <c r="R151" i="8"/>
  <c r="J136" i="8"/>
  <c r="Q130" i="8"/>
  <c r="S118" i="8"/>
  <c r="Q96" i="8"/>
  <c r="Q68" i="8"/>
  <c r="J38" i="8"/>
  <c r="S34" i="8"/>
  <c r="J250" i="8"/>
  <c r="S503" i="8"/>
  <c r="R399" i="8"/>
  <c r="Q496" i="8"/>
  <c r="R469" i="8"/>
  <c r="R453" i="8"/>
  <c r="R442" i="8"/>
  <c r="J438" i="8"/>
  <c r="I326" i="8"/>
  <c r="J324" i="8"/>
  <c r="Q309" i="8"/>
  <c r="Q297" i="8"/>
  <c r="Q295" i="8"/>
  <c r="I259" i="8"/>
  <c r="S256" i="8"/>
  <c r="R236" i="8"/>
  <c r="R218" i="8"/>
  <c r="S217" i="8"/>
  <c r="S204" i="8"/>
  <c r="S201" i="8"/>
  <c r="S195" i="8"/>
  <c r="Q180" i="8"/>
  <c r="S167" i="8"/>
  <c r="R163" i="8"/>
  <c r="R140" i="8"/>
  <c r="I98" i="8"/>
  <c r="J88" i="8"/>
  <c r="Q69" i="8"/>
  <c r="Q60" i="8"/>
  <c r="Q39" i="8"/>
  <c r="R38" i="8"/>
  <c r="Q498" i="8"/>
  <c r="Q471" i="8"/>
  <c r="Q435" i="8"/>
  <c r="J370" i="8"/>
  <c r="R277" i="8"/>
  <c r="R507" i="8"/>
  <c r="Q495" i="8"/>
  <c r="R498" i="8"/>
  <c r="R478" i="8"/>
  <c r="J476" i="8"/>
  <c r="Q433" i="8"/>
  <c r="Q379" i="8"/>
  <c r="J378" i="8"/>
  <c r="S378" i="8"/>
  <c r="Q351" i="8"/>
  <c r="J337" i="8"/>
  <c r="J327" i="8"/>
  <c r="I296" i="8"/>
  <c r="Q286" i="8"/>
  <c r="Q260" i="8"/>
  <c r="R243" i="8"/>
  <c r="J227" i="8"/>
  <c r="Q218" i="8"/>
  <c r="R207" i="8"/>
  <c r="R205" i="8"/>
  <c r="I200" i="8"/>
  <c r="S199" i="8"/>
  <c r="S161" i="8"/>
  <c r="J132" i="8"/>
  <c r="Q89" i="8"/>
  <c r="J317" i="8"/>
  <c r="R317" i="8"/>
  <c r="Q311" i="8"/>
  <c r="J394" i="8"/>
  <c r="Q335" i="8"/>
  <c r="Q336" i="8"/>
  <c r="S335" i="8"/>
  <c r="R334" i="8"/>
  <c r="Q394" i="8"/>
  <c r="I394" i="8"/>
  <c r="R486" i="8"/>
  <c r="R485" i="8"/>
  <c r="R460" i="8"/>
  <c r="R452" i="8"/>
  <c r="J449" i="8"/>
  <c r="S450" i="8"/>
  <c r="J411" i="8"/>
  <c r="S412" i="8"/>
  <c r="J413" i="8"/>
  <c r="I414" i="8"/>
  <c r="Q267" i="8"/>
  <c r="R488" i="8"/>
  <c r="J452" i="8"/>
  <c r="Q310" i="8"/>
  <c r="S137" i="8"/>
  <c r="Q138" i="8"/>
  <c r="J503" i="8"/>
  <c r="S490" i="8"/>
  <c r="J483" i="8"/>
  <c r="J461" i="8"/>
  <c r="J455" i="8"/>
  <c r="Q429" i="8"/>
  <c r="R358" i="8"/>
  <c r="J335" i="8"/>
  <c r="J309" i="8"/>
  <c r="Q268" i="8"/>
  <c r="R267" i="8"/>
  <c r="R259" i="8"/>
  <c r="Q162" i="8"/>
  <c r="I157" i="8"/>
  <c r="J157" i="8"/>
  <c r="S157" i="8"/>
  <c r="Q139" i="8"/>
  <c r="Q31" i="8"/>
  <c r="S30" i="8"/>
  <c r="I505" i="8"/>
  <c r="S491" i="8"/>
  <c r="J487" i="8"/>
  <c r="J486" i="8"/>
  <c r="J485" i="8"/>
  <c r="Q475" i="8"/>
  <c r="Q467" i="8"/>
  <c r="J464" i="8"/>
  <c r="I463" i="8"/>
  <c r="Q439" i="8"/>
  <c r="R437" i="8"/>
  <c r="Q430" i="8"/>
  <c r="J427" i="8"/>
  <c r="R427" i="8"/>
  <c r="R426" i="8"/>
  <c r="R425" i="8"/>
  <c r="Q386" i="8"/>
  <c r="J383" i="8"/>
  <c r="I371" i="8"/>
  <c r="J357" i="8"/>
  <c r="S343" i="8"/>
  <c r="R323" i="8"/>
  <c r="R313" i="8"/>
  <c r="I309" i="8"/>
  <c r="I302" i="8"/>
  <c r="Q293" i="8"/>
  <c r="R275" i="8"/>
  <c r="J268" i="8"/>
  <c r="Q269" i="8"/>
  <c r="J225" i="8"/>
  <c r="I163" i="8"/>
  <c r="S151" i="8"/>
  <c r="Q140" i="8"/>
  <c r="R88" i="8"/>
  <c r="J30" i="8"/>
  <c r="J70" i="8"/>
  <c r="S71" i="8"/>
  <c r="J453" i="8"/>
  <c r="R359" i="8"/>
  <c r="J492" i="8"/>
  <c r="R477" i="8"/>
  <c r="J473" i="8"/>
  <c r="R470" i="8"/>
  <c r="J468" i="8"/>
  <c r="S466" i="8"/>
  <c r="Q432" i="8"/>
  <c r="J429" i="8"/>
  <c r="J422" i="8"/>
  <c r="Q422" i="8"/>
  <c r="I418" i="8"/>
  <c r="I399" i="8"/>
  <c r="S382" i="8"/>
  <c r="I379" i="8"/>
  <c r="R362" i="8"/>
  <c r="I359" i="8"/>
  <c r="J358" i="8"/>
  <c r="J351" i="8"/>
  <c r="R349" i="8"/>
  <c r="R348" i="8"/>
  <c r="R325" i="8"/>
  <c r="Q322" i="8"/>
  <c r="J312" i="8"/>
  <c r="R297" i="8"/>
  <c r="I284" i="8"/>
  <c r="Q282" i="8"/>
  <c r="J279" i="8"/>
  <c r="S279" i="8"/>
  <c r="J259" i="8"/>
  <c r="I260" i="8"/>
  <c r="S259" i="8"/>
  <c r="I208" i="8"/>
  <c r="S169" i="8"/>
  <c r="S140" i="8"/>
  <c r="R111" i="8"/>
  <c r="S112" i="8"/>
  <c r="J65" i="8"/>
  <c r="I66" i="8"/>
  <c r="J401" i="8"/>
  <c r="S402" i="8"/>
  <c r="R388" i="8"/>
  <c r="Q362" i="8"/>
  <c r="Q327" i="8"/>
  <c r="R328" i="8"/>
  <c r="J326" i="8"/>
  <c r="R327" i="8"/>
  <c r="Q304" i="8"/>
  <c r="R291" i="8"/>
  <c r="J291" i="8"/>
  <c r="I292" i="8"/>
  <c r="S292" i="8"/>
  <c r="Q284" i="8"/>
  <c r="Q285" i="8"/>
  <c r="R284" i="8"/>
  <c r="R269" i="8"/>
  <c r="I269" i="8"/>
  <c r="S153" i="8"/>
  <c r="Q154" i="8"/>
  <c r="Q142" i="8"/>
  <c r="J112" i="8"/>
  <c r="I113" i="8"/>
  <c r="I75" i="8"/>
  <c r="R75" i="8"/>
  <c r="I76" i="8"/>
  <c r="R23" i="8"/>
  <c r="Q488" i="8"/>
  <c r="I506" i="8"/>
  <c r="J493" i="8"/>
  <c r="I494" i="8"/>
  <c r="Q437" i="8"/>
  <c r="S433" i="8"/>
  <c r="I422" i="8"/>
  <c r="I509" i="8"/>
  <c r="J496" i="8"/>
  <c r="J474" i="8"/>
  <c r="J471" i="8"/>
  <c r="J467" i="8"/>
  <c r="R456" i="8"/>
  <c r="Q442" i="8"/>
  <c r="R406" i="8"/>
  <c r="J389" i="8"/>
  <c r="S390" i="8"/>
  <c r="Q352" i="8"/>
  <c r="J349" i="8"/>
  <c r="I348" i="8"/>
  <c r="R324" i="8"/>
  <c r="J296" i="8"/>
  <c r="S271" i="8"/>
  <c r="J270" i="8"/>
  <c r="J262" i="8"/>
  <c r="S263" i="8"/>
  <c r="Q253" i="8"/>
  <c r="Q178" i="8"/>
  <c r="S177" i="8"/>
  <c r="J153" i="8"/>
  <c r="R147" i="8"/>
  <c r="Q145" i="8"/>
  <c r="R146" i="8"/>
  <c r="I142" i="8"/>
  <c r="R122" i="8"/>
  <c r="J34" i="8"/>
  <c r="R35" i="8"/>
  <c r="S35" i="8"/>
  <c r="S26" i="8"/>
  <c r="S252" i="8"/>
  <c r="J482" i="8"/>
  <c r="Q461" i="8"/>
  <c r="J454" i="8"/>
  <c r="Q358" i="8"/>
  <c r="Q507" i="8"/>
  <c r="J507" i="8"/>
  <c r="Q468" i="8"/>
  <c r="S440" i="8"/>
  <c r="R404" i="8"/>
  <c r="I510" i="8"/>
  <c r="R501" i="8"/>
  <c r="J498" i="8"/>
  <c r="J475" i="8"/>
  <c r="Q473" i="8"/>
  <c r="J470" i="8"/>
  <c r="R441" i="8"/>
  <c r="J435" i="8"/>
  <c r="S434" i="8"/>
  <c r="Q391" i="8"/>
  <c r="R503" i="8"/>
  <c r="R499" i="8"/>
  <c r="I498" i="8"/>
  <c r="S498" i="8"/>
  <c r="R481" i="8"/>
  <c r="J479" i="8"/>
  <c r="I478" i="8"/>
  <c r="I469" i="8"/>
  <c r="R458" i="8"/>
  <c r="I455" i="8"/>
  <c r="S454" i="8"/>
  <c r="Q448" i="8"/>
  <c r="Q408" i="8"/>
  <c r="Q406" i="8"/>
  <c r="I404" i="8"/>
  <c r="Q375" i="8"/>
  <c r="I374" i="8"/>
  <c r="J373" i="8"/>
  <c r="Q371" i="8"/>
  <c r="J363" i="8"/>
  <c r="S340" i="8"/>
  <c r="R335" i="8"/>
  <c r="J334" i="8"/>
  <c r="Q334" i="8"/>
  <c r="J328" i="8"/>
  <c r="R318" i="8"/>
  <c r="R304" i="8"/>
  <c r="J284" i="8"/>
  <c r="S264" i="8"/>
  <c r="R255" i="8"/>
  <c r="I252" i="8"/>
  <c r="R242" i="8"/>
  <c r="J235" i="8"/>
  <c r="R235" i="8"/>
  <c r="I236" i="8"/>
  <c r="I223" i="8"/>
  <c r="S220" i="8"/>
  <c r="R158" i="8"/>
  <c r="J154" i="8"/>
  <c r="R154" i="8"/>
  <c r="I155" i="8"/>
  <c r="S155" i="8"/>
  <c r="R135" i="8"/>
  <c r="J134" i="8"/>
  <c r="R115" i="8"/>
  <c r="S116" i="8"/>
  <c r="S93" i="8"/>
  <c r="Q94" i="8"/>
  <c r="S78" i="8"/>
  <c r="Q27" i="8"/>
  <c r="J26" i="8"/>
  <c r="S149" i="8"/>
  <c r="J149" i="8"/>
  <c r="Q150" i="8"/>
  <c r="J450" i="8"/>
  <c r="R415" i="8"/>
  <c r="R356" i="8"/>
  <c r="J509" i="8"/>
  <c r="Q497" i="8"/>
  <c r="J502" i="8"/>
  <c r="R490" i="8"/>
  <c r="I487" i="8"/>
  <c r="Q483" i="8"/>
  <c r="I462" i="8"/>
  <c r="R462" i="8"/>
  <c r="Q460" i="8"/>
  <c r="R454" i="8"/>
  <c r="Q451" i="8"/>
  <c r="J445" i="8"/>
  <c r="S426" i="8"/>
  <c r="Q415" i="8"/>
  <c r="R414" i="8"/>
  <c r="R408" i="8"/>
  <c r="J407" i="8"/>
  <c r="Q395" i="8"/>
  <c r="Q376" i="8"/>
  <c r="R375" i="8"/>
  <c r="R374" i="8"/>
  <c r="Q356" i="8"/>
  <c r="J333" i="8"/>
  <c r="S334" i="8"/>
  <c r="S287" i="8"/>
  <c r="I287" i="8"/>
  <c r="Q225" i="8"/>
  <c r="J215" i="8"/>
  <c r="J190" i="8"/>
  <c r="R150" i="8"/>
  <c r="S136" i="8"/>
  <c r="J116" i="8"/>
  <c r="I117" i="8"/>
  <c r="Q95" i="8"/>
  <c r="Q82" i="8"/>
  <c r="R69" i="8"/>
  <c r="S70" i="8"/>
  <c r="R30" i="8"/>
  <c r="R429" i="8"/>
  <c r="Q411" i="8"/>
  <c r="Q409" i="8"/>
  <c r="J398" i="8"/>
  <c r="J393" i="8"/>
  <c r="K394" i="8" s="1"/>
  <c r="N394" i="8" s="1"/>
  <c r="O395" i="8" s="1"/>
  <c r="R355" i="8"/>
  <c r="Q354" i="8"/>
  <c r="J350" i="8"/>
  <c r="S308" i="8"/>
  <c r="J255" i="8"/>
  <c r="Q255" i="8"/>
  <c r="R228" i="8"/>
  <c r="Q217" i="8"/>
  <c r="S211" i="8"/>
  <c r="I192" i="8"/>
  <c r="R187" i="8"/>
  <c r="R183" i="8"/>
  <c r="R167" i="8"/>
  <c r="S159" i="8"/>
  <c r="J150" i="8"/>
  <c r="I149" i="8"/>
  <c r="J147" i="8"/>
  <c r="Q144" i="8"/>
  <c r="J140" i="8"/>
  <c r="R139" i="8"/>
  <c r="I126" i="8"/>
  <c r="S96" i="8"/>
  <c r="J93" i="8"/>
  <c r="S86" i="8"/>
  <c r="J146" i="8"/>
  <c r="J144" i="8"/>
  <c r="S144" i="8"/>
  <c r="J124" i="8"/>
  <c r="R93" i="8"/>
  <c r="J89" i="8"/>
  <c r="R89" i="8"/>
  <c r="J85" i="8"/>
  <c r="R85" i="8"/>
  <c r="J81" i="8"/>
  <c r="R81" i="8"/>
  <c r="Q58" i="8"/>
  <c r="J55" i="8"/>
  <c r="I52" i="8"/>
  <c r="S43" i="8"/>
  <c r="R42" i="8"/>
  <c r="J253" i="8"/>
  <c r="S253" i="8"/>
  <c r="R230" i="8"/>
  <c r="J229" i="8"/>
  <c r="J224" i="8"/>
  <c r="S224" i="8"/>
  <c r="J191" i="8"/>
  <c r="J187" i="8"/>
  <c r="J186" i="8"/>
  <c r="J183" i="8"/>
  <c r="J182" i="8"/>
  <c r="J175" i="8"/>
  <c r="J167" i="8"/>
  <c r="J166" i="8"/>
  <c r="J130" i="8"/>
  <c r="Q106" i="8"/>
  <c r="I101" i="8"/>
  <c r="S55" i="8"/>
  <c r="Q41" i="8"/>
  <c r="R337" i="8"/>
  <c r="R330" i="8"/>
  <c r="I308" i="8"/>
  <c r="J293" i="8"/>
  <c r="R276" i="8"/>
  <c r="Q275" i="8"/>
  <c r="R239" i="8"/>
  <c r="Q237" i="8"/>
  <c r="J216" i="8"/>
  <c r="S216" i="8"/>
  <c r="S215" i="8"/>
  <c r="J204" i="8"/>
  <c r="R199" i="8"/>
  <c r="J177" i="8"/>
  <c r="J163" i="8"/>
  <c r="J162" i="8"/>
  <c r="R159" i="8"/>
  <c r="R134" i="8"/>
  <c r="J61" i="8"/>
  <c r="S59" i="8"/>
  <c r="J47" i="8"/>
  <c r="S38" i="8"/>
  <c r="R36" i="8"/>
  <c r="Q426" i="8"/>
  <c r="Q424" i="8"/>
  <c r="Q420" i="8"/>
  <c r="S386" i="8"/>
  <c r="Q382" i="8"/>
  <c r="R380" i="8"/>
  <c r="J377" i="8"/>
  <c r="Q374" i="8"/>
  <c r="R371" i="8"/>
  <c r="R333" i="8"/>
  <c r="J316" i="8"/>
  <c r="Q316" i="8"/>
  <c r="Q308" i="8"/>
  <c r="Q296" i="8"/>
  <c r="I294" i="8"/>
  <c r="Q292" i="8"/>
  <c r="R288" i="8"/>
  <c r="S276" i="8"/>
  <c r="S275" i="8"/>
  <c r="R271" i="8"/>
  <c r="J263" i="8"/>
  <c r="R237" i="8"/>
  <c r="S235" i="8"/>
  <c r="S208" i="8"/>
  <c r="J179" i="8"/>
  <c r="I161" i="8"/>
  <c r="J159" i="8"/>
  <c r="I151" i="8"/>
  <c r="S147" i="8"/>
  <c r="R136" i="8"/>
  <c r="S133" i="8"/>
  <c r="Q117" i="8"/>
  <c r="R116" i="8"/>
  <c r="J63" i="8"/>
  <c r="S63" i="8"/>
  <c r="J39" i="8"/>
  <c r="R34" i="8"/>
  <c r="R24" i="8"/>
  <c r="J22" i="8"/>
  <c r="Q317" i="8"/>
  <c r="Q291" i="8"/>
  <c r="Q289" i="8"/>
  <c r="R272" i="8"/>
  <c r="R270" i="8"/>
  <c r="R155" i="8"/>
  <c r="I147" i="8"/>
  <c r="R138" i="8"/>
  <c r="Q135" i="8"/>
  <c r="I118" i="8"/>
  <c r="J92" i="8"/>
  <c r="S89" i="8"/>
  <c r="S85" i="8"/>
  <c r="S81" i="8"/>
  <c r="R74" i="8"/>
  <c r="R70" i="8"/>
  <c r="S32" i="8"/>
  <c r="R32" i="8"/>
  <c r="R28" i="8"/>
  <c r="R26" i="8"/>
  <c r="Q23" i="8"/>
  <c r="Q499" i="8"/>
  <c r="I496" i="8"/>
  <c r="S496" i="8"/>
  <c r="Q458" i="8"/>
  <c r="R459" i="8"/>
  <c r="Q503" i="8"/>
  <c r="S502" i="8"/>
  <c r="I501" i="8"/>
  <c r="I499" i="8"/>
  <c r="I495" i="8"/>
  <c r="R492" i="8"/>
  <c r="Q491" i="8"/>
  <c r="J489" i="8"/>
  <c r="I489" i="8"/>
  <c r="Q480" i="8"/>
  <c r="I475" i="8"/>
  <c r="S470" i="8"/>
  <c r="S463" i="8"/>
  <c r="R510" i="8"/>
  <c r="R506" i="8"/>
  <c r="J505" i="8"/>
  <c r="R502" i="8"/>
  <c r="S501" i="8"/>
  <c r="S499" i="8"/>
  <c r="J497" i="8"/>
  <c r="I486" i="8"/>
  <c r="Q484" i="8"/>
  <c r="S467" i="8"/>
  <c r="Q510" i="8"/>
  <c r="S509" i="8"/>
  <c r="Q506" i="8"/>
  <c r="Q502" i="8"/>
  <c r="Q501" i="8"/>
  <c r="I497" i="8"/>
  <c r="S495" i="8"/>
  <c r="S494" i="8"/>
  <c r="I490" i="8"/>
  <c r="Q486" i="8"/>
  <c r="R487" i="8"/>
  <c r="I483" i="8"/>
  <c r="S478" i="8"/>
  <c r="J478" i="8"/>
  <c r="S471" i="8"/>
  <c r="I472" i="8"/>
  <c r="S472" i="8"/>
  <c r="Q469" i="8"/>
  <c r="J465" i="8"/>
  <c r="I465" i="8"/>
  <c r="I458" i="8"/>
  <c r="Q454" i="8"/>
  <c r="U454" i="8" s="1"/>
  <c r="R455" i="8"/>
  <c r="I451" i="8"/>
  <c r="R449" i="8"/>
  <c r="I448" i="8"/>
  <c r="S448" i="8"/>
  <c r="Q444" i="8"/>
  <c r="Q441" i="8"/>
  <c r="J437" i="8"/>
  <c r="R435" i="8"/>
  <c r="Q434" i="8"/>
  <c r="Q431" i="8"/>
  <c r="I431" i="8"/>
  <c r="S431" i="8"/>
  <c r="S428" i="8"/>
  <c r="Q423" i="8"/>
  <c r="R421" i="8"/>
  <c r="Q421" i="8"/>
  <c r="J412" i="8"/>
  <c r="I413" i="8"/>
  <c r="S413" i="8"/>
  <c r="I412" i="8"/>
  <c r="R412" i="8"/>
  <c r="J410" i="8"/>
  <c r="I406" i="8"/>
  <c r="J341" i="8"/>
  <c r="R342" i="8"/>
  <c r="Q341" i="8"/>
  <c r="R321" i="8"/>
  <c r="J320" i="8"/>
  <c r="Q321" i="8"/>
  <c r="S306" i="8"/>
  <c r="J305" i="8"/>
  <c r="I306" i="8"/>
  <c r="R505" i="8"/>
  <c r="J439" i="8"/>
  <c r="I440" i="8"/>
  <c r="S504" i="8"/>
  <c r="R496" i="8"/>
  <c r="Q464" i="8"/>
  <c r="R457" i="8"/>
  <c r="R450" i="8"/>
  <c r="Q446" i="8"/>
  <c r="R447" i="8"/>
  <c r="I442" i="8"/>
  <c r="R439" i="8"/>
  <c r="S424" i="8"/>
  <c r="J420" i="8"/>
  <c r="I421" i="8"/>
  <c r="S421" i="8"/>
  <c r="R420" i="8"/>
  <c r="J397" i="8"/>
  <c r="R398" i="8"/>
  <c r="S398" i="8"/>
  <c r="J396" i="8"/>
  <c r="I397" i="8"/>
  <c r="S397" i="8"/>
  <c r="R396" i="8"/>
  <c r="I347" i="8"/>
  <c r="R347" i="8"/>
  <c r="J346" i="8"/>
  <c r="S508" i="8"/>
  <c r="I504" i="8"/>
  <c r="I491" i="8"/>
  <c r="R489" i="8"/>
  <c r="Q477" i="8"/>
  <c r="I473" i="8"/>
  <c r="Q462" i="8"/>
  <c r="R463" i="8"/>
  <c r="I459" i="8"/>
  <c r="J477" i="8"/>
  <c r="I470" i="8"/>
  <c r="Q466" i="8"/>
  <c r="R467" i="8"/>
  <c r="S451" i="8"/>
  <c r="I452" i="8"/>
  <c r="S452" i="8"/>
  <c r="Q449" i="8"/>
  <c r="R445" i="8"/>
  <c r="R443" i="8"/>
  <c r="J440" i="8"/>
  <c r="I433" i="8"/>
  <c r="I430" i="8"/>
  <c r="S430" i="8"/>
  <c r="R386" i="8"/>
  <c r="I500" i="8"/>
  <c r="S500" i="8"/>
  <c r="R495" i="8"/>
  <c r="R494" i="8"/>
  <c r="S475" i="8"/>
  <c r="I368" i="8"/>
  <c r="S368" i="8"/>
  <c r="J367" i="8"/>
  <c r="R367" i="8"/>
  <c r="I508" i="8"/>
  <c r="R497" i="8"/>
  <c r="I480" i="8"/>
  <c r="S480" i="8"/>
  <c r="I466" i="8"/>
  <c r="J463" i="8"/>
  <c r="R508" i="8"/>
  <c r="R504" i="8"/>
  <c r="S483" i="8"/>
  <c r="Q481" i="8"/>
  <c r="I477" i="8"/>
  <c r="R461" i="8"/>
  <c r="J458" i="8"/>
  <c r="I503" i="8"/>
  <c r="S487" i="8"/>
  <c r="Q485" i="8"/>
  <c r="I481" i="8"/>
  <c r="R476" i="8"/>
  <c r="I474" i="8"/>
  <c r="Q472" i="8"/>
  <c r="Q470" i="8"/>
  <c r="R471" i="8"/>
  <c r="I467" i="8"/>
  <c r="S462" i="8"/>
  <c r="J462" i="8"/>
  <c r="J460" i="8"/>
  <c r="S455" i="8"/>
  <c r="I456" i="8"/>
  <c r="S456" i="8"/>
  <c r="Q453" i="8"/>
  <c r="I449" i="8"/>
  <c r="I447" i="8"/>
  <c r="S447" i="8"/>
  <c r="J446" i="8"/>
  <c r="Q445" i="8"/>
  <c r="I439" i="8"/>
  <c r="S439" i="8"/>
  <c r="R438" i="8"/>
  <c r="S437" i="8"/>
  <c r="R432" i="8"/>
  <c r="I427" i="8"/>
  <c r="J419" i="8"/>
  <c r="R419" i="8"/>
  <c r="R416" i="8"/>
  <c r="R410" i="8"/>
  <c r="S410" i="8"/>
  <c r="I410" i="8"/>
  <c r="S406" i="8"/>
  <c r="J402" i="8"/>
  <c r="R403" i="8"/>
  <c r="I402" i="8"/>
  <c r="Q401" i="8"/>
  <c r="R401" i="8"/>
  <c r="I390" i="8"/>
  <c r="R391" i="8"/>
  <c r="J390" i="8"/>
  <c r="Q389" i="8"/>
  <c r="R389" i="8"/>
  <c r="J332" i="8"/>
  <c r="Q333" i="8"/>
  <c r="Q264" i="8"/>
  <c r="R265" i="8"/>
  <c r="R264" i="8"/>
  <c r="Q265" i="8"/>
  <c r="S482" i="8"/>
  <c r="I444" i="8"/>
  <c r="S444" i="8"/>
  <c r="R482" i="8"/>
  <c r="S479" i="8"/>
  <c r="J490" i="8"/>
  <c r="I484" i="8"/>
  <c r="S484" i="8"/>
  <c r="S458" i="8"/>
  <c r="Q508" i="8"/>
  <c r="S507" i="8"/>
  <c r="I507" i="8"/>
  <c r="Q504" i="8"/>
  <c r="I488" i="8"/>
  <c r="S488" i="8"/>
  <c r="J510" i="8"/>
  <c r="J506" i="8"/>
  <c r="I502" i="8"/>
  <c r="J499" i="8"/>
  <c r="J495" i="8"/>
  <c r="J494" i="8"/>
  <c r="Q493" i="8"/>
  <c r="R491" i="8"/>
  <c r="I492" i="8"/>
  <c r="S492" i="8"/>
  <c r="Q489" i="8"/>
  <c r="Q487" i="8"/>
  <c r="I485" i="8"/>
  <c r="R480" i="8"/>
  <c r="Q474" i="8"/>
  <c r="R475" i="8"/>
  <c r="I471" i="8"/>
  <c r="J466" i="8"/>
  <c r="S459" i="8"/>
  <c r="I460" i="8"/>
  <c r="S460" i="8"/>
  <c r="Q457" i="8"/>
  <c r="Q455" i="8"/>
  <c r="I453" i="8"/>
  <c r="R448" i="8"/>
  <c r="J447" i="8"/>
  <c r="S446" i="8"/>
  <c r="I445" i="8"/>
  <c r="I443" i="8"/>
  <c r="S443" i="8"/>
  <c r="J442" i="8"/>
  <c r="I437" i="8"/>
  <c r="R436" i="8"/>
  <c r="J431" i="8"/>
  <c r="I432" i="8"/>
  <c r="S432" i="8"/>
  <c r="J430" i="8"/>
  <c r="J428" i="8"/>
  <c r="I429" i="8"/>
  <c r="S429" i="8"/>
  <c r="R428" i="8"/>
  <c r="I424" i="8"/>
  <c r="I423" i="8"/>
  <c r="J421" i="8"/>
  <c r="S420" i="8"/>
  <c r="R417" i="8"/>
  <c r="Q417" i="8"/>
  <c r="R411" i="8"/>
  <c r="I392" i="8"/>
  <c r="S392" i="8"/>
  <c r="R392" i="8"/>
  <c r="J391" i="8"/>
  <c r="Q388" i="8"/>
  <c r="I386" i="8"/>
  <c r="J376" i="8"/>
  <c r="I377" i="8"/>
  <c r="S377" i="8"/>
  <c r="R376" i="8"/>
  <c r="J364" i="8"/>
  <c r="I365" i="8"/>
  <c r="S365" i="8"/>
  <c r="R364" i="8"/>
  <c r="S510" i="8"/>
  <c r="S506" i="8"/>
  <c r="Q478" i="8"/>
  <c r="U478" i="8" s="1"/>
  <c r="R479" i="8"/>
  <c r="Q459" i="8"/>
  <c r="I457" i="8"/>
  <c r="I450" i="8"/>
  <c r="R446" i="8"/>
  <c r="J443" i="8"/>
  <c r="S442" i="8"/>
  <c r="J441" i="8"/>
  <c r="S441" i="8"/>
  <c r="R434" i="8"/>
  <c r="J433" i="8"/>
  <c r="I434" i="8"/>
  <c r="R433" i="8"/>
  <c r="Q414" i="8"/>
  <c r="S414" i="8"/>
  <c r="Q413" i="8"/>
  <c r="J408" i="8"/>
  <c r="I409" i="8"/>
  <c r="S409" i="8"/>
  <c r="I408" i="8"/>
  <c r="I398" i="8"/>
  <c r="J385" i="8"/>
  <c r="I476" i="8"/>
  <c r="S476" i="8"/>
  <c r="J415" i="8"/>
  <c r="S416" i="8"/>
  <c r="I416" i="8"/>
  <c r="I493" i="8"/>
  <c r="S493" i="8"/>
  <c r="I482" i="8"/>
  <c r="I464" i="8"/>
  <c r="S464" i="8"/>
  <c r="Q494" i="8"/>
  <c r="Q482" i="8"/>
  <c r="R483" i="8"/>
  <c r="I479" i="8"/>
  <c r="J472" i="8"/>
  <c r="I468" i="8"/>
  <c r="K468" i="8" s="1"/>
  <c r="N468" i="8" s="1"/>
  <c r="O469" i="8" s="1"/>
  <c r="S468" i="8"/>
  <c r="Q465" i="8"/>
  <c r="Q463" i="8"/>
  <c r="I461" i="8"/>
  <c r="I454" i="8"/>
  <c r="Q452" i="8"/>
  <c r="Q450" i="8"/>
  <c r="R451" i="8"/>
  <c r="R444" i="8"/>
  <c r="I441" i="8"/>
  <c r="R440" i="8"/>
  <c r="J432" i="8"/>
  <c r="I428" i="8"/>
  <c r="I420" i="8"/>
  <c r="R368" i="8"/>
  <c r="I435" i="8"/>
  <c r="S435" i="8"/>
  <c r="J423" i="8"/>
  <c r="S418" i="8"/>
  <c r="I419" i="8"/>
  <c r="Q416" i="8"/>
  <c r="R413" i="8"/>
  <c r="J405" i="8"/>
  <c r="S404" i="8"/>
  <c r="J404" i="8"/>
  <c r="I405" i="8"/>
  <c r="S405" i="8"/>
  <c r="Q398" i="8"/>
  <c r="I396" i="8"/>
  <c r="S396" i="8"/>
  <c r="Q392" i="8"/>
  <c r="R390" i="8"/>
  <c r="I383" i="8"/>
  <c r="J380" i="8"/>
  <c r="I381" i="8"/>
  <c r="S381" i="8"/>
  <c r="Q373" i="8"/>
  <c r="R373" i="8"/>
  <c r="Q368" i="8"/>
  <c r="U368" i="8" s="1"/>
  <c r="Q355" i="8"/>
  <c r="R354" i="8"/>
  <c r="I354" i="8"/>
  <c r="S354" i="8"/>
  <c r="Q353" i="8"/>
  <c r="R353" i="8"/>
  <c r="R351" i="8"/>
  <c r="R343" i="8"/>
  <c r="S344" i="8"/>
  <c r="I344" i="8"/>
  <c r="J343" i="8"/>
  <c r="Q324" i="8"/>
  <c r="S324" i="8"/>
  <c r="J323" i="8"/>
  <c r="I286" i="8"/>
  <c r="S286" i="8"/>
  <c r="R285" i="8"/>
  <c r="J285" i="8"/>
  <c r="I285" i="8"/>
  <c r="Q397" i="8"/>
  <c r="R397" i="8"/>
  <c r="Q390" i="8"/>
  <c r="I388" i="8"/>
  <c r="S388" i="8"/>
  <c r="Q384" i="8"/>
  <c r="J375" i="8"/>
  <c r="I375" i="8"/>
  <c r="J372" i="8"/>
  <c r="I373" i="8"/>
  <c r="S373" i="8"/>
  <c r="I362" i="8"/>
  <c r="S362" i="8"/>
  <c r="Q361" i="8"/>
  <c r="R361" i="8"/>
  <c r="I356" i="8"/>
  <c r="S356" i="8"/>
  <c r="J352" i="8"/>
  <c r="I353" i="8"/>
  <c r="S353" i="8"/>
  <c r="Q350" i="8"/>
  <c r="S350" i="8"/>
  <c r="J342" i="8"/>
  <c r="I343" i="8"/>
  <c r="R341" i="8"/>
  <c r="Q340" i="8"/>
  <c r="R332" i="8"/>
  <c r="I282" i="8"/>
  <c r="S282" i="8"/>
  <c r="R281" i="8"/>
  <c r="J281" i="8"/>
  <c r="S265" i="8"/>
  <c r="Q266" i="8"/>
  <c r="S489" i="8"/>
  <c r="S485" i="8"/>
  <c r="S481" i="8"/>
  <c r="S477" i="8"/>
  <c r="S473" i="8"/>
  <c r="S469" i="8"/>
  <c r="S465" i="8"/>
  <c r="S461" i="8"/>
  <c r="S457" i="8"/>
  <c r="S453" i="8"/>
  <c r="S449" i="8"/>
  <c r="S445" i="8"/>
  <c r="I438" i="8"/>
  <c r="Q428" i="8"/>
  <c r="J417" i="8"/>
  <c r="J416" i="8"/>
  <c r="I417" i="8"/>
  <c r="S417" i="8"/>
  <c r="Q410" i="8"/>
  <c r="J403" i="8"/>
  <c r="I403" i="8"/>
  <c r="J400" i="8"/>
  <c r="I401" i="8"/>
  <c r="S401" i="8"/>
  <c r="Q393" i="8"/>
  <c r="R393" i="8"/>
  <c r="I384" i="8"/>
  <c r="S384" i="8"/>
  <c r="Q380" i="8"/>
  <c r="R378" i="8"/>
  <c r="Q370" i="8"/>
  <c r="Q364" i="8"/>
  <c r="R346" i="8"/>
  <c r="Q344" i="8"/>
  <c r="I342" i="8"/>
  <c r="I340" i="8"/>
  <c r="Q339" i="8"/>
  <c r="J339" i="8"/>
  <c r="R340" i="8"/>
  <c r="I337" i="8"/>
  <c r="S337" i="8"/>
  <c r="R336" i="8"/>
  <c r="I336" i="8"/>
  <c r="J336" i="8"/>
  <c r="R312" i="8"/>
  <c r="I312" i="8"/>
  <c r="J311" i="8"/>
  <c r="J310" i="8"/>
  <c r="I311" i="8"/>
  <c r="S311" i="8"/>
  <c r="I310" i="8"/>
  <c r="R310" i="8"/>
  <c r="S310" i="8"/>
  <c r="S304" i="8"/>
  <c r="J300" i="8"/>
  <c r="Q301" i="8"/>
  <c r="R299" i="8"/>
  <c r="Q233" i="8"/>
  <c r="Q234" i="8"/>
  <c r="I380" i="8"/>
  <c r="S380" i="8"/>
  <c r="I370" i="8"/>
  <c r="S370" i="8"/>
  <c r="Q369" i="8"/>
  <c r="R369" i="8"/>
  <c r="I367" i="8"/>
  <c r="I364" i="8"/>
  <c r="S364" i="8"/>
  <c r="J360" i="8"/>
  <c r="I361" i="8"/>
  <c r="S361" i="8"/>
  <c r="Q346" i="8"/>
  <c r="I346" i="8"/>
  <c r="S346" i="8"/>
  <c r="J331" i="8"/>
  <c r="I332" i="8"/>
  <c r="I331" i="8"/>
  <c r="R320" i="8"/>
  <c r="Q302" i="8"/>
  <c r="J301" i="8"/>
  <c r="Q440" i="8"/>
  <c r="I436" i="8"/>
  <c r="J424" i="8"/>
  <c r="I425" i="8"/>
  <c r="S425" i="8"/>
  <c r="Q418" i="8"/>
  <c r="U418" i="8" s="1"/>
  <c r="I407" i="8"/>
  <c r="K407" i="8" s="1"/>
  <c r="N407" i="8" s="1"/>
  <c r="O408" i="8" s="1"/>
  <c r="Q404" i="8"/>
  <c r="R402" i="8"/>
  <c r="R400" i="8"/>
  <c r="J395" i="8"/>
  <c r="I395" i="8"/>
  <c r="J392" i="8"/>
  <c r="I393" i="8"/>
  <c r="S393" i="8"/>
  <c r="Q385" i="8"/>
  <c r="R385" i="8"/>
  <c r="R383" i="8"/>
  <c r="Q378" i="8"/>
  <c r="I376" i="8"/>
  <c r="S376" i="8"/>
  <c r="Q372" i="8"/>
  <c r="Q359" i="8"/>
  <c r="I358" i="8"/>
  <c r="S358" i="8"/>
  <c r="Q357" i="8"/>
  <c r="R357" i="8"/>
  <c r="I355" i="8"/>
  <c r="J353" i="8"/>
  <c r="R352" i="8"/>
  <c r="I352" i="8"/>
  <c r="S352" i="8"/>
  <c r="I350" i="8"/>
  <c r="S348" i="8"/>
  <c r="Q349" i="8"/>
  <c r="Q343" i="8"/>
  <c r="U343" i="8" s="1"/>
  <c r="S342" i="8"/>
  <c r="Q330" i="8"/>
  <c r="S330" i="8"/>
  <c r="Q326" i="8"/>
  <c r="S326" i="8"/>
  <c r="J325" i="8"/>
  <c r="S312" i="8"/>
  <c r="J298" i="8"/>
  <c r="I299" i="8"/>
  <c r="S299" i="8"/>
  <c r="S298" i="8"/>
  <c r="I411" i="8"/>
  <c r="Q400" i="8"/>
  <c r="S394" i="8"/>
  <c r="I391" i="8"/>
  <c r="J388" i="8"/>
  <c r="I389" i="8"/>
  <c r="S389" i="8"/>
  <c r="Q381" i="8"/>
  <c r="R381" i="8"/>
  <c r="R379" i="8"/>
  <c r="I372" i="8"/>
  <c r="S372" i="8"/>
  <c r="J368" i="8"/>
  <c r="I369" i="8"/>
  <c r="S369" i="8"/>
  <c r="Q366" i="8"/>
  <c r="Q360" i="8"/>
  <c r="Q345" i="8"/>
  <c r="S332" i="8"/>
  <c r="R314" i="8"/>
  <c r="J313" i="8"/>
  <c r="Q313" i="8"/>
  <c r="I300" i="8"/>
  <c r="S300" i="8"/>
  <c r="R300" i="8"/>
  <c r="J299" i="8"/>
  <c r="Q436" i="8"/>
  <c r="U436" i="8" s="1"/>
  <c r="I415" i="8"/>
  <c r="Q412" i="8"/>
  <c r="U412" i="8" s="1"/>
  <c r="R409" i="8"/>
  <c r="Q402" i="8"/>
  <c r="I400" i="8"/>
  <c r="S400" i="8"/>
  <c r="Q396" i="8"/>
  <c r="R394" i="8"/>
  <c r="J387" i="8"/>
  <c r="I387" i="8"/>
  <c r="J384" i="8"/>
  <c r="I385" i="8"/>
  <c r="S385" i="8"/>
  <c r="Q377" i="8"/>
  <c r="R377" i="8"/>
  <c r="Q367" i="8"/>
  <c r="I366" i="8"/>
  <c r="S366" i="8"/>
  <c r="Q365" i="8"/>
  <c r="R365" i="8"/>
  <c r="R363" i="8"/>
  <c r="I363" i="8"/>
  <c r="J361" i="8"/>
  <c r="R360" i="8"/>
  <c r="I360" i="8"/>
  <c r="S360" i="8"/>
  <c r="J356" i="8"/>
  <c r="I357" i="8"/>
  <c r="S357" i="8"/>
  <c r="J355" i="8"/>
  <c r="Q347" i="8"/>
  <c r="I345" i="8"/>
  <c r="S345" i="8"/>
  <c r="R345" i="8"/>
  <c r="R339" i="8"/>
  <c r="S339" i="8"/>
  <c r="I339" i="8"/>
  <c r="I338" i="8"/>
  <c r="K338" i="8" s="1"/>
  <c r="N338" i="8" s="1"/>
  <c r="O339" i="8" s="1"/>
  <c r="I322" i="8"/>
  <c r="R316" i="8"/>
  <c r="S316" i="8"/>
  <c r="J315" i="8"/>
  <c r="I316" i="8"/>
  <c r="Q305" i="8"/>
  <c r="R306" i="8"/>
  <c r="I304" i="8"/>
  <c r="I349" i="8"/>
  <c r="S349" i="8"/>
  <c r="Q342" i="8"/>
  <c r="S338" i="8"/>
  <c r="J330" i="8"/>
  <c r="I329" i="8"/>
  <c r="S329" i="8"/>
  <c r="R329" i="8"/>
  <c r="I325" i="8"/>
  <c r="S325" i="8"/>
  <c r="I323" i="8"/>
  <c r="S323" i="8"/>
  <c r="J322" i="8"/>
  <c r="I318" i="8"/>
  <c r="S318" i="8"/>
  <c r="I313" i="8"/>
  <c r="J304" i="8"/>
  <c r="R305" i="8"/>
  <c r="I298" i="8"/>
  <c r="Q281" i="8"/>
  <c r="I280" i="8"/>
  <c r="S280" i="8"/>
  <c r="I266" i="8"/>
  <c r="S266" i="8"/>
  <c r="J265" i="8"/>
  <c r="R266" i="8"/>
  <c r="Q241" i="8"/>
  <c r="S241" i="8"/>
  <c r="I240" i="8"/>
  <c r="S240" i="8"/>
  <c r="I241" i="8"/>
  <c r="Q320" i="8"/>
  <c r="R293" i="8"/>
  <c r="I293" i="8"/>
  <c r="Q290" i="8"/>
  <c r="S285" i="8"/>
  <c r="S268" i="8"/>
  <c r="J267" i="8"/>
  <c r="I268" i="8"/>
  <c r="Q249" i="8"/>
  <c r="Q248" i="8"/>
  <c r="I335" i="8"/>
  <c r="S336" i="8"/>
  <c r="Q325" i="8"/>
  <c r="R326" i="8"/>
  <c r="S320" i="8"/>
  <c r="J319" i="8"/>
  <c r="R319" i="8"/>
  <c r="Q319" i="8"/>
  <c r="Q315" i="8"/>
  <c r="J314" i="8"/>
  <c r="I315" i="8"/>
  <c r="S315" i="8"/>
  <c r="I314" i="8"/>
  <c r="I305" i="8"/>
  <c r="R302" i="8"/>
  <c r="J286" i="8"/>
  <c r="I256" i="8"/>
  <c r="Q256" i="8"/>
  <c r="R257" i="8"/>
  <c r="I250" i="8"/>
  <c r="S250" i="8"/>
  <c r="R250" i="8"/>
  <c r="J249" i="8"/>
  <c r="S213" i="8"/>
  <c r="I212" i="8"/>
  <c r="S212" i="8"/>
  <c r="I213" i="8"/>
  <c r="Q213" i="8"/>
  <c r="J294" i="8"/>
  <c r="I295" i="8"/>
  <c r="S295" i="8"/>
  <c r="R294" i="8"/>
  <c r="Q246" i="8"/>
  <c r="S245" i="8"/>
  <c r="S427" i="8"/>
  <c r="S423" i="8"/>
  <c r="S419" i="8"/>
  <c r="S415" i="8"/>
  <c r="S411" i="8"/>
  <c r="S407" i="8"/>
  <c r="S403" i="8"/>
  <c r="S399" i="8"/>
  <c r="S395" i="8"/>
  <c r="S391" i="8"/>
  <c r="S387" i="8"/>
  <c r="T387" i="8" s="1"/>
  <c r="S383" i="8"/>
  <c r="S379" i="8"/>
  <c r="S375" i="8"/>
  <c r="S371" i="8"/>
  <c r="S367" i="8"/>
  <c r="S363" i="8"/>
  <c r="S359" i="8"/>
  <c r="S355" i="8"/>
  <c r="S351" i="8"/>
  <c r="I351" i="8"/>
  <c r="J348" i="8"/>
  <c r="Q332" i="8"/>
  <c r="U332" i="8" s="1"/>
  <c r="S331" i="8"/>
  <c r="J329" i="8"/>
  <c r="I328" i="8"/>
  <c r="I324" i="8"/>
  <c r="J321" i="8"/>
  <c r="S322" i="8"/>
  <c r="I320" i="8"/>
  <c r="S314" i="8"/>
  <c r="R309" i="8"/>
  <c r="Q307" i="8"/>
  <c r="S302" i="8"/>
  <c r="Q294" i="8"/>
  <c r="S284" i="8"/>
  <c r="R283" i="8"/>
  <c r="Q288" i="8"/>
  <c r="R289" i="8"/>
  <c r="R338" i="8"/>
  <c r="R331" i="8"/>
  <c r="Q306" i="8"/>
  <c r="J303" i="8"/>
  <c r="R303" i="8"/>
  <c r="Q303" i="8"/>
  <c r="R298" i="8"/>
  <c r="I297" i="8"/>
  <c r="S294" i="8"/>
  <c r="J288" i="8"/>
  <c r="J282" i="8"/>
  <c r="I283" i="8"/>
  <c r="S283" i="8"/>
  <c r="R282" i="8"/>
  <c r="S281" i="8"/>
  <c r="R260" i="8"/>
  <c r="J260" i="8"/>
  <c r="S261" i="8"/>
  <c r="I333" i="8"/>
  <c r="S333" i="8"/>
  <c r="J318" i="8"/>
  <c r="I319" i="8"/>
  <c r="S319" i="8"/>
  <c r="Q312" i="8"/>
  <c r="I301" i="8"/>
  <c r="Q298" i="8"/>
  <c r="R295" i="8"/>
  <c r="J290" i="8"/>
  <c r="I291" i="8"/>
  <c r="S291" i="8"/>
  <c r="R287" i="8"/>
  <c r="Q278" i="8"/>
  <c r="R279" i="8"/>
  <c r="S277" i="8"/>
  <c r="I276" i="8"/>
  <c r="S267" i="8"/>
  <c r="J266" i="8"/>
  <c r="I267" i="8"/>
  <c r="Q262" i="8"/>
  <c r="R263" i="8"/>
  <c r="S260" i="8"/>
  <c r="Q258" i="8"/>
  <c r="I257" i="8"/>
  <c r="J257" i="8"/>
  <c r="Q245" i="8"/>
  <c r="J232" i="8"/>
  <c r="I233" i="8"/>
  <c r="I232" i="8"/>
  <c r="S233" i="8"/>
  <c r="R232" i="8"/>
  <c r="Q227" i="8"/>
  <c r="J226" i="8"/>
  <c r="S227" i="8"/>
  <c r="Q226" i="8"/>
  <c r="I227" i="8"/>
  <c r="R197" i="8"/>
  <c r="Q196" i="8"/>
  <c r="I196" i="8"/>
  <c r="R196" i="8"/>
  <c r="J248" i="8"/>
  <c r="S249" i="8"/>
  <c r="R248" i="8"/>
  <c r="Q239" i="8"/>
  <c r="I239" i="8"/>
  <c r="J238" i="8"/>
  <c r="Q238" i="8"/>
  <c r="I237" i="8"/>
  <c r="I194" i="8"/>
  <c r="S194" i="8"/>
  <c r="I193" i="8"/>
  <c r="S193" i="8"/>
  <c r="R194" i="8"/>
  <c r="J193" i="8"/>
  <c r="S289" i="8"/>
  <c r="Q274" i="8"/>
  <c r="S273" i="8"/>
  <c r="I264" i="8"/>
  <c r="J261" i="8"/>
  <c r="Q261" i="8"/>
  <c r="R262" i="8"/>
  <c r="R252" i="8"/>
  <c r="J251" i="8"/>
  <c r="Q252" i="8"/>
  <c r="I341" i="8"/>
  <c r="S341" i="8"/>
  <c r="I317" i="8"/>
  <c r="Q314" i="8"/>
  <c r="R311" i="8"/>
  <c r="J302" i="8"/>
  <c r="I303" i="8"/>
  <c r="S303" i="8"/>
  <c r="I290" i="8"/>
  <c r="S290" i="8"/>
  <c r="I289" i="8"/>
  <c r="Q277" i="8"/>
  <c r="R278" i="8"/>
  <c r="I273" i="8"/>
  <c r="Q272" i="8"/>
  <c r="U272" i="8" s="1"/>
  <c r="Q273" i="8"/>
  <c r="R268" i="8"/>
  <c r="S269" i="8"/>
  <c r="J264" i="8"/>
  <c r="I263" i="8"/>
  <c r="I248" i="8"/>
  <c r="Q338" i="8"/>
  <c r="I334" i="8"/>
  <c r="Q328" i="8"/>
  <c r="I327" i="8"/>
  <c r="S327" i="8"/>
  <c r="I321" i="8"/>
  <c r="Q318" i="8"/>
  <c r="U318" i="8" s="1"/>
  <c r="R315" i="8"/>
  <c r="J306" i="8"/>
  <c r="I307" i="8"/>
  <c r="S307" i="8"/>
  <c r="Q300" i="8"/>
  <c r="U300" i="8" s="1"/>
  <c r="J287" i="8"/>
  <c r="I288" i="8"/>
  <c r="R286" i="8"/>
  <c r="Q283" i="8"/>
  <c r="Q280" i="8"/>
  <c r="J272" i="8"/>
  <c r="R261" i="8"/>
  <c r="S257" i="8"/>
  <c r="R241" i="8"/>
  <c r="Q240" i="8"/>
  <c r="S239" i="8"/>
  <c r="S237" i="8"/>
  <c r="Q209" i="8"/>
  <c r="R210" i="8"/>
  <c r="J209" i="8"/>
  <c r="Q257" i="8"/>
  <c r="R258" i="8"/>
  <c r="S255" i="8"/>
  <c r="I255" i="8"/>
  <c r="J254" i="8"/>
  <c r="I246" i="8"/>
  <c r="S246" i="8"/>
  <c r="J245" i="8"/>
  <c r="R246" i="8"/>
  <c r="J233" i="8"/>
  <c r="Q229" i="8"/>
  <c r="S229" i="8"/>
  <c r="S228" i="8"/>
  <c r="I229" i="8"/>
  <c r="R171" i="8"/>
  <c r="I171" i="8"/>
  <c r="Q170" i="8"/>
  <c r="Q279" i="8"/>
  <c r="I275" i="8"/>
  <c r="J274" i="8"/>
  <c r="Q263" i="8"/>
  <c r="U263" i="8" s="1"/>
  <c r="Q259" i="8"/>
  <c r="R256" i="8"/>
  <c r="R253" i="8"/>
  <c r="S248" i="8"/>
  <c r="I238" i="8"/>
  <c r="S238" i="8"/>
  <c r="Q236" i="8"/>
  <c r="U236" i="8" s="1"/>
  <c r="I235" i="8"/>
  <c r="J228" i="8"/>
  <c r="I225" i="8"/>
  <c r="R220" i="8"/>
  <c r="I220" i="8"/>
  <c r="R217" i="8"/>
  <c r="Q216" i="8"/>
  <c r="J212" i="8"/>
  <c r="Q210" i="8"/>
  <c r="J200" i="8"/>
  <c r="Q201" i="8"/>
  <c r="S200" i="8"/>
  <c r="I198" i="8"/>
  <c r="S198" i="8"/>
  <c r="I197" i="8"/>
  <c r="R198" i="8"/>
  <c r="S197" i="8"/>
  <c r="R185" i="8"/>
  <c r="R184" i="8"/>
  <c r="I184" i="8"/>
  <c r="I278" i="8"/>
  <c r="S278" i="8"/>
  <c r="I272" i="8"/>
  <c r="J271" i="8"/>
  <c r="J269" i="8"/>
  <c r="I262" i="8"/>
  <c r="S262" i="8"/>
  <c r="Q250" i="8"/>
  <c r="J247" i="8"/>
  <c r="Q247" i="8"/>
  <c r="U247" i="8" s="1"/>
  <c r="I243" i="8"/>
  <c r="I244" i="8"/>
  <c r="I231" i="8"/>
  <c r="Q222" i="8"/>
  <c r="Q215" i="8"/>
  <c r="J214" i="8"/>
  <c r="J211" i="8"/>
  <c r="R212" i="8"/>
  <c r="Q207" i="8"/>
  <c r="Q206" i="8"/>
  <c r="R203" i="8"/>
  <c r="R191" i="8"/>
  <c r="Q190" i="8"/>
  <c r="I174" i="8"/>
  <c r="S174" i="8"/>
  <c r="R174" i="8"/>
  <c r="I173" i="8"/>
  <c r="J173" i="8"/>
  <c r="I83" i="8"/>
  <c r="S83" i="8"/>
  <c r="I82" i="8"/>
  <c r="J82" i="8"/>
  <c r="R83" i="8"/>
  <c r="S82" i="8"/>
  <c r="R224" i="8"/>
  <c r="I224" i="8"/>
  <c r="R221" i="8"/>
  <c r="Q220" i="8"/>
  <c r="S207" i="8"/>
  <c r="J206" i="8"/>
  <c r="I207" i="8"/>
  <c r="I203" i="8"/>
  <c r="I204" i="8"/>
  <c r="R204" i="8"/>
  <c r="I186" i="8"/>
  <c r="S186" i="8"/>
  <c r="I185" i="8"/>
  <c r="I274" i="8"/>
  <c r="S274" i="8"/>
  <c r="R251" i="8"/>
  <c r="I234" i="8"/>
  <c r="S234" i="8"/>
  <c r="R234" i="8"/>
  <c r="Q221" i="8"/>
  <c r="Q219" i="8"/>
  <c r="J218" i="8"/>
  <c r="I215" i="8"/>
  <c r="R189" i="8"/>
  <c r="R188" i="8"/>
  <c r="I188" i="8"/>
  <c r="S321" i="8"/>
  <c r="S317" i="8"/>
  <c r="S313" i="8"/>
  <c r="S309" i="8"/>
  <c r="S305" i="8"/>
  <c r="S301" i="8"/>
  <c r="S297" i="8"/>
  <c r="S293" i="8"/>
  <c r="Q287" i="8"/>
  <c r="I281" i="8"/>
  <c r="Q271" i="8"/>
  <c r="I265" i="8"/>
  <c r="J256" i="8"/>
  <c r="Q251" i="8"/>
  <c r="S251" i="8"/>
  <c r="S244" i="8"/>
  <c r="J244" i="8"/>
  <c r="I245" i="8"/>
  <c r="R240" i="8"/>
  <c r="J237" i="8"/>
  <c r="S231" i="8"/>
  <c r="S232" i="8"/>
  <c r="I228" i="8"/>
  <c r="R225" i="8"/>
  <c r="Q224" i="8"/>
  <c r="U224" i="8" s="1"/>
  <c r="J220" i="8"/>
  <c r="J219" i="8"/>
  <c r="I217" i="8"/>
  <c r="R208" i="8"/>
  <c r="R209" i="8"/>
  <c r="J208" i="8"/>
  <c r="S209" i="8"/>
  <c r="I209" i="8"/>
  <c r="S203" i="8"/>
  <c r="R202" i="8"/>
  <c r="R195" i="8"/>
  <c r="Q194" i="8"/>
  <c r="Q109" i="8"/>
  <c r="S110" i="8"/>
  <c r="I109" i="8"/>
  <c r="I110" i="8"/>
  <c r="Q110" i="8"/>
  <c r="I270" i="8"/>
  <c r="S270" i="8"/>
  <c r="I254" i="8"/>
  <c r="S254" i="8"/>
  <c r="I251" i="8"/>
  <c r="R249" i="8"/>
  <c r="J236" i="8"/>
  <c r="R231" i="8"/>
  <c r="J230" i="8"/>
  <c r="Q223" i="8"/>
  <c r="J222" i="8"/>
  <c r="I219" i="8"/>
  <c r="R206" i="8"/>
  <c r="I206" i="8"/>
  <c r="S206" i="8"/>
  <c r="I205" i="8"/>
  <c r="I190" i="8"/>
  <c r="S190" i="8"/>
  <c r="I189" i="8"/>
  <c r="R190" i="8"/>
  <c r="S189" i="8"/>
  <c r="R186" i="8"/>
  <c r="Q235" i="8"/>
  <c r="J234" i="8"/>
  <c r="R229" i="8"/>
  <c r="Q228" i="8"/>
  <c r="J223" i="8"/>
  <c r="I221" i="8"/>
  <c r="R216" i="8"/>
  <c r="I216" i="8"/>
  <c r="R213" i="8"/>
  <c r="Q212" i="8"/>
  <c r="Q204" i="8"/>
  <c r="Q205" i="8"/>
  <c r="R193" i="8"/>
  <c r="R192" i="8"/>
  <c r="Q192" i="8"/>
  <c r="S185" i="8"/>
  <c r="R179" i="8"/>
  <c r="I179" i="8"/>
  <c r="R177" i="8"/>
  <c r="I176" i="8"/>
  <c r="R176" i="8"/>
  <c r="Q176" i="8"/>
  <c r="R175" i="8"/>
  <c r="I175" i="8"/>
  <c r="Q200" i="8"/>
  <c r="R200" i="8"/>
  <c r="R201" i="8"/>
  <c r="J194" i="8"/>
  <c r="R178" i="8"/>
  <c r="I95" i="8"/>
  <c r="S95" i="8"/>
  <c r="J94" i="8"/>
  <c r="R95" i="8"/>
  <c r="I94" i="8"/>
  <c r="R165" i="8"/>
  <c r="I164" i="8"/>
  <c r="Q164" i="8"/>
  <c r="R164" i="8"/>
  <c r="R153" i="8"/>
  <c r="I152" i="8"/>
  <c r="Q152" i="8"/>
  <c r="R152" i="8"/>
  <c r="J170" i="8"/>
  <c r="Q128" i="8"/>
  <c r="J127" i="8"/>
  <c r="S128" i="8"/>
  <c r="I258" i="8"/>
  <c r="S258" i="8"/>
  <c r="J240" i="8"/>
  <c r="R233" i="8"/>
  <c r="Q231" i="8"/>
  <c r="I230" i="8"/>
  <c r="S230" i="8"/>
  <c r="R211" i="8"/>
  <c r="I199" i="8"/>
  <c r="I183" i="8"/>
  <c r="I182" i="8"/>
  <c r="S182" i="8"/>
  <c r="I181" i="8"/>
  <c r="R181" i="8"/>
  <c r="R180" i="8"/>
  <c r="J178" i="8"/>
  <c r="J174" i="8"/>
  <c r="R169" i="8"/>
  <c r="I168" i="8"/>
  <c r="R168" i="8"/>
  <c r="I165" i="8"/>
  <c r="I153" i="8"/>
  <c r="R142" i="8"/>
  <c r="S130" i="8"/>
  <c r="I129" i="8"/>
  <c r="Q129" i="8"/>
  <c r="J252" i="8"/>
  <c r="R245" i="8"/>
  <c r="Q243" i="8"/>
  <c r="U243" i="8" s="1"/>
  <c r="I242" i="8"/>
  <c r="S242" i="8"/>
  <c r="R227" i="8"/>
  <c r="I226" i="8"/>
  <c r="S226" i="8"/>
  <c r="R223" i="8"/>
  <c r="I222" i="8"/>
  <c r="S222" i="8"/>
  <c r="R219" i="8"/>
  <c r="I218" i="8"/>
  <c r="S218" i="8"/>
  <c r="R215" i="8"/>
  <c r="I214" i="8"/>
  <c r="S214" i="8"/>
  <c r="S205" i="8"/>
  <c r="R182" i="8"/>
  <c r="R173" i="8"/>
  <c r="I172" i="8"/>
  <c r="R172" i="8"/>
  <c r="I170" i="8"/>
  <c r="S170" i="8"/>
  <c r="R170" i="8"/>
  <c r="I169" i="8"/>
  <c r="R157" i="8"/>
  <c r="I156" i="8"/>
  <c r="Q156" i="8"/>
  <c r="R156" i="8"/>
  <c r="Q132" i="8"/>
  <c r="S132" i="8"/>
  <c r="J131" i="8"/>
  <c r="I132" i="8"/>
  <c r="I128" i="8"/>
  <c r="S142" i="8"/>
  <c r="J141" i="8"/>
  <c r="R141" i="8"/>
  <c r="R78" i="8"/>
  <c r="J77" i="8"/>
  <c r="Q77" i="8"/>
  <c r="I178" i="8"/>
  <c r="S178" i="8"/>
  <c r="I177" i="8"/>
  <c r="R161" i="8"/>
  <c r="I160" i="8"/>
  <c r="Q160" i="8"/>
  <c r="R160" i="8"/>
  <c r="R149" i="8"/>
  <c r="I148" i="8"/>
  <c r="Q148" i="8"/>
  <c r="R148" i="8"/>
  <c r="Q211" i="8"/>
  <c r="Q203" i="8"/>
  <c r="I202" i="8"/>
  <c r="S202" i="8"/>
  <c r="J196" i="8"/>
  <c r="J192" i="8"/>
  <c r="J188" i="8"/>
  <c r="J184" i="8"/>
  <c r="J180" i="8"/>
  <c r="J176" i="8"/>
  <c r="J172" i="8"/>
  <c r="J168" i="8"/>
  <c r="J164" i="8"/>
  <c r="J160" i="8"/>
  <c r="K161" i="8" s="1"/>
  <c r="N161" i="8" s="1"/>
  <c r="O162" i="8" s="1"/>
  <c r="J156" i="8"/>
  <c r="J152" i="8"/>
  <c r="J148" i="8"/>
  <c r="S141" i="8"/>
  <c r="I138" i="8"/>
  <c r="I134" i="8"/>
  <c r="J129" i="8"/>
  <c r="I130" i="8"/>
  <c r="R123" i="8"/>
  <c r="I120" i="8"/>
  <c r="R121" i="8"/>
  <c r="S121" i="8"/>
  <c r="R120" i="8"/>
  <c r="Q113" i="8"/>
  <c r="S114" i="8"/>
  <c r="I100" i="8"/>
  <c r="R101" i="8"/>
  <c r="S101" i="8"/>
  <c r="Q100" i="8"/>
  <c r="J99" i="8"/>
  <c r="J72" i="8"/>
  <c r="Q72" i="8"/>
  <c r="R73" i="8"/>
  <c r="Q71" i="8"/>
  <c r="J71" i="8"/>
  <c r="R71" i="8"/>
  <c r="R72" i="8"/>
  <c r="R44" i="8"/>
  <c r="R43" i="8"/>
  <c r="Q43" i="8"/>
  <c r="I210" i="8"/>
  <c r="S210" i="8"/>
  <c r="J202" i="8"/>
  <c r="S196" i="8"/>
  <c r="S192" i="8"/>
  <c r="S188" i="8"/>
  <c r="S184" i="8"/>
  <c r="S180" i="8"/>
  <c r="S176" i="8"/>
  <c r="S172" i="8"/>
  <c r="S168" i="8"/>
  <c r="S164" i="8"/>
  <c r="S160" i="8"/>
  <c r="S156" i="8"/>
  <c r="S152" i="8"/>
  <c r="S148" i="8"/>
  <c r="R144" i="8"/>
  <c r="R137" i="8"/>
  <c r="Q133" i="8"/>
  <c r="S129" i="8"/>
  <c r="J128" i="8"/>
  <c r="I123" i="8"/>
  <c r="S123" i="8"/>
  <c r="I121" i="8"/>
  <c r="Q120" i="8"/>
  <c r="J119" i="8"/>
  <c r="I104" i="8"/>
  <c r="R105" i="8"/>
  <c r="S105" i="8"/>
  <c r="Q104" i="8"/>
  <c r="J103" i="8"/>
  <c r="I102" i="8"/>
  <c r="R145" i="8"/>
  <c r="J145" i="8"/>
  <c r="I146" i="8"/>
  <c r="S146" i="8"/>
  <c r="J143" i="8"/>
  <c r="I143" i="8"/>
  <c r="S143" i="8"/>
  <c r="Q141" i="8"/>
  <c r="Q137" i="8"/>
  <c r="R133" i="8"/>
  <c r="R129" i="8"/>
  <c r="Q125" i="8"/>
  <c r="I108" i="8"/>
  <c r="R109" i="8"/>
  <c r="S109" i="8"/>
  <c r="Q108" i="8"/>
  <c r="J107" i="8"/>
  <c r="R98" i="8"/>
  <c r="Q97" i="8"/>
  <c r="I91" i="8"/>
  <c r="S91" i="8"/>
  <c r="I90" i="8"/>
  <c r="J90" i="8"/>
  <c r="R91" i="8"/>
  <c r="S90" i="8"/>
  <c r="J73" i="8"/>
  <c r="I74" i="8"/>
  <c r="S74" i="8"/>
  <c r="I166" i="8"/>
  <c r="S166" i="8"/>
  <c r="I162" i="8"/>
  <c r="S162" i="8"/>
  <c r="I158" i="8"/>
  <c r="S158" i="8"/>
  <c r="I154" i="8"/>
  <c r="S154" i="8"/>
  <c r="I150" i="8"/>
  <c r="S150" i="8"/>
  <c r="S145" i="8"/>
  <c r="I140" i="8"/>
  <c r="I141" i="8"/>
  <c r="I139" i="8"/>
  <c r="S139" i="8"/>
  <c r="J138" i="8"/>
  <c r="I135" i="8"/>
  <c r="S135" i="8"/>
  <c r="S134" i="8"/>
  <c r="Q131" i="8"/>
  <c r="R127" i="8"/>
  <c r="I124" i="8"/>
  <c r="R125" i="8"/>
  <c r="S125" i="8"/>
  <c r="R124" i="8"/>
  <c r="Q122" i="8"/>
  <c r="U122" i="8" s="1"/>
  <c r="I112" i="8"/>
  <c r="R113" i="8"/>
  <c r="S113" i="8"/>
  <c r="Q112" i="8"/>
  <c r="J111" i="8"/>
  <c r="Q88" i="8"/>
  <c r="J87" i="8"/>
  <c r="S88" i="8"/>
  <c r="I88" i="8"/>
  <c r="J44" i="8"/>
  <c r="I45" i="8"/>
  <c r="S45" i="8"/>
  <c r="I44" i="8"/>
  <c r="R45" i="8"/>
  <c r="S36" i="8"/>
  <c r="Q37" i="8"/>
  <c r="J201" i="8"/>
  <c r="Q199" i="8"/>
  <c r="Q197" i="8"/>
  <c r="U197" i="8" s="1"/>
  <c r="Q195" i="8"/>
  <c r="U195" i="8" s="1"/>
  <c r="Q193" i="8"/>
  <c r="Q191" i="8"/>
  <c r="Q189" i="8"/>
  <c r="U189" i="8" s="1"/>
  <c r="Q187" i="8"/>
  <c r="Q185" i="8"/>
  <c r="Q183" i="8"/>
  <c r="U183" i="8" s="1"/>
  <c r="Q181" i="8"/>
  <c r="U181" i="8" s="1"/>
  <c r="Q179" i="8"/>
  <c r="Q177" i="8"/>
  <c r="U177" i="8" s="1"/>
  <c r="Q175" i="8"/>
  <c r="Q173" i="8"/>
  <c r="Q171" i="8"/>
  <c r="Q169" i="8"/>
  <c r="Q167" i="8"/>
  <c r="U167" i="8" s="1"/>
  <c r="Q165" i="8"/>
  <c r="Q163" i="8"/>
  <c r="Q161" i="8"/>
  <c r="Q159" i="8"/>
  <c r="U159" i="8" s="1"/>
  <c r="Q157" i="8"/>
  <c r="Q155" i="8"/>
  <c r="U155" i="8" s="1"/>
  <c r="Q153" i="8"/>
  <c r="Q151" i="8"/>
  <c r="Q149" i="8"/>
  <c r="Q147" i="8"/>
  <c r="J139" i="8"/>
  <c r="Q134" i="8"/>
  <c r="I133" i="8"/>
  <c r="I131" i="8"/>
  <c r="S131" i="8"/>
  <c r="R131" i="8"/>
  <c r="I127" i="8"/>
  <c r="S127" i="8"/>
  <c r="I125" i="8"/>
  <c r="Q124" i="8"/>
  <c r="J123" i="8"/>
  <c r="I116" i="8"/>
  <c r="R117" i="8"/>
  <c r="S117" i="8"/>
  <c r="Q116" i="8"/>
  <c r="J115" i="8"/>
  <c r="I114" i="8"/>
  <c r="I105" i="8"/>
  <c r="S100" i="8"/>
  <c r="J97" i="8"/>
  <c r="S98" i="8"/>
  <c r="R97" i="8"/>
  <c r="Q87" i="8"/>
  <c r="J59" i="8"/>
  <c r="S60" i="8"/>
  <c r="Q59" i="8"/>
  <c r="I60" i="8"/>
  <c r="Q101" i="8"/>
  <c r="S102" i="8"/>
  <c r="I96" i="8"/>
  <c r="I97" i="8"/>
  <c r="R96" i="8"/>
  <c r="J96" i="8"/>
  <c r="S97" i="8"/>
  <c r="R84" i="8"/>
  <c r="I84" i="8"/>
  <c r="I65" i="8"/>
  <c r="S65" i="8"/>
  <c r="J64" i="8"/>
  <c r="R65" i="8"/>
  <c r="I64" i="8"/>
  <c r="S64" i="8"/>
  <c r="R166" i="8"/>
  <c r="R162" i="8"/>
  <c r="R143" i="8"/>
  <c r="J142" i="8"/>
  <c r="S138" i="8"/>
  <c r="I137" i="8"/>
  <c r="Q136" i="8"/>
  <c r="I136" i="8"/>
  <c r="J135" i="8"/>
  <c r="R132" i="8"/>
  <c r="Q126" i="8"/>
  <c r="I122" i="8"/>
  <c r="I119" i="8"/>
  <c r="S119" i="8"/>
  <c r="S108" i="8"/>
  <c r="Q105" i="8"/>
  <c r="S106" i="8"/>
  <c r="Q98" i="8"/>
  <c r="R80" i="8"/>
  <c r="Q79" i="8"/>
  <c r="I80" i="8"/>
  <c r="J125" i="8"/>
  <c r="J121" i="8"/>
  <c r="J117" i="8"/>
  <c r="J113" i="8"/>
  <c r="J109" i="8"/>
  <c r="J105" i="8"/>
  <c r="J101" i="8"/>
  <c r="J68" i="8"/>
  <c r="S68" i="8"/>
  <c r="I58" i="8"/>
  <c r="Q50" i="8"/>
  <c r="J49" i="8"/>
  <c r="I40" i="8"/>
  <c r="Q34" i="8"/>
  <c r="J33" i="8"/>
  <c r="I34" i="8"/>
  <c r="J133" i="8"/>
  <c r="J75" i="8"/>
  <c r="Q76" i="8"/>
  <c r="J74" i="8"/>
  <c r="Q75" i="8"/>
  <c r="Q73" i="8"/>
  <c r="J67" i="8"/>
  <c r="I68" i="8"/>
  <c r="S67" i="8"/>
  <c r="I50" i="8"/>
  <c r="S27" i="8"/>
  <c r="I115" i="8"/>
  <c r="S115" i="8"/>
  <c r="R112" i="8"/>
  <c r="I111" i="8"/>
  <c r="S111" i="8"/>
  <c r="R108" i="8"/>
  <c r="I107" i="8"/>
  <c r="S107" i="8"/>
  <c r="R104" i="8"/>
  <c r="I103" i="8"/>
  <c r="S103" i="8"/>
  <c r="R100" i="8"/>
  <c r="I99" i="8"/>
  <c r="S99" i="8"/>
  <c r="Q92" i="8"/>
  <c r="J91" i="8"/>
  <c r="S92" i="8"/>
  <c r="S28" i="8"/>
  <c r="Q29" i="8"/>
  <c r="J137" i="8"/>
  <c r="R130" i="8"/>
  <c r="J95" i="8"/>
  <c r="Q91" i="8"/>
  <c r="R79" i="8"/>
  <c r="S76" i="8"/>
  <c r="R62" i="8"/>
  <c r="Q61" i="8"/>
  <c r="I57" i="8"/>
  <c r="S57" i="8"/>
  <c r="J56" i="8"/>
  <c r="R57" i="8"/>
  <c r="I56" i="8"/>
  <c r="R54" i="8"/>
  <c r="Q53" i="8"/>
  <c r="S50" i="8"/>
  <c r="S24" i="8"/>
  <c r="I28" i="8"/>
  <c r="I27" i="8"/>
  <c r="Q28" i="8"/>
  <c r="I24" i="8"/>
  <c r="I23" i="8"/>
  <c r="S23" i="8"/>
  <c r="Q24" i="8"/>
  <c r="R118" i="8"/>
  <c r="Q115" i="8"/>
  <c r="J114" i="8"/>
  <c r="R114" i="8"/>
  <c r="Q111" i="8"/>
  <c r="J110" i="8"/>
  <c r="R110" i="8"/>
  <c r="Q107" i="8"/>
  <c r="J106" i="8"/>
  <c r="R106" i="8"/>
  <c r="Q103" i="8"/>
  <c r="J102" i="8"/>
  <c r="R102" i="8"/>
  <c r="Q99" i="8"/>
  <c r="J98" i="8"/>
  <c r="S94" i="8"/>
  <c r="I87" i="8"/>
  <c r="S87" i="8"/>
  <c r="I86" i="8"/>
  <c r="J86" i="8"/>
  <c r="R87" i="8"/>
  <c r="Q83" i="8"/>
  <c r="I78" i="8"/>
  <c r="R63" i="8"/>
  <c r="I63" i="8"/>
  <c r="S62" i="8"/>
  <c r="I62" i="8"/>
  <c r="J62" i="8"/>
  <c r="R55" i="8"/>
  <c r="I55" i="8"/>
  <c r="I54" i="8"/>
  <c r="S54" i="8"/>
  <c r="S52" i="8"/>
  <c r="S51" i="8"/>
  <c r="I93" i="8"/>
  <c r="I89" i="8"/>
  <c r="I85" i="8"/>
  <c r="I81" i="8"/>
  <c r="R67" i="8"/>
  <c r="I67" i="8"/>
  <c r="R66" i="8"/>
  <c r="Q65" i="8"/>
  <c r="Q54" i="8"/>
  <c r="J51" i="8"/>
  <c r="Q44" i="8"/>
  <c r="J40" i="8"/>
  <c r="R41" i="8"/>
  <c r="I41" i="8"/>
  <c r="S41" i="8"/>
  <c r="J36" i="8"/>
  <c r="I32" i="8"/>
  <c r="I31" i="8"/>
  <c r="I26" i="8"/>
  <c r="R94" i="8"/>
  <c r="R90" i="8"/>
  <c r="R86" i="8"/>
  <c r="R82" i="8"/>
  <c r="S75" i="8"/>
  <c r="I73" i="8"/>
  <c r="S73" i="8"/>
  <c r="I72" i="8"/>
  <c r="I71" i="8"/>
  <c r="S66" i="8"/>
  <c r="Q66" i="8"/>
  <c r="S56" i="8"/>
  <c r="J53" i="8"/>
  <c r="I49" i="8"/>
  <c r="S49" i="8"/>
  <c r="J48" i="8"/>
  <c r="R49" i="8"/>
  <c r="R47" i="8"/>
  <c r="I47" i="8"/>
  <c r="R46" i="8"/>
  <c r="I36" i="8"/>
  <c r="I35" i="8"/>
  <c r="R68" i="8"/>
  <c r="I61" i="8"/>
  <c r="S61" i="8"/>
  <c r="J60" i="8"/>
  <c r="R61" i="8"/>
  <c r="R59" i="8"/>
  <c r="I59" i="8"/>
  <c r="R58" i="8"/>
  <c r="Q57" i="8"/>
  <c r="Q46" i="8"/>
  <c r="J45" i="8"/>
  <c r="S39" i="8"/>
  <c r="I39" i="8"/>
  <c r="K39" i="8" s="1"/>
  <c r="N39" i="8" s="1"/>
  <c r="O40" i="8" s="1"/>
  <c r="Q40" i="8"/>
  <c r="Q26" i="8"/>
  <c r="J25" i="8"/>
  <c r="J78" i="8"/>
  <c r="I79" i="8"/>
  <c r="S79" i="8"/>
  <c r="R77" i="8"/>
  <c r="Q74" i="8"/>
  <c r="J69" i="8"/>
  <c r="I70" i="8"/>
  <c r="J66" i="8"/>
  <c r="K66" i="8" s="1"/>
  <c r="N66" i="8" s="1"/>
  <c r="O67" i="8" s="1"/>
  <c r="Q63" i="8"/>
  <c r="U63" i="8" s="1"/>
  <c r="J57" i="8"/>
  <c r="I53" i="8"/>
  <c r="S53" i="8"/>
  <c r="J52" i="8"/>
  <c r="R53" i="8"/>
  <c r="R51" i="8"/>
  <c r="I51" i="8"/>
  <c r="R50" i="8"/>
  <c r="Q49" i="8"/>
  <c r="S44" i="8"/>
  <c r="Q45" i="8"/>
  <c r="I43" i="8"/>
  <c r="Q36" i="8"/>
  <c r="S31" i="8"/>
  <c r="Q30" i="8"/>
  <c r="J29" i="8"/>
  <c r="Q84" i="8"/>
  <c r="J83" i="8"/>
  <c r="Q80" i="8"/>
  <c r="J79" i="8"/>
  <c r="I77" i="8"/>
  <c r="S77" i="8"/>
  <c r="R76" i="8"/>
  <c r="J76" i="8"/>
  <c r="Q62" i="8"/>
  <c r="Q38" i="8"/>
  <c r="J37" i="8"/>
  <c r="K38" i="8" s="1"/>
  <c r="N38" i="8" s="1"/>
  <c r="O39" i="8" s="1"/>
  <c r="J28" i="8"/>
  <c r="J43" i="8"/>
  <c r="R64" i="8"/>
  <c r="R60" i="8"/>
  <c r="R56" i="8"/>
  <c r="R52" i="8"/>
  <c r="R48" i="8"/>
  <c r="T48" i="8" s="1"/>
  <c r="Q42" i="8"/>
  <c r="J41" i="8"/>
  <c r="R40" i="8"/>
  <c r="Q78" i="8"/>
  <c r="U78" i="8" s="1"/>
  <c r="Q70" i="8"/>
  <c r="I69" i="8"/>
  <c r="S69" i="8"/>
  <c r="J35" i="8"/>
  <c r="J31" i="8"/>
  <c r="J27" i="8"/>
  <c r="J23" i="8"/>
  <c r="S37" i="8"/>
  <c r="I37" i="8"/>
  <c r="S33" i="8"/>
  <c r="I33" i="8"/>
  <c r="S29" i="8"/>
  <c r="I29" i="8"/>
  <c r="S25" i="8"/>
  <c r="I25" i="8"/>
  <c r="R37" i="8"/>
  <c r="R33" i="8"/>
  <c r="R29" i="8"/>
  <c r="R25" i="8"/>
  <c r="G35" i="9" l="1"/>
  <c r="U80" i="8"/>
  <c r="U212" i="8"/>
  <c r="U283" i="8"/>
  <c r="U487" i="8"/>
  <c r="U306" i="8"/>
  <c r="U83" i="8"/>
  <c r="U161" i="8"/>
  <c r="U504" i="8"/>
  <c r="U470" i="8"/>
  <c r="U235" i="8"/>
  <c r="U312" i="8"/>
  <c r="U396" i="8"/>
  <c r="U103" i="8"/>
  <c r="U163" i="8"/>
  <c r="U112" i="8"/>
  <c r="U259" i="8"/>
  <c r="U115" i="8"/>
  <c r="U116" i="8"/>
  <c r="U120" i="8"/>
  <c r="U466" i="8"/>
  <c r="K414" i="8"/>
  <c r="N414" i="8" s="1"/>
  <c r="O415" i="8" s="1"/>
  <c r="U428" i="8"/>
  <c r="U134" i="8"/>
  <c r="U175" i="8"/>
  <c r="U328" i="8"/>
  <c r="U431" i="8"/>
  <c r="T31" i="8"/>
  <c r="U65" i="8"/>
  <c r="U149" i="8"/>
  <c r="U137" i="8"/>
  <c r="U152" i="8"/>
  <c r="U200" i="8"/>
  <c r="U287" i="8"/>
  <c r="U367" i="8"/>
  <c r="U357" i="8"/>
  <c r="U233" i="8"/>
  <c r="U344" i="8"/>
  <c r="U390" i="8"/>
  <c r="U416" i="8"/>
  <c r="U484" i="8"/>
  <c r="U275" i="8"/>
  <c r="T490" i="8"/>
  <c r="U408" i="8"/>
  <c r="U244" i="8"/>
  <c r="U329" i="8"/>
  <c r="U126" i="8"/>
  <c r="U185" i="8"/>
  <c r="U42" i="8"/>
  <c r="U381" i="8"/>
  <c r="U402" i="8"/>
  <c r="K476" i="8"/>
  <c r="N476" i="8" s="1"/>
  <c r="O477" i="8" s="1"/>
  <c r="K374" i="8"/>
  <c r="N374" i="8" s="1"/>
  <c r="O375" i="8" s="1"/>
  <c r="T270" i="8"/>
  <c r="U486" i="8"/>
  <c r="T509" i="8"/>
  <c r="T276" i="8"/>
  <c r="U91" i="8"/>
  <c r="U136" i="8"/>
  <c r="U193" i="8"/>
  <c r="U204" i="8"/>
  <c r="U271" i="8"/>
  <c r="U298" i="8"/>
  <c r="U392" i="8"/>
  <c r="U426" i="8"/>
  <c r="U46" i="8"/>
  <c r="U147" i="8"/>
  <c r="U210" i="8"/>
  <c r="U246" i="8"/>
  <c r="U445" i="8"/>
  <c r="U335" i="8"/>
  <c r="U165" i="8"/>
  <c r="U81" i="8"/>
  <c r="U119" i="8"/>
  <c r="U141" i="8"/>
  <c r="U277" i="8"/>
  <c r="U288" i="8"/>
  <c r="U398" i="8"/>
  <c r="U482" i="8"/>
  <c r="U459" i="8"/>
  <c r="U508" i="8"/>
  <c r="U433" i="8"/>
  <c r="U299" i="8"/>
  <c r="U207" i="8"/>
  <c r="U320" i="8"/>
  <c r="U377" i="8"/>
  <c r="U404" i="8"/>
  <c r="U463" i="8"/>
  <c r="U501" i="8"/>
  <c r="U499" i="8"/>
  <c r="U308" i="8"/>
  <c r="U382" i="8"/>
  <c r="U286" i="8"/>
  <c r="U187" i="8"/>
  <c r="U257" i="8"/>
  <c r="U157" i="8"/>
  <c r="U84" i="8"/>
  <c r="U105" i="8"/>
  <c r="U124" i="8"/>
  <c r="U191" i="8"/>
  <c r="U88" i="8"/>
  <c r="U128" i="8"/>
  <c r="U250" i="8"/>
  <c r="U365" i="8"/>
  <c r="U361" i="8"/>
  <c r="U414" i="8"/>
  <c r="U462" i="8"/>
  <c r="U334" i="8"/>
  <c r="U71" i="8"/>
  <c r="U209" i="8"/>
  <c r="U280" i="8"/>
  <c r="U338" i="8"/>
  <c r="U342" i="8"/>
  <c r="U378" i="8"/>
  <c r="U410" i="8"/>
  <c r="U452" i="8"/>
  <c r="U292" i="8"/>
  <c r="U374" i="8"/>
  <c r="U422" i="8"/>
  <c r="U54" i="8"/>
  <c r="U26" i="8"/>
  <c r="U33" i="8"/>
  <c r="U55" i="8"/>
  <c r="U36" i="8"/>
  <c r="U49" i="8"/>
  <c r="U44" i="8"/>
  <c r="U50" i="8"/>
  <c r="U59" i="8"/>
  <c r="U278" i="8"/>
  <c r="U315" i="8"/>
  <c r="U70" i="8"/>
  <c r="U30" i="8"/>
  <c r="U179" i="8"/>
  <c r="U110" i="8"/>
  <c r="U221" i="8"/>
  <c r="U220" i="8"/>
  <c r="U222" i="8"/>
  <c r="U196" i="8"/>
  <c r="U256" i="8"/>
  <c r="U290" i="8"/>
  <c r="U241" i="8"/>
  <c r="U349" i="8"/>
  <c r="U234" i="8"/>
  <c r="U388" i="8"/>
  <c r="U333" i="8"/>
  <c r="U401" i="8"/>
  <c r="U472" i="8"/>
  <c r="U477" i="8"/>
  <c r="U446" i="8"/>
  <c r="U434" i="8"/>
  <c r="U491" i="8"/>
  <c r="U458" i="8"/>
  <c r="U135" i="8"/>
  <c r="U317" i="8"/>
  <c r="U117" i="8"/>
  <c r="U144" i="8"/>
  <c r="U354" i="8"/>
  <c r="U150" i="8"/>
  <c r="U406" i="8"/>
  <c r="U488" i="8"/>
  <c r="U154" i="8"/>
  <c r="U362" i="8"/>
  <c r="U282" i="8"/>
  <c r="U140" i="8"/>
  <c r="U386" i="8"/>
  <c r="U336" i="8"/>
  <c r="U260" i="8"/>
  <c r="U379" i="8"/>
  <c r="U309" i="8"/>
  <c r="U130" i="8"/>
  <c r="U25" i="8"/>
  <c r="U86" i="8"/>
  <c r="U85" i="8"/>
  <c r="U123" i="8"/>
  <c r="U500" i="8"/>
  <c r="U476" i="8"/>
  <c r="U182" i="8"/>
  <c r="U425" i="8"/>
  <c r="U186" i="8"/>
  <c r="U90" i="8"/>
  <c r="U435" i="8"/>
  <c r="U114" i="8"/>
  <c r="U40" i="8"/>
  <c r="U79" i="8"/>
  <c r="U151" i="8"/>
  <c r="U199" i="8"/>
  <c r="U131" i="8"/>
  <c r="U108" i="8"/>
  <c r="U43" i="8"/>
  <c r="U72" i="8"/>
  <c r="U113" i="8"/>
  <c r="U129" i="8"/>
  <c r="U206" i="8"/>
  <c r="U314" i="8"/>
  <c r="U261" i="8"/>
  <c r="U239" i="8"/>
  <c r="U262" i="8"/>
  <c r="U319" i="8"/>
  <c r="U248" i="8"/>
  <c r="U347" i="8"/>
  <c r="U345" i="8"/>
  <c r="U400" i="8"/>
  <c r="U440" i="8"/>
  <c r="U393" i="8"/>
  <c r="U340" i="8"/>
  <c r="U353" i="8"/>
  <c r="U489" i="8"/>
  <c r="U481" i="8"/>
  <c r="U296" i="8"/>
  <c r="U106" i="8"/>
  <c r="U217" i="8"/>
  <c r="U82" i="8"/>
  <c r="U225" i="8"/>
  <c r="U376" i="8"/>
  <c r="U451" i="8"/>
  <c r="U448" i="8"/>
  <c r="U468" i="8"/>
  <c r="U467" i="8"/>
  <c r="U31" i="8"/>
  <c r="U268" i="8"/>
  <c r="U471" i="8"/>
  <c r="U363" i="8"/>
  <c r="U490" i="8"/>
  <c r="U270" i="8"/>
  <c r="U509" i="8"/>
  <c r="U399" i="8"/>
  <c r="U208" i="8"/>
  <c r="U172" i="8"/>
  <c r="U230" i="8"/>
  <c r="U47" i="8"/>
  <c r="U337" i="8"/>
  <c r="U64" i="8"/>
  <c r="U443" i="8"/>
  <c r="U51" i="8"/>
  <c r="U276" i="8"/>
  <c r="U383" i="8"/>
  <c r="U403" i="8"/>
  <c r="U145" i="8"/>
  <c r="U267" i="8"/>
  <c r="U74" i="8"/>
  <c r="U66" i="8"/>
  <c r="U107" i="8"/>
  <c r="U24" i="8"/>
  <c r="U61" i="8"/>
  <c r="U29" i="8"/>
  <c r="U73" i="8"/>
  <c r="T34" i="8"/>
  <c r="U34" i="8"/>
  <c r="U153" i="8"/>
  <c r="U169" i="8"/>
  <c r="U160" i="8"/>
  <c r="U132" i="8"/>
  <c r="U192" i="8"/>
  <c r="U216" i="8"/>
  <c r="U229" i="8"/>
  <c r="U240" i="8"/>
  <c r="U226" i="8"/>
  <c r="U303" i="8"/>
  <c r="U249" i="8"/>
  <c r="U360" i="8"/>
  <c r="U326" i="8"/>
  <c r="U385" i="8"/>
  <c r="U346" i="8"/>
  <c r="U369" i="8"/>
  <c r="U301" i="8"/>
  <c r="U364" i="8"/>
  <c r="U266" i="8"/>
  <c r="U397" i="8"/>
  <c r="U324" i="8"/>
  <c r="U494" i="8"/>
  <c r="U389" i="8"/>
  <c r="U464" i="8"/>
  <c r="U423" i="8"/>
  <c r="U441" i="8"/>
  <c r="U95" i="8"/>
  <c r="U395" i="8"/>
  <c r="U497" i="8"/>
  <c r="U371" i="8"/>
  <c r="U473" i="8"/>
  <c r="U442" i="8"/>
  <c r="U304" i="8"/>
  <c r="U432" i="8"/>
  <c r="U475" i="8"/>
  <c r="U139" i="8"/>
  <c r="U311" i="8"/>
  <c r="U498" i="8"/>
  <c r="U387" i="8"/>
  <c r="U492" i="8"/>
  <c r="U127" i="8"/>
  <c r="U323" i="8"/>
  <c r="U438" i="8"/>
  <c r="U348" i="8"/>
  <c r="U48" i="8"/>
  <c r="U447" i="8"/>
  <c r="U102" i="8"/>
  <c r="U35" i="8"/>
  <c r="U421" i="8"/>
  <c r="U45" i="8"/>
  <c r="U53" i="8"/>
  <c r="U75" i="8"/>
  <c r="U98" i="8"/>
  <c r="U101" i="8"/>
  <c r="U171" i="8"/>
  <c r="U37" i="8"/>
  <c r="U104" i="8"/>
  <c r="U203" i="8"/>
  <c r="U176" i="8"/>
  <c r="U109" i="8"/>
  <c r="U251" i="8"/>
  <c r="U279" i="8"/>
  <c r="U245" i="8"/>
  <c r="U366" i="8"/>
  <c r="U359" i="8"/>
  <c r="U302" i="8"/>
  <c r="U370" i="8"/>
  <c r="U465" i="8"/>
  <c r="U413" i="8"/>
  <c r="U265" i="8"/>
  <c r="U485" i="8"/>
  <c r="U449" i="8"/>
  <c r="U321" i="8"/>
  <c r="U444" i="8"/>
  <c r="U502" i="8"/>
  <c r="U23" i="8"/>
  <c r="U316" i="8"/>
  <c r="U255" i="8"/>
  <c r="U409" i="8"/>
  <c r="U460" i="8"/>
  <c r="U27" i="8"/>
  <c r="U507" i="8"/>
  <c r="U437" i="8"/>
  <c r="U322" i="8"/>
  <c r="U269" i="8"/>
  <c r="U138" i="8"/>
  <c r="U67" i="8"/>
  <c r="U427" i="8"/>
  <c r="U32" i="8"/>
  <c r="U202" i="8"/>
  <c r="U479" i="8"/>
  <c r="U52" i="8"/>
  <c r="U158" i="8"/>
  <c r="U419" i="8"/>
  <c r="U373" i="8"/>
  <c r="U38" i="8"/>
  <c r="U99" i="8"/>
  <c r="U173" i="8"/>
  <c r="U100" i="8"/>
  <c r="U211" i="8"/>
  <c r="U156" i="8"/>
  <c r="U164" i="8"/>
  <c r="U194" i="8"/>
  <c r="U170" i="8"/>
  <c r="U294" i="8"/>
  <c r="U305" i="8"/>
  <c r="U330" i="8"/>
  <c r="U372" i="8"/>
  <c r="U506" i="8"/>
  <c r="U480" i="8"/>
  <c r="U420" i="8"/>
  <c r="U411" i="8"/>
  <c r="U358" i="8"/>
  <c r="U178" i="8"/>
  <c r="U285" i="8"/>
  <c r="U430" i="8"/>
  <c r="U394" i="8"/>
  <c r="U218" i="8"/>
  <c r="U351" i="8"/>
  <c r="U495" i="8"/>
  <c r="U39" i="8"/>
  <c r="U180" i="8"/>
  <c r="U68" i="8"/>
  <c r="U505" i="8"/>
  <c r="U456" i="8"/>
  <c r="U166" i="8"/>
  <c r="U331" i="8"/>
  <c r="U198" i="8"/>
  <c r="U188" i="8"/>
  <c r="U143" i="8"/>
  <c r="U174" i="8"/>
  <c r="U232" i="8"/>
  <c r="U77" i="8"/>
  <c r="U76" i="8"/>
  <c r="U125" i="8"/>
  <c r="U205" i="8"/>
  <c r="U228" i="8"/>
  <c r="U223" i="8"/>
  <c r="U273" i="8"/>
  <c r="U252" i="8"/>
  <c r="U274" i="8"/>
  <c r="U227" i="8"/>
  <c r="U213" i="8"/>
  <c r="U313" i="8"/>
  <c r="U339" i="8"/>
  <c r="U380" i="8"/>
  <c r="U384" i="8"/>
  <c r="U355" i="8"/>
  <c r="U417" i="8"/>
  <c r="U455" i="8"/>
  <c r="U474" i="8"/>
  <c r="U493" i="8"/>
  <c r="U453" i="8"/>
  <c r="U469" i="8"/>
  <c r="U503" i="8"/>
  <c r="U289" i="8"/>
  <c r="U424" i="8"/>
  <c r="U58" i="8"/>
  <c r="U94" i="8"/>
  <c r="U375" i="8"/>
  <c r="U391" i="8"/>
  <c r="U253" i="8"/>
  <c r="U284" i="8"/>
  <c r="U429" i="8"/>
  <c r="U310" i="8"/>
  <c r="U89" i="8"/>
  <c r="U60" i="8"/>
  <c r="U295" i="8"/>
  <c r="U96" i="8"/>
  <c r="U254" i="8"/>
  <c r="U242" i="8"/>
  <c r="U118" i="8"/>
  <c r="U121" i="8"/>
  <c r="U184" i="8"/>
  <c r="U56" i="8"/>
  <c r="U87" i="8"/>
  <c r="U62" i="8"/>
  <c r="U111" i="8"/>
  <c r="U57" i="8"/>
  <c r="U28" i="8"/>
  <c r="U92" i="8"/>
  <c r="U97" i="8"/>
  <c r="U133" i="8"/>
  <c r="U148" i="8"/>
  <c r="U231" i="8"/>
  <c r="U219" i="8"/>
  <c r="U190" i="8"/>
  <c r="U215" i="8"/>
  <c r="U201" i="8"/>
  <c r="U238" i="8"/>
  <c r="U258" i="8"/>
  <c r="U307" i="8"/>
  <c r="U325" i="8"/>
  <c r="U281" i="8"/>
  <c r="U350" i="8"/>
  <c r="U450" i="8"/>
  <c r="U457" i="8"/>
  <c r="U264" i="8"/>
  <c r="U341" i="8"/>
  <c r="U510" i="8"/>
  <c r="U291" i="8"/>
  <c r="U237" i="8"/>
  <c r="U41" i="8"/>
  <c r="U356" i="8"/>
  <c r="U415" i="8"/>
  <c r="U483" i="8"/>
  <c r="U461" i="8"/>
  <c r="U352" i="8"/>
  <c r="U142" i="8"/>
  <c r="U327" i="8"/>
  <c r="U293" i="8"/>
  <c r="U439" i="8"/>
  <c r="U162" i="8"/>
  <c r="U69" i="8"/>
  <c r="U297" i="8"/>
  <c r="U496" i="8"/>
  <c r="U93" i="8"/>
  <c r="U214" i="8"/>
  <c r="U146" i="8"/>
  <c r="U407" i="8"/>
  <c r="U168" i="8"/>
  <c r="U405" i="8"/>
  <c r="K199" i="8"/>
  <c r="N199" i="8" s="1"/>
  <c r="O200" i="8" s="1"/>
  <c r="K208" i="8"/>
  <c r="N208" i="8" s="1"/>
  <c r="O209" i="8" s="1"/>
  <c r="T42" i="8"/>
  <c r="T47" i="8"/>
  <c r="K198" i="8"/>
  <c r="N198" i="8" s="1"/>
  <c r="O199" i="8" s="1"/>
  <c r="K48" i="8"/>
  <c r="N48" i="8" s="1"/>
  <c r="O49" i="8" s="1"/>
  <c r="K85" i="8"/>
  <c r="N85" i="8" s="1"/>
  <c r="O86" i="8" s="1"/>
  <c r="K187" i="8"/>
  <c r="N187" i="8" s="1"/>
  <c r="O188" i="8" s="1"/>
  <c r="T405" i="8"/>
  <c r="K455" i="8"/>
  <c r="N455" i="8" s="1"/>
  <c r="O456" i="8" s="1"/>
  <c r="T167" i="8"/>
  <c r="T183" i="8"/>
  <c r="K348" i="8"/>
  <c r="N348" i="8" s="1"/>
  <c r="O349" i="8" s="1"/>
  <c r="K494" i="8"/>
  <c r="N494" i="8" s="1"/>
  <c r="O495" i="8" s="1"/>
  <c r="T456" i="8"/>
  <c r="K317" i="8"/>
  <c r="N317" i="8" s="1"/>
  <c r="O318" i="8" s="1"/>
  <c r="K326" i="8"/>
  <c r="N326" i="8" s="1"/>
  <c r="O327" i="8" s="1"/>
  <c r="T348" i="8"/>
  <c r="V348" i="8" s="1"/>
  <c r="K454" i="8"/>
  <c r="N454" i="8" s="1"/>
  <c r="O455" i="8" s="1"/>
  <c r="T505" i="8"/>
  <c r="T85" i="8"/>
  <c r="T358" i="8"/>
  <c r="T337" i="8"/>
  <c r="K382" i="8"/>
  <c r="N382" i="8" s="1"/>
  <c r="O383" i="8" s="1"/>
  <c r="K113" i="8"/>
  <c r="N113" i="8" s="1"/>
  <c r="O114" i="8" s="1"/>
  <c r="K247" i="8"/>
  <c r="N247" i="8" s="1"/>
  <c r="O248" i="8" s="1"/>
  <c r="K486" i="8"/>
  <c r="N486" i="8" s="1"/>
  <c r="O487" i="8" s="1"/>
  <c r="K269" i="8"/>
  <c r="N269" i="8" s="1"/>
  <c r="O270" i="8" s="1"/>
  <c r="T122" i="8"/>
  <c r="V122" i="8" s="1"/>
  <c r="K55" i="8"/>
  <c r="N55" i="8" s="1"/>
  <c r="O56" i="8" s="1"/>
  <c r="T242" i="8"/>
  <c r="K92" i="8"/>
  <c r="N92" i="8" s="1"/>
  <c r="O93" i="8" s="1"/>
  <c r="K118" i="8"/>
  <c r="N118" i="8" s="1"/>
  <c r="O119" i="8" s="1"/>
  <c r="T159" i="8"/>
  <c r="V159" i="8" s="1"/>
  <c r="K217" i="8"/>
  <c r="N217" i="8" s="1"/>
  <c r="O218" i="8" s="1"/>
  <c r="T391" i="8"/>
  <c r="K427" i="8"/>
  <c r="N427" i="8" s="1"/>
  <c r="O428" i="8" s="1"/>
  <c r="K481" i="8"/>
  <c r="N481" i="8" s="1"/>
  <c r="O482" i="8" s="1"/>
  <c r="T218" i="8"/>
  <c r="T136" i="8"/>
  <c r="K157" i="8"/>
  <c r="N157" i="8" s="1"/>
  <c r="O158" i="8" s="1"/>
  <c r="K501" i="8"/>
  <c r="N501" i="8" s="1"/>
  <c r="O502" i="8" s="1"/>
  <c r="T126" i="8"/>
  <c r="V126" i="8" s="1"/>
  <c r="T322" i="8"/>
  <c r="K89" i="8"/>
  <c r="N89" i="8" s="1"/>
  <c r="O90" i="8" s="1"/>
  <c r="T154" i="8"/>
  <c r="K333" i="8"/>
  <c r="N333" i="8" s="1"/>
  <c r="O334" i="8" s="1"/>
  <c r="T296" i="8"/>
  <c r="T27" i="8"/>
  <c r="T146" i="8"/>
  <c r="T424" i="8"/>
  <c r="T474" i="8"/>
  <c r="K345" i="8"/>
  <c r="N345" i="8" s="1"/>
  <c r="O346" i="8" s="1"/>
  <c r="K277" i="8"/>
  <c r="N277" i="8" s="1"/>
  <c r="O278" i="8" s="1"/>
  <c r="K278" i="8"/>
  <c r="N278" i="8" s="1"/>
  <c r="O279" i="8" s="1"/>
  <c r="T466" i="8"/>
  <c r="V466" i="8" s="1"/>
  <c r="T426" i="8"/>
  <c r="K276" i="8"/>
  <c r="N276" i="8" s="1"/>
  <c r="O277" i="8" s="1"/>
  <c r="T500" i="8"/>
  <c r="K281" i="8"/>
  <c r="N281" i="8" s="1"/>
  <c r="O282" i="8" s="1"/>
  <c r="K370" i="8"/>
  <c r="N370" i="8" s="1"/>
  <c r="O371" i="8" s="1"/>
  <c r="T399" i="8"/>
  <c r="T451" i="8"/>
  <c r="K366" i="8"/>
  <c r="N366" i="8" s="1"/>
  <c r="O367" i="8" s="1"/>
  <c r="K243" i="8"/>
  <c r="N243" i="8" s="1"/>
  <c r="O244" i="8" s="1"/>
  <c r="K485" i="8"/>
  <c r="N485" i="8" s="1"/>
  <c r="O486" i="8" s="1"/>
  <c r="K371" i="8"/>
  <c r="N371" i="8" s="1"/>
  <c r="O372" i="8" s="1"/>
  <c r="K334" i="8"/>
  <c r="N334" i="8" s="1"/>
  <c r="O335" i="8" s="1"/>
  <c r="T272" i="8"/>
  <c r="V272" i="8" s="1"/>
  <c r="T306" i="8"/>
  <c r="K418" i="8"/>
  <c r="N418" i="8" s="1"/>
  <c r="O419" i="8" s="1"/>
  <c r="T292" i="8"/>
  <c r="T374" i="8"/>
  <c r="V374" i="8" s="1"/>
  <c r="K280" i="8"/>
  <c r="N280" i="8" s="1"/>
  <c r="O281" i="8" s="1"/>
  <c r="K383" i="8"/>
  <c r="N383" i="8" s="1"/>
  <c r="O384" i="8" s="1"/>
  <c r="K378" i="8"/>
  <c r="N378" i="8" s="1"/>
  <c r="O379" i="8" s="1"/>
  <c r="T214" i="8"/>
  <c r="T237" i="8"/>
  <c r="K449" i="8"/>
  <c r="N449" i="8" s="1"/>
  <c r="O450" i="8" s="1"/>
  <c r="K126" i="8"/>
  <c r="N126" i="8" s="1"/>
  <c r="O127" i="8" s="1"/>
  <c r="T225" i="8"/>
  <c r="V225" i="8" s="1"/>
  <c r="T318" i="8"/>
  <c r="K452" i="8"/>
  <c r="N452" i="8" s="1"/>
  <c r="O453" i="8" s="1"/>
  <c r="T308" i="8"/>
  <c r="T382" i="8"/>
  <c r="K296" i="8"/>
  <c r="N296" i="8" s="1"/>
  <c r="O297" i="8" s="1"/>
  <c r="K162" i="8"/>
  <c r="N162" i="8" s="1"/>
  <c r="O163" i="8" s="1"/>
  <c r="T297" i="8"/>
  <c r="K289" i="8"/>
  <c r="N289" i="8" s="1"/>
  <c r="O290" i="8" s="1"/>
  <c r="T288" i="8"/>
  <c r="K308" i="8"/>
  <c r="N308" i="8" s="1"/>
  <c r="O309" i="8" s="1"/>
  <c r="T327" i="8"/>
  <c r="V327" i="8" s="1"/>
  <c r="T291" i="8"/>
  <c r="K456" i="8"/>
  <c r="N456" i="8" s="1"/>
  <c r="O457" i="8" s="1"/>
  <c r="K180" i="8"/>
  <c r="N180" i="8" s="1"/>
  <c r="O181" i="8" s="1"/>
  <c r="T230" i="8"/>
  <c r="K341" i="8"/>
  <c r="N341" i="8" s="1"/>
  <c r="O342" i="8" s="1"/>
  <c r="K147" i="8"/>
  <c r="N147" i="8" s="1"/>
  <c r="O148" i="8" s="1"/>
  <c r="K509" i="8"/>
  <c r="N509" i="8" s="1"/>
  <c r="O510" i="8" s="1"/>
  <c r="K292" i="8"/>
  <c r="N292" i="8" s="1"/>
  <c r="O293" i="8" s="1"/>
  <c r="K279" i="8"/>
  <c r="N279" i="8" s="1"/>
  <c r="O280" i="8" s="1"/>
  <c r="K259" i="8"/>
  <c r="N259" i="8" s="1"/>
  <c r="O260" i="8" s="1"/>
  <c r="K195" i="8"/>
  <c r="N195" i="8" s="1"/>
  <c r="O196" i="8" s="1"/>
  <c r="T273" i="8"/>
  <c r="T503" i="8"/>
  <c r="T119" i="8"/>
  <c r="T81" i="8"/>
  <c r="V81" i="8" s="1"/>
  <c r="K151" i="8"/>
  <c r="N151" i="8" s="1"/>
  <c r="O152" i="8" s="1"/>
  <c r="K159" i="8"/>
  <c r="N159" i="8" s="1"/>
  <c r="O160" i="8" s="1"/>
  <c r="K182" i="8"/>
  <c r="N182" i="8" s="1"/>
  <c r="O183" i="8" s="1"/>
  <c r="K167" i="8"/>
  <c r="N167" i="8" s="1"/>
  <c r="O168" i="8" s="1"/>
  <c r="K42" i="8"/>
  <c r="N42" i="8" s="1"/>
  <c r="O43" i="8" s="1"/>
  <c r="K101" i="8"/>
  <c r="N101" i="8" s="1"/>
  <c r="O102" i="8" s="1"/>
  <c r="T199" i="8"/>
  <c r="T39" i="8"/>
  <c r="V39" i="8" s="1"/>
  <c r="T244" i="8"/>
  <c r="V244" i="8" s="1"/>
  <c r="K271" i="8"/>
  <c r="N271" i="8" s="1"/>
  <c r="O272" i="8" s="1"/>
  <c r="K426" i="8"/>
  <c r="N426" i="8" s="1"/>
  <c r="O427" i="8" s="1"/>
  <c r="K47" i="8"/>
  <c r="N47" i="8" s="1"/>
  <c r="O48" i="8" s="1"/>
  <c r="K225" i="8"/>
  <c r="N225" i="8" s="1"/>
  <c r="O226" i="8" s="1"/>
  <c r="T486" i="8"/>
  <c r="V486" i="8" s="1"/>
  <c r="T498" i="8"/>
  <c r="V498" i="8" s="1"/>
  <c r="K46" i="8"/>
  <c r="N46" i="8" s="1"/>
  <c r="O47" i="8" s="1"/>
  <c r="K236" i="8"/>
  <c r="N236" i="8" s="1"/>
  <c r="O237" i="8" s="1"/>
  <c r="K328" i="8"/>
  <c r="N328" i="8" s="1"/>
  <c r="O329" i="8" s="1"/>
  <c r="T35" i="8"/>
  <c r="T236" i="8"/>
  <c r="K263" i="8"/>
  <c r="N263" i="8" s="1"/>
  <c r="O264" i="8" s="1"/>
  <c r="T395" i="8"/>
  <c r="V395" i="8" s="1"/>
  <c r="T427" i="8"/>
  <c r="T497" i="8"/>
  <c r="K30" i="8"/>
  <c r="N30" i="8" s="1"/>
  <c r="K242" i="8"/>
  <c r="N242" i="8" s="1"/>
  <c r="O243" i="8" s="1"/>
  <c r="K508" i="8"/>
  <c r="N508" i="8" s="1"/>
  <c r="O509" i="8" s="1"/>
  <c r="K504" i="8"/>
  <c r="N504" i="8" s="1"/>
  <c r="O505" i="8" s="1"/>
  <c r="T454" i="8"/>
  <c r="K469" i="8"/>
  <c r="N469" i="8" s="1"/>
  <c r="O470" i="8" s="1"/>
  <c r="K155" i="8"/>
  <c r="N155" i="8" s="1"/>
  <c r="O156" i="8" s="1"/>
  <c r="T58" i="8"/>
  <c r="K93" i="8"/>
  <c r="N93" i="8" s="1"/>
  <c r="O94" i="8" s="1"/>
  <c r="T139" i="8"/>
  <c r="T243" i="8"/>
  <c r="T247" i="8"/>
  <c r="V247" i="8" s="1"/>
  <c r="T269" i="8"/>
  <c r="V269" i="8" s="1"/>
  <c r="K297" i="8"/>
  <c r="N297" i="8" s="1"/>
  <c r="O298" i="8" s="1"/>
  <c r="T371" i="8"/>
  <c r="T323" i="8"/>
  <c r="T409" i="8"/>
  <c r="T304" i="8"/>
  <c r="T442" i="8"/>
  <c r="K498" i="8"/>
  <c r="N498" i="8" s="1"/>
  <c r="O499" i="8" s="1"/>
  <c r="K379" i="8"/>
  <c r="N379" i="8" s="1"/>
  <c r="O380" i="8" s="1"/>
  <c r="T147" i="8"/>
  <c r="T163" i="8"/>
  <c r="V163" i="8" s="1"/>
  <c r="K211" i="8"/>
  <c r="N211" i="8" s="1"/>
  <c r="O212" i="8" s="1"/>
  <c r="K327" i="8"/>
  <c r="N327" i="8" s="1"/>
  <c r="O328" i="8" s="1"/>
  <c r="T407" i="8"/>
  <c r="K453" i="8"/>
  <c r="N453" i="8" s="1"/>
  <c r="O454" i="8" s="1"/>
  <c r="K163" i="8"/>
  <c r="N163" i="8" s="1"/>
  <c r="O164" i="8" s="1"/>
  <c r="T422" i="8"/>
  <c r="T140" i="8"/>
  <c r="V140" i="8" s="1"/>
  <c r="K158" i="8"/>
  <c r="N158" i="8" s="1"/>
  <c r="O159" i="8" s="1"/>
  <c r="T433" i="8"/>
  <c r="T430" i="8"/>
  <c r="V430" i="8" s="1"/>
  <c r="T275" i="8"/>
  <c r="T408" i="8"/>
  <c r="V408" i="8" s="1"/>
  <c r="K284" i="8"/>
  <c r="N284" i="8" s="1"/>
  <c r="O285" i="8" s="1"/>
  <c r="K359" i="8"/>
  <c r="N359" i="8" s="1"/>
  <c r="O360" i="8" s="1"/>
  <c r="K309" i="8"/>
  <c r="N309" i="8" s="1"/>
  <c r="O310" i="8" s="1"/>
  <c r="T255" i="8"/>
  <c r="T386" i="8"/>
  <c r="V386" i="8" s="1"/>
  <c r="T335" i="8"/>
  <c r="T96" i="8"/>
  <c r="T158" i="8"/>
  <c r="K145" i="8"/>
  <c r="N145" i="8" s="1"/>
  <c r="O146" i="8" s="1"/>
  <c r="T438" i="8"/>
  <c r="T118" i="8"/>
  <c r="T138" i="8"/>
  <c r="V138" i="8" s="1"/>
  <c r="T116" i="8"/>
  <c r="T144" i="8"/>
  <c r="V144" i="8" s="1"/>
  <c r="K253" i="8"/>
  <c r="N253" i="8" s="1"/>
  <c r="O254" i="8" s="1"/>
  <c r="T208" i="8"/>
  <c r="K457" i="8"/>
  <c r="N457" i="8" s="1"/>
  <c r="O458" i="8" s="1"/>
  <c r="T470" i="8"/>
  <c r="K191" i="8"/>
  <c r="T89" i="8"/>
  <c r="V89" i="8" s="1"/>
  <c r="K183" i="8"/>
  <c r="N183" i="8" s="1"/>
  <c r="O184" i="8" s="1"/>
  <c r="T375" i="8"/>
  <c r="T412" i="8"/>
  <c r="T460" i="8"/>
  <c r="K505" i="8"/>
  <c r="N505" i="8" s="1"/>
  <c r="O506" i="8" s="1"/>
  <c r="T70" i="8"/>
  <c r="T254" i="8"/>
  <c r="K436" i="8"/>
  <c r="N436" i="8" s="1"/>
  <c r="O437" i="8" s="1"/>
  <c r="T169" i="8"/>
  <c r="T282" i="8"/>
  <c r="K445" i="8"/>
  <c r="N445" i="8" s="1"/>
  <c r="O446" i="8" s="1"/>
  <c r="T507" i="8"/>
  <c r="K480" i="8"/>
  <c r="N480" i="8" s="1"/>
  <c r="O481" i="8" s="1"/>
  <c r="T488" i="8"/>
  <c r="V488" i="8" s="1"/>
  <c r="K190" i="8"/>
  <c r="T23" i="8"/>
  <c r="T38" i="8"/>
  <c r="V38" i="8" s="1"/>
  <c r="K81" i="8"/>
  <c r="N81" i="8" s="1"/>
  <c r="O82" i="8" s="1"/>
  <c r="T235" i="8"/>
  <c r="T259" i="8"/>
  <c r="T425" i="8"/>
  <c r="T473" i="8"/>
  <c r="K435" i="8"/>
  <c r="N435" i="8" s="1"/>
  <c r="O436" i="8" s="1"/>
  <c r="K446" i="8"/>
  <c r="N446" i="8" s="1"/>
  <c r="O447" i="8" s="1"/>
  <c r="K399" i="8"/>
  <c r="N399" i="8" s="1"/>
  <c r="O400" i="8" s="1"/>
  <c r="K487" i="8"/>
  <c r="N487" i="8" s="1"/>
  <c r="O488" i="8" s="1"/>
  <c r="T334" i="8"/>
  <c r="T69" i="8"/>
  <c r="K150" i="8"/>
  <c r="N150" i="8" s="1"/>
  <c r="O151" i="8" s="1"/>
  <c r="K166" i="8"/>
  <c r="K144" i="8"/>
  <c r="K216" i="8"/>
  <c r="N216" i="8" s="1"/>
  <c r="O217" i="8" s="1"/>
  <c r="K186" i="8"/>
  <c r="N186" i="8" s="1"/>
  <c r="O187" i="8" s="1"/>
  <c r="T362" i="8"/>
  <c r="K482" i="8"/>
  <c r="N482" i="8" s="1"/>
  <c r="O483" i="8" s="1"/>
  <c r="T32" i="8"/>
  <c r="T93" i="8"/>
  <c r="T86" i="8"/>
  <c r="V86" i="8" s="1"/>
  <c r="K192" i="8"/>
  <c r="K204" i="8"/>
  <c r="N204" i="8" s="1"/>
  <c r="O205" i="8" s="1"/>
  <c r="K294" i="8"/>
  <c r="N294" i="8" s="1"/>
  <c r="O295" i="8" s="1"/>
  <c r="K363" i="8"/>
  <c r="N363" i="8" s="1"/>
  <c r="O364" i="8" s="1"/>
  <c r="K422" i="8"/>
  <c r="N422" i="8" s="1"/>
  <c r="O423" i="8" s="1"/>
  <c r="K483" i="8"/>
  <c r="K475" i="8"/>
  <c r="T151" i="8"/>
  <c r="T217" i="8"/>
  <c r="T468" i="8"/>
  <c r="K502" i="8"/>
  <c r="N502" i="8" s="1"/>
  <c r="O503" i="8" s="1"/>
  <c r="K474" i="8"/>
  <c r="N474" i="8" s="1"/>
  <c r="O475" i="8" s="1"/>
  <c r="T55" i="8"/>
  <c r="T155" i="8"/>
  <c r="T187" i="8"/>
  <c r="T135" i="8"/>
  <c r="T150" i="8"/>
  <c r="V150" i="8" s="1"/>
  <c r="T253" i="8"/>
  <c r="T328" i="8"/>
  <c r="K350" i="8"/>
  <c r="N350" i="8" s="1"/>
  <c r="O351" i="8" s="1"/>
  <c r="K471" i="8"/>
  <c r="N471" i="8" s="1"/>
  <c r="O472" i="8" s="1"/>
  <c r="K492" i="8"/>
  <c r="N492" i="8" s="1"/>
  <c r="O493" i="8" s="1"/>
  <c r="K510" i="8"/>
  <c r="K470" i="8"/>
  <c r="K335" i="8"/>
  <c r="K411" i="8"/>
  <c r="N411" i="8" s="1"/>
  <c r="O412" i="8" s="1"/>
  <c r="K358" i="8"/>
  <c r="N358" i="8" s="1"/>
  <c r="O359" i="8" s="1"/>
  <c r="T356" i="8"/>
  <c r="V356" i="8" s="1"/>
  <c r="K493" i="8"/>
  <c r="N493" i="8" s="1"/>
  <c r="O494" i="8" s="1"/>
  <c r="T429" i="8"/>
  <c r="K484" i="8"/>
  <c r="T406" i="8"/>
  <c r="V406" i="8" s="1"/>
  <c r="K451" i="8"/>
  <c r="T271" i="8"/>
  <c r="V271" i="8" s="1"/>
  <c r="T30" i="8"/>
  <c r="V30" i="8" s="1"/>
  <c r="K149" i="8"/>
  <c r="T317" i="8"/>
  <c r="V317" i="8" s="1"/>
  <c r="T280" i="8"/>
  <c r="T267" i="8"/>
  <c r="K351" i="8"/>
  <c r="K293" i="8"/>
  <c r="K450" i="8"/>
  <c r="N450" i="8" s="1"/>
  <c r="O451" i="8" s="1"/>
  <c r="K488" i="8"/>
  <c r="N488" i="8" s="1"/>
  <c r="O489" i="8" s="1"/>
  <c r="T437" i="8"/>
  <c r="K205" i="8"/>
  <c r="N205" i="8" s="1"/>
  <c r="O206" i="8" s="1"/>
  <c r="T26" i="8"/>
  <c r="K154" i="8"/>
  <c r="T284" i="8"/>
  <c r="T415" i="8"/>
  <c r="K503" i="8"/>
  <c r="N503" i="8" s="1"/>
  <c r="O504" i="8" s="1"/>
  <c r="L217" i="8"/>
  <c r="L281" i="8"/>
  <c r="L277" i="8"/>
  <c r="L407" i="8"/>
  <c r="L394" i="8"/>
  <c r="L359" i="8"/>
  <c r="L486" i="8"/>
  <c r="L66" i="8"/>
  <c r="L161" i="8"/>
  <c r="L338" i="8"/>
  <c r="L187" i="8"/>
  <c r="L476" i="8"/>
  <c r="L468" i="8"/>
  <c r="T495" i="8"/>
  <c r="V495" i="8" s="1"/>
  <c r="L382" i="8"/>
  <c r="L414" i="8"/>
  <c r="T310" i="8"/>
  <c r="K415" i="8"/>
  <c r="N415" i="8" s="1"/>
  <c r="O416" i="8" s="1"/>
  <c r="T153" i="8"/>
  <c r="T312" i="8"/>
  <c r="V312" i="8" s="1"/>
  <c r="K364" i="8"/>
  <c r="N364" i="8" s="1"/>
  <c r="O365" i="8" s="1"/>
  <c r="K464" i="8"/>
  <c r="N464" i="8" s="1"/>
  <c r="O465" i="8" s="1"/>
  <c r="T368" i="8"/>
  <c r="K337" i="8"/>
  <c r="N337" i="8" s="1"/>
  <c r="O338" i="8" s="1"/>
  <c r="T171" i="8"/>
  <c r="K380" i="8"/>
  <c r="N380" i="8" s="1"/>
  <c r="O381" i="8" s="1"/>
  <c r="K88" i="8"/>
  <c r="N88" i="8" s="1"/>
  <c r="O89" i="8" s="1"/>
  <c r="T329" i="8"/>
  <c r="T394" i="8"/>
  <c r="V394" i="8" s="1"/>
  <c r="K506" i="8"/>
  <c r="N506" i="8" s="1"/>
  <c r="O507" i="8" s="1"/>
  <c r="K489" i="8"/>
  <c r="N489" i="8" s="1"/>
  <c r="O490" i="8" s="1"/>
  <c r="T182" i="8"/>
  <c r="K360" i="8"/>
  <c r="N360" i="8" s="1"/>
  <c r="O361" i="8" s="1"/>
  <c r="K463" i="8"/>
  <c r="N463" i="8" s="1"/>
  <c r="O464" i="8" s="1"/>
  <c r="K372" i="8"/>
  <c r="N372" i="8" s="1"/>
  <c r="O373" i="8" s="1"/>
  <c r="T496" i="8"/>
  <c r="V496" i="8" s="1"/>
  <c r="T479" i="8"/>
  <c r="K477" i="8"/>
  <c r="N477" i="8" s="1"/>
  <c r="O478" i="8" s="1"/>
  <c r="T467" i="8"/>
  <c r="K300" i="8"/>
  <c r="N300" i="8" s="1"/>
  <c r="O301" i="8" s="1"/>
  <c r="T90" i="8"/>
  <c r="K254" i="8"/>
  <c r="N254" i="8" s="1"/>
  <c r="O255" i="8" s="1"/>
  <c r="T311" i="8"/>
  <c r="V311" i="8" s="1"/>
  <c r="T298" i="8"/>
  <c r="V298" i="8" s="1"/>
  <c r="T228" i="8"/>
  <c r="T194" i="8"/>
  <c r="V194" i="8" s="1"/>
  <c r="K71" i="8"/>
  <c r="N71" i="8" s="1"/>
  <c r="O72" i="8" s="1"/>
  <c r="K226" i="8"/>
  <c r="N226" i="8" s="1"/>
  <c r="O227" i="8" s="1"/>
  <c r="K258" i="8"/>
  <c r="N258" i="8" s="1"/>
  <c r="O259" i="8" s="1"/>
  <c r="T204" i="8"/>
  <c r="T60" i="8"/>
  <c r="T173" i="8"/>
  <c r="T268" i="8"/>
  <c r="V268" i="8" s="1"/>
  <c r="K119" i="8"/>
  <c r="N119" i="8" s="1"/>
  <c r="O120" i="8" s="1"/>
  <c r="T185" i="8"/>
  <c r="V185" i="8" s="1"/>
  <c r="K112" i="8"/>
  <c r="N112" i="8" s="1"/>
  <c r="O113" i="8" s="1"/>
  <c r="T175" i="8"/>
  <c r="K59" i="8"/>
  <c r="N59" i="8" s="1"/>
  <c r="O60" i="8" s="1"/>
  <c r="T102" i="8"/>
  <c r="T117" i="8"/>
  <c r="T68" i="8"/>
  <c r="T28" i="8"/>
  <c r="T418" i="8"/>
  <c r="V418" i="8" s="1"/>
  <c r="T232" i="8"/>
  <c r="T103" i="8"/>
  <c r="T189" i="8"/>
  <c r="T376" i="8"/>
  <c r="K419" i="8"/>
  <c r="N419" i="8" s="1"/>
  <c r="O420" i="8" s="1"/>
  <c r="T483" i="8"/>
  <c r="V483" i="8" s="1"/>
  <c r="T396" i="8"/>
  <c r="V396" i="8" s="1"/>
  <c r="T436" i="8"/>
  <c r="V436" i="8" s="1"/>
  <c r="K461" i="8"/>
  <c r="N461" i="8" s="1"/>
  <c r="O462" i="8" s="1"/>
  <c r="T403" i="8"/>
  <c r="T420" i="8"/>
  <c r="K336" i="8"/>
  <c r="N336" i="8" s="1"/>
  <c r="O337" i="8" s="1"/>
  <c r="K439" i="8"/>
  <c r="N439" i="8" s="1"/>
  <c r="O440" i="8" s="1"/>
  <c r="T472" i="8"/>
  <c r="T286" i="8"/>
  <c r="T80" i="8"/>
  <c r="V80" i="8" s="1"/>
  <c r="K210" i="8"/>
  <c r="N210" i="8" s="1"/>
  <c r="O211" i="8" s="1"/>
  <c r="K228" i="8"/>
  <c r="N228" i="8" s="1"/>
  <c r="O229" i="8" s="1"/>
  <c r="K73" i="8"/>
  <c r="N73" i="8" s="1"/>
  <c r="O74" i="8" s="1"/>
  <c r="T105" i="8"/>
  <c r="K98" i="8"/>
  <c r="N98" i="8" s="1"/>
  <c r="O99" i="8" s="1"/>
  <c r="K131" i="8"/>
  <c r="N131" i="8" s="1"/>
  <c r="O132" i="8" s="1"/>
  <c r="T95" i="8"/>
  <c r="K352" i="8"/>
  <c r="N352" i="8" s="1"/>
  <c r="O353" i="8" s="1"/>
  <c r="T364" i="8"/>
  <c r="T450" i="8"/>
  <c r="T414" i="8"/>
  <c r="T202" i="8"/>
  <c r="T331" i="8"/>
  <c r="T352" i="8"/>
  <c r="V352" i="8" s="1"/>
  <c r="K393" i="8"/>
  <c r="N393" i="8" s="1"/>
  <c r="O394" i="8" s="1"/>
  <c r="K398" i="8"/>
  <c r="N398" i="8" s="1"/>
  <c r="O399" i="8" s="1"/>
  <c r="T448" i="8"/>
  <c r="T56" i="8"/>
  <c r="T24" i="8"/>
  <c r="V24" i="8" s="1"/>
  <c r="K125" i="8"/>
  <c r="N125" i="8" s="1"/>
  <c r="O126" i="8" s="1"/>
  <c r="T142" i="8"/>
  <c r="T220" i="8"/>
  <c r="T455" i="8"/>
  <c r="V455" i="8" s="1"/>
  <c r="K69" i="8"/>
  <c r="N69" i="8" s="1"/>
  <c r="O70" i="8" s="1"/>
  <c r="T45" i="8"/>
  <c r="T41" i="8"/>
  <c r="T71" i="8"/>
  <c r="V71" i="8" s="1"/>
  <c r="K320" i="8"/>
  <c r="N320" i="8" s="1"/>
  <c r="O321" i="8" s="1"/>
  <c r="K400" i="8"/>
  <c r="N400" i="8" s="1"/>
  <c r="O401" i="8" s="1"/>
  <c r="T378" i="8"/>
  <c r="T494" i="8"/>
  <c r="V494" i="8" s="1"/>
  <c r="K390" i="8"/>
  <c r="N390" i="8" s="1"/>
  <c r="O391" i="8" s="1"/>
  <c r="K127" i="8"/>
  <c r="N127" i="8" s="1"/>
  <c r="O128" i="8" s="1"/>
  <c r="K132" i="8"/>
  <c r="N132" i="8" s="1"/>
  <c r="O133" i="8" s="1"/>
  <c r="K273" i="8"/>
  <c r="N273" i="8" s="1"/>
  <c r="O274" i="8" s="1"/>
  <c r="K252" i="8"/>
  <c r="N252" i="8" s="1"/>
  <c r="O253" i="8" s="1"/>
  <c r="K287" i="8"/>
  <c r="N287" i="8" s="1"/>
  <c r="O288" i="8" s="1"/>
  <c r="T402" i="8"/>
  <c r="K310" i="8"/>
  <c r="N310" i="8" s="1"/>
  <c r="O311" i="8" s="1"/>
  <c r="K342" i="8"/>
  <c r="N342" i="8" s="1"/>
  <c r="O343" i="8" s="1"/>
  <c r="K384" i="8"/>
  <c r="N384" i="8" s="1"/>
  <c r="O385" i="8" s="1"/>
  <c r="T459" i="8"/>
  <c r="K283" i="8"/>
  <c r="N283" i="8" s="1"/>
  <c r="O284" i="8" s="1"/>
  <c r="T432" i="8"/>
  <c r="T36" i="8"/>
  <c r="V36" i="8" s="1"/>
  <c r="T82" i="8"/>
  <c r="T130" i="8"/>
  <c r="T124" i="8"/>
  <c r="T121" i="8"/>
  <c r="V121" i="8" s="1"/>
  <c r="T211" i="8"/>
  <c r="V211" i="8" s="1"/>
  <c r="K172" i="8"/>
  <c r="N172" i="8" s="1"/>
  <c r="O173" i="8" s="1"/>
  <c r="K321" i="8"/>
  <c r="N321" i="8" s="1"/>
  <c r="O322" i="8" s="1"/>
  <c r="T314" i="8"/>
  <c r="K261" i="8"/>
  <c r="N261" i="8" s="1"/>
  <c r="O262" i="8" s="1"/>
  <c r="K295" i="8"/>
  <c r="N295" i="8" s="1"/>
  <c r="O296" i="8" s="1"/>
  <c r="K298" i="8"/>
  <c r="N298" i="8" s="1"/>
  <c r="O299" i="8" s="1"/>
  <c r="T342" i="8"/>
  <c r="T404" i="8"/>
  <c r="T478" i="8"/>
  <c r="V478" i="8" s="1"/>
  <c r="K402" i="8"/>
  <c r="N402" i="8" s="1"/>
  <c r="O403" i="8" s="1"/>
  <c r="T439" i="8"/>
  <c r="K465" i="8"/>
  <c r="N465" i="8" s="1"/>
  <c r="O466" i="8" s="1"/>
  <c r="K179" i="8"/>
  <c r="N179" i="8" s="1"/>
  <c r="O180" i="8" s="1"/>
  <c r="T174" i="8"/>
  <c r="T381" i="8"/>
  <c r="K153" i="8"/>
  <c r="N153" i="8" s="1"/>
  <c r="O154" i="8" s="1"/>
  <c r="K230" i="8"/>
  <c r="N230" i="8" s="1"/>
  <c r="O231" i="8" s="1"/>
  <c r="K420" i="8"/>
  <c r="N420" i="8" s="1"/>
  <c r="O421" i="8" s="1"/>
  <c r="T106" i="8"/>
  <c r="K50" i="8"/>
  <c r="N50" i="8" s="1"/>
  <c r="O51" i="8" s="1"/>
  <c r="K238" i="8"/>
  <c r="N238" i="8" s="1"/>
  <c r="O239" i="8" s="1"/>
  <c r="T33" i="8"/>
  <c r="T195" i="8"/>
  <c r="T231" i="8"/>
  <c r="K251" i="8"/>
  <c r="N251" i="8" s="1"/>
  <c r="O252" i="8" s="1"/>
  <c r="K188" i="8"/>
  <c r="N188" i="8" s="1"/>
  <c r="O189" i="8" s="1"/>
  <c r="T300" i="8"/>
  <c r="T307" i="8"/>
  <c r="V307" i="8" s="1"/>
  <c r="K330" i="8"/>
  <c r="N330" i="8" s="1"/>
  <c r="O331" i="8" s="1"/>
  <c r="K250" i="8"/>
  <c r="N250" i="8" s="1"/>
  <c r="O251" i="8" s="1"/>
  <c r="K325" i="8"/>
  <c r="N325" i="8" s="1"/>
  <c r="O326" i="8" s="1"/>
  <c r="T347" i="8"/>
  <c r="T452" i="8"/>
  <c r="K479" i="8"/>
  <c r="N479" i="8" s="1"/>
  <c r="O480" i="8" s="1"/>
  <c r="T107" i="8"/>
  <c r="T78" i="8"/>
  <c r="V78" i="8" s="1"/>
  <c r="T137" i="8"/>
  <c r="T120" i="8"/>
  <c r="K178" i="8"/>
  <c r="N178" i="8" s="1"/>
  <c r="O179" i="8" s="1"/>
  <c r="T176" i="8"/>
  <c r="K262" i="8"/>
  <c r="N262" i="8" s="1"/>
  <c r="O263" i="8" s="1"/>
  <c r="K229" i="8"/>
  <c r="N229" i="8" s="1"/>
  <c r="O230" i="8" s="1"/>
  <c r="K313" i="8"/>
  <c r="N313" i="8" s="1"/>
  <c r="O314" i="8" s="1"/>
  <c r="K391" i="8"/>
  <c r="N391" i="8" s="1"/>
  <c r="O392" i="8" s="1"/>
  <c r="T398" i="8"/>
  <c r="V398" i="8" s="1"/>
  <c r="K437" i="8"/>
  <c r="N437" i="8" s="1"/>
  <c r="O438" i="8" s="1"/>
  <c r="T475" i="8"/>
  <c r="K76" i="8"/>
  <c r="N76" i="8" s="1"/>
  <c r="O77" i="8" s="1"/>
  <c r="K37" i="8"/>
  <c r="N37" i="8" s="1"/>
  <c r="O38" i="8" s="1"/>
  <c r="T64" i="8"/>
  <c r="K72" i="8"/>
  <c r="N72" i="8" s="1"/>
  <c r="O73" i="8" s="1"/>
  <c r="K56" i="8"/>
  <c r="N56" i="8" s="1"/>
  <c r="O57" i="8" s="1"/>
  <c r="T143" i="8"/>
  <c r="T43" i="8"/>
  <c r="T72" i="8"/>
  <c r="V72" i="8" s="1"/>
  <c r="T252" i="8"/>
  <c r="V252" i="8" s="1"/>
  <c r="K291" i="8"/>
  <c r="N291" i="8" s="1"/>
  <c r="O292" i="8" s="1"/>
  <c r="T285" i="8"/>
  <c r="K438" i="8"/>
  <c r="N438" i="8" s="1"/>
  <c r="O439" i="8" s="1"/>
  <c r="T482" i="8"/>
  <c r="V482" i="8" s="1"/>
  <c r="K434" i="8"/>
  <c r="N434" i="8" s="1"/>
  <c r="O435" i="8" s="1"/>
  <c r="K429" i="8"/>
  <c r="N429" i="8" s="1"/>
  <c r="O430" i="8" s="1"/>
  <c r="K410" i="8"/>
  <c r="N410" i="8" s="1"/>
  <c r="O411" i="8" s="1"/>
  <c r="K478" i="8"/>
  <c r="N478" i="8" s="1"/>
  <c r="O479" i="8" s="1"/>
  <c r="T338" i="8"/>
  <c r="K249" i="8"/>
  <c r="N249" i="8" s="1"/>
  <c r="O250" i="8" s="1"/>
  <c r="K357" i="8"/>
  <c r="N357" i="8" s="1"/>
  <c r="O358" i="8" s="1"/>
  <c r="T379" i="8"/>
  <c r="K404" i="8"/>
  <c r="N404" i="8" s="1"/>
  <c r="O405" i="8" s="1"/>
  <c r="T384" i="8"/>
  <c r="K285" i="8"/>
  <c r="N285" i="8" s="1"/>
  <c r="O286" i="8" s="1"/>
  <c r="T463" i="8"/>
  <c r="T49" i="8"/>
  <c r="V49" i="8" s="1"/>
  <c r="T94" i="8"/>
  <c r="K136" i="8"/>
  <c r="N136" i="8" s="1"/>
  <c r="O137" i="8" s="1"/>
  <c r="T25" i="8"/>
  <c r="T63" i="8"/>
  <c r="K61" i="8"/>
  <c r="N61" i="8" s="1"/>
  <c r="O62" i="8" s="1"/>
  <c r="K23" i="8"/>
  <c r="N23" i="8" s="1"/>
  <c r="K68" i="8"/>
  <c r="N68" i="8" s="1"/>
  <c r="O69" i="8" s="1"/>
  <c r="K105" i="8"/>
  <c r="N105" i="8" s="1"/>
  <c r="O106" i="8" s="1"/>
  <c r="T134" i="8"/>
  <c r="T191" i="8"/>
  <c r="K123" i="8"/>
  <c r="N123" i="8" s="1"/>
  <c r="O124" i="8" s="1"/>
  <c r="T192" i="8"/>
  <c r="V192" i="8" s="1"/>
  <c r="T224" i="8"/>
  <c r="T287" i="8"/>
  <c r="T186" i="8"/>
  <c r="T215" i="8"/>
  <c r="T250" i="8"/>
  <c r="T295" i="8"/>
  <c r="T289" i="8"/>
  <c r="V289" i="8" s="1"/>
  <c r="T332" i="8"/>
  <c r="V332" i="8" s="1"/>
  <c r="T256" i="8"/>
  <c r="K339" i="8"/>
  <c r="N339" i="8" s="1"/>
  <c r="O340" i="8" s="1"/>
  <c r="T363" i="8"/>
  <c r="V363" i="8" s="1"/>
  <c r="T377" i="8"/>
  <c r="V377" i="8" s="1"/>
  <c r="T343" i="8"/>
  <c r="K355" i="8"/>
  <c r="N355" i="8" s="1"/>
  <c r="O356" i="8" s="1"/>
  <c r="K376" i="8"/>
  <c r="N376" i="8" s="1"/>
  <c r="O377" i="8" s="1"/>
  <c r="K395" i="8"/>
  <c r="N395" i="8" s="1"/>
  <c r="O396" i="8" s="1"/>
  <c r="K425" i="8"/>
  <c r="N425" i="8" s="1"/>
  <c r="O426" i="8" s="1"/>
  <c r="T299" i="8"/>
  <c r="K441" i="8"/>
  <c r="N441" i="8" s="1"/>
  <c r="O442" i="8" s="1"/>
  <c r="K409" i="8"/>
  <c r="N409" i="8" s="1"/>
  <c r="O410" i="8" s="1"/>
  <c r="K365" i="8"/>
  <c r="N365" i="8" s="1"/>
  <c r="O366" i="8" s="1"/>
  <c r="K386" i="8"/>
  <c r="N386" i="8" s="1"/>
  <c r="O387" i="8" s="1"/>
  <c r="T457" i="8"/>
  <c r="V457" i="8" s="1"/>
  <c r="T504" i="8"/>
  <c r="T447" i="8"/>
  <c r="V447" i="8" s="1"/>
  <c r="K440" i="8"/>
  <c r="N440" i="8" s="1"/>
  <c r="O441" i="8" s="1"/>
  <c r="K412" i="8"/>
  <c r="N412" i="8" s="1"/>
  <c r="O413" i="8" s="1"/>
  <c r="K91" i="8"/>
  <c r="N91" i="8" s="1"/>
  <c r="O92" i="8" s="1"/>
  <c r="T184" i="8"/>
  <c r="V184" i="8" s="1"/>
  <c r="T258" i="8"/>
  <c r="V258" i="8" s="1"/>
  <c r="K467" i="8"/>
  <c r="N467" i="8" s="1"/>
  <c r="O468" i="8" s="1"/>
  <c r="K462" i="8"/>
  <c r="N462" i="8" s="1"/>
  <c r="O463" i="8" s="1"/>
  <c r="K52" i="8"/>
  <c r="N52" i="8" s="1"/>
  <c r="O53" i="8" s="1"/>
  <c r="T51" i="8"/>
  <c r="T114" i="8"/>
  <c r="K106" i="8"/>
  <c r="N106" i="8" s="1"/>
  <c r="O107" i="8" s="1"/>
  <c r="K97" i="8"/>
  <c r="N97" i="8" s="1"/>
  <c r="O98" i="8" s="1"/>
  <c r="T127" i="8"/>
  <c r="T179" i="8"/>
  <c r="K74" i="8"/>
  <c r="N74" i="8" s="1"/>
  <c r="O75" i="8" s="1"/>
  <c r="T132" i="8"/>
  <c r="T178" i="8"/>
  <c r="K223" i="8"/>
  <c r="N223" i="8" s="1"/>
  <c r="O224" i="8" s="1"/>
  <c r="T188" i="8"/>
  <c r="K224" i="8"/>
  <c r="N224" i="8" s="1"/>
  <c r="O225" i="8" s="1"/>
  <c r="K201" i="8"/>
  <c r="N201" i="8" s="1"/>
  <c r="O202" i="8" s="1"/>
  <c r="K239" i="8"/>
  <c r="N239" i="8" s="1"/>
  <c r="O240" i="8" s="1"/>
  <c r="T319" i="8"/>
  <c r="V319" i="8" s="1"/>
  <c r="K316" i="8"/>
  <c r="N316" i="8" s="1"/>
  <c r="O317" i="8" s="1"/>
  <c r="K385" i="8"/>
  <c r="N385" i="8" s="1"/>
  <c r="O386" i="8" s="1"/>
  <c r="T370" i="8"/>
  <c r="K401" i="8"/>
  <c r="N401" i="8" s="1"/>
  <c r="O402" i="8" s="1"/>
  <c r="K373" i="8"/>
  <c r="N373" i="8" s="1"/>
  <c r="O374" i="8" s="1"/>
  <c r="T471" i="8"/>
  <c r="K33" i="8"/>
  <c r="N33" i="8" s="1"/>
  <c r="O34" i="8" s="1"/>
  <c r="T52" i="8"/>
  <c r="T40" i="8"/>
  <c r="V40" i="8" s="1"/>
  <c r="K36" i="8"/>
  <c r="N36" i="8" s="1"/>
  <c r="O37" i="8" s="1"/>
  <c r="T65" i="8"/>
  <c r="T91" i="8"/>
  <c r="T98" i="8"/>
  <c r="V98" i="8" s="1"/>
  <c r="K96" i="8"/>
  <c r="N96" i="8" s="1"/>
  <c r="O97" i="8" s="1"/>
  <c r="T149" i="8"/>
  <c r="V149" i="8" s="1"/>
  <c r="K124" i="8"/>
  <c r="N124" i="8" s="1"/>
  <c r="O125" i="8" s="1"/>
  <c r="K104" i="8"/>
  <c r="N104" i="8" s="1"/>
  <c r="O105" i="8" s="1"/>
  <c r="T172" i="8"/>
  <c r="V172" i="8" s="1"/>
  <c r="T205" i="8"/>
  <c r="K246" i="8"/>
  <c r="N246" i="8" s="1"/>
  <c r="O247" i="8" s="1"/>
  <c r="K264" i="8"/>
  <c r="N264" i="8" s="1"/>
  <c r="O265" i="8" s="1"/>
  <c r="K200" i="8"/>
  <c r="N200" i="8" s="1"/>
  <c r="O201" i="8" s="1"/>
  <c r="K232" i="8"/>
  <c r="N232" i="8" s="1"/>
  <c r="O233" i="8" s="1"/>
  <c r="T293" i="8"/>
  <c r="K332" i="8"/>
  <c r="N332" i="8" s="1"/>
  <c r="O333" i="8" s="1"/>
  <c r="K343" i="8"/>
  <c r="N343" i="8" s="1"/>
  <c r="O344" i="8" s="1"/>
  <c r="T373" i="8"/>
  <c r="K396" i="8"/>
  <c r="N396" i="8" s="1"/>
  <c r="O397" i="8" s="1"/>
  <c r="T416" i="8"/>
  <c r="V416" i="8" s="1"/>
  <c r="K459" i="8"/>
  <c r="N459" i="8" s="1"/>
  <c r="O460" i="8" s="1"/>
  <c r="K75" i="8"/>
  <c r="N75" i="8" s="1"/>
  <c r="O76" i="8" s="1"/>
  <c r="K177" i="8"/>
  <c r="N177" i="8" s="1"/>
  <c r="O178" i="8" s="1"/>
  <c r="K142" i="8"/>
  <c r="N142" i="8" s="1"/>
  <c r="O143" i="8" s="1"/>
  <c r="T180" i="8"/>
  <c r="T198" i="8"/>
  <c r="K387" i="8"/>
  <c r="N387" i="8" s="1"/>
  <c r="O388" i="8" s="1"/>
  <c r="K369" i="8"/>
  <c r="N369" i="8" s="1"/>
  <c r="O370" i="8" s="1"/>
  <c r="K444" i="8"/>
  <c r="N444" i="8" s="1"/>
  <c r="O445" i="8" s="1"/>
  <c r="T461" i="8"/>
  <c r="V461" i="8" s="1"/>
  <c r="T421" i="8"/>
  <c r="T435" i="8"/>
  <c r="V435" i="8" s="1"/>
  <c r="T492" i="8"/>
  <c r="T50" i="8"/>
  <c r="V50" i="8" s="1"/>
  <c r="T131" i="8"/>
  <c r="K140" i="8"/>
  <c r="N140" i="8" s="1"/>
  <c r="O141" i="8" s="1"/>
  <c r="T162" i="8"/>
  <c r="V162" i="8" s="1"/>
  <c r="T145" i="8"/>
  <c r="V145" i="8" s="1"/>
  <c r="K130" i="8"/>
  <c r="N130" i="8" s="1"/>
  <c r="O131" i="8" s="1"/>
  <c r="K207" i="8"/>
  <c r="N207" i="8" s="1"/>
  <c r="O208" i="8" s="1"/>
  <c r="K255" i="8"/>
  <c r="N255" i="8" s="1"/>
  <c r="O256" i="8" s="1"/>
  <c r="T320" i="8"/>
  <c r="V320" i="8" s="1"/>
  <c r="K389" i="8"/>
  <c r="N389" i="8" s="1"/>
  <c r="O390" i="8" s="1"/>
  <c r="K381" i="8"/>
  <c r="N381" i="8" s="1"/>
  <c r="O382" i="8" s="1"/>
  <c r="T419" i="8"/>
  <c r="V419" i="8" s="1"/>
  <c r="K497" i="8"/>
  <c r="N497" i="8" s="1"/>
  <c r="O498" i="8" s="1"/>
  <c r="K107" i="8"/>
  <c r="N107" i="8" s="1"/>
  <c r="O108" i="8" s="1"/>
  <c r="K121" i="8"/>
  <c r="N121" i="8" s="1"/>
  <c r="O122" i="8" s="1"/>
  <c r="K349" i="8"/>
  <c r="N349" i="8" s="1"/>
  <c r="O350" i="8" s="1"/>
  <c r="T372" i="8"/>
  <c r="V372" i="8" s="1"/>
  <c r="T411" i="8"/>
  <c r="T476" i="8"/>
  <c r="K473" i="8"/>
  <c r="N473" i="8" s="1"/>
  <c r="O474" i="8" s="1"/>
  <c r="T84" i="8"/>
  <c r="K79" i="8"/>
  <c r="N79" i="8" s="1"/>
  <c r="O80" i="8" s="1"/>
  <c r="T46" i="8"/>
  <c r="T67" i="8"/>
  <c r="T166" i="8"/>
  <c r="T123" i="8"/>
  <c r="V123" i="8" s="1"/>
  <c r="K169" i="8"/>
  <c r="N169" i="8" s="1"/>
  <c r="O170" i="8" s="1"/>
  <c r="T168" i="8"/>
  <c r="V168" i="8" s="1"/>
  <c r="K95" i="8"/>
  <c r="N95" i="8" s="1"/>
  <c r="O96" i="8" s="1"/>
  <c r="K245" i="8"/>
  <c r="N245" i="8" s="1"/>
  <c r="O246" i="8" s="1"/>
  <c r="T309" i="8"/>
  <c r="K302" i="8"/>
  <c r="N302" i="8" s="1"/>
  <c r="O303" i="8" s="1"/>
  <c r="K344" i="8"/>
  <c r="N344" i="8" s="1"/>
  <c r="O345" i="8" s="1"/>
  <c r="T417" i="8"/>
  <c r="V417" i="8" s="1"/>
  <c r="T493" i="8"/>
  <c r="T321" i="8"/>
  <c r="T444" i="8"/>
  <c r="T502" i="8"/>
  <c r="K29" i="8"/>
  <c r="N29" i="8" s="1"/>
  <c r="K54" i="8"/>
  <c r="N54" i="8" s="1"/>
  <c r="O55" i="8" s="1"/>
  <c r="K103" i="8"/>
  <c r="N103" i="8" s="1"/>
  <c r="O104" i="8" s="1"/>
  <c r="K117" i="8"/>
  <c r="N117" i="8" s="1"/>
  <c r="O118" i="8" s="1"/>
  <c r="T54" i="8"/>
  <c r="T99" i="8"/>
  <c r="T53" i="8"/>
  <c r="T29" i="8"/>
  <c r="V29" i="8" s="1"/>
  <c r="K25" i="8"/>
  <c r="N25" i="8" s="1"/>
  <c r="T62" i="8"/>
  <c r="K53" i="8"/>
  <c r="N53" i="8" s="1"/>
  <c r="O54" i="8" s="1"/>
  <c r="T66" i="8"/>
  <c r="K41" i="8"/>
  <c r="N41" i="8" s="1"/>
  <c r="O42" i="8" s="1"/>
  <c r="T111" i="8"/>
  <c r="K24" i="8"/>
  <c r="N24" i="8" s="1"/>
  <c r="T92" i="8"/>
  <c r="T76" i="8"/>
  <c r="V76" i="8" s="1"/>
  <c r="K137" i="8"/>
  <c r="N137" i="8" s="1"/>
  <c r="O138" i="8" s="1"/>
  <c r="T59" i="8"/>
  <c r="K133" i="8"/>
  <c r="N133" i="8" s="1"/>
  <c r="O134" i="8" s="1"/>
  <c r="T157" i="8"/>
  <c r="V157" i="8" s="1"/>
  <c r="K141" i="8"/>
  <c r="N141" i="8" s="1"/>
  <c r="O142" i="8" s="1"/>
  <c r="T141" i="8"/>
  <c r="K100" i="8"/>
  <c r="N100" i="8" s="1"/>
  <c r="O101" i="8" s="1"/>
  <c r="K160" i="8"/>
  <c r="N160" i="8" s="1"/>
  <c r="O161" i="8" s="1"/>
  <c r="K156" i="8"/>
  <c r="N156" i="8" s="1"/>
  <c r="O157" i="8" s="1"/>
  <c r="K164" i="8"/>
  <c r="N164" i="8" s="1"/>
  <c r="O165" i="8" s="1"/>
  <c r="K176" i="8"/>
  <c r="N176" i="8" s="1"/>
  <c r="O177" i="8" s="1"/>
  <c r="K189" i="8"/>
  <c r="N189" i="8" s="1"/>
  <c r="O190" i="8" s="1"/>
  <c r="K219" i="8"/>
  <c r="N219" i="8" s="1"/>
  <c r="O220" i="8" s="1"/>
  <c r="T221" i="8"/>
  <c r="V221" i="8" s="1"/>
  <c r="K203" i="8"/>
  <c r="N203" i="8" s="1"/>
  <c r="O204" i="8" s="1"/>
  <c r="T190" i="8"/>
  <c r="K272" i="8"/>
  <c r="N272" i="8" s="1"/>
  <c r="O273" i="8" s="1"/>
  <c r="T210" i="8"/>
  <c r="V210" i="8" s="1"/>
  <c r="K235" i="8"/>
  <c r="N235" i="8" s="1"/>
  <c r="O236" i="8" s="1"/>
  <c r="T263" i="8"/>
  <c r="V263" i="8" s="1"/>
  <c r="T257" i="8"/>
  <c r="T209" i="8"/>
  <c r="K307" i="8"/>
  <c r="N307" i="8" s="1"/>
  <c r="O308" i="8" s="1"/>
  <c r="K290" i="8"/>
  <c r="N290" i="8" s="1"/>
  <c r="O291" i="8" s="1"/>
  <c r="T196" i="8"/>
  <c r="T227" i="8"/>
  <c r="K257" i="8"/>
  <c r="N257" i="8" s="1"/>
  <c r="O258" i="8" s="1"/>
  <c r="T303" i="8"/>
  <c r="T294" i="8"/>
  <c r="K324" i="8"/>
  <c r="N324" i="8" s="1"/>
  <c r="O325" i="8" s="1"/>
  <c r="K213" i="8"/>
  <c r="N213" i="8" s="1"/>
  <c r="O214" i="8" s="1"/>
  <c r="K315" i="8"/>
  <c r="N315" i="8" s="1"/>
  <c r="O316" i="8" s="1"/>
  <c r="T325" i="8"/>
  <c r="K268" i="8"/>
  <c r="N268" i="8" s="1"/>
  <c r="O269" i="8" s="1"/>
  <c r="T241" i="8"/>
  <c r="K323" i="8"/>
  <c r="N323" i="8" s="1"/>
  <c r="O324" i="8" s="1"/>
  <c r="T366" i="8"/>
  <c r="V366" i="8" s="1"/>
  <c r="K331" i="8"/>
  <c r="N331" i="8" s="1"/>
  <c r="O332" i="8" s="1"/>
  <c r="K361" i="8"/>
  <c r="N361" i="8" s="1"/>
  <c r="O362" i="8" s="1"/>
  <c r="T301" i="8"/>
  <c r="V301" i="8" s="1"/>
  <c r="T393" i="8"/>
  <c r="V393" i="8" s="1"/>
  <c r="K417" i="8"/>
  <c r="N417" i="8" s="1"/>
  <c r="O418" i="8" s="1"/>
  <c r="K375" i="8"/>
  <c r="N375" i="8" s="1"/>
  <c r="O376" i="8" s="1"/>
  <c r="T397" i="8"/>
  <c r="V397" i="8" s="1"/>
  <c r="T351" i="8"/>
  <c r="K408" i="8"/>
  <c r="N408" i="8" s="1"/>
  <c r="O409" i="8" s="1"/>
  <c r="K377" i="8"/>
  <c r="N377" i="8" s="1"/>
  <c r="O378" i="8" s="1"/>
  <c r="T265" i="8"/>
  <c r="V265" i="8" s="1"/>
  <c r="K447" i="8"/>
  <c r="N447" i="8" s="1"/>
  <c r="O448" i="8" s="1"/>
  <c r="T485" i="8"/>
  <c r="K500" i="8"/>
  <c r="N500" i="8" s="1"/>
  <c r="O501" i="8" s="1"/>
  <c r="K430" i="8"/>
  <c r="N430" i="8" s="1"/>
  <c r="O431" i="8" s="1"/>
  <c r="T462" i="8"/>
  <c r="T423" i="8"/>
  <c r="T441" i="8"/>
  <c r="K458" i="8"/>
  <c r="N458" i="8" s="1"/>
  <c r="O459" i="8" s="1"/>
  <c r="T501" i="8"/>
  <c r="K499" i="8"/>
  <c r="N499" i="8" s="1"/>
  <c r="O500" i="8" s="1"/>
  <c r="T458" i="8"/>
  <c r="V458" i="8" s="1"/>
  <c r="K442" i="8"/>
  <c r="N442" i="8" s="1"/>
  <c r="O443" i="8" s="1"/>
  <c r="K62" i="8"/>
  <c r="N62" i="8" s="1"/>
  <c r="O63" i="8" s="1"/>
  <c r="K122" i="8"/>
  <c r="N122" i="8" s="1"/>
  <c r="O123" i="8" s="1"/>
  <c r="K114" i="8"/>
  <c r="N114" i="8" s="1"/>
  <c r="O115" i="8" s="1"/>
  <c r="T161" i="8"/>
  <c r="T177" i="8"/>
  <c r="T193" i="8"/>
  <c r="V193" i="8" s="1"/>
  <c r="K108" i="8"/>
  <c r="N108" i="8" s="1"/>
  <c r="O109" i="8" s="1"/>
  <c r="K143" i="8"/>
  <c r="N143" i="8" s="1"/>
  <c r="O144" i="8" s="1"/>
  <c r="T113" i="8"/>
  <c r="V113" i="8" s="1"/>
  <c r="T148" i="8"/>
  <c r="K222" i="8"/>
  <c r="N222" i="8" s="1"/>
  <c r="O223" i="8" s="1"/>
  <c r="T152" i="8"/>
  <c r="V152" i="8" s="1"/>
  <c r="T223" i="8"/>
  <c r="T251" i="8"/>
  <c r="V251" i="8" s="1"/>
  <c r="K185" i="8"/>
  <c r="N185" i="8" s="1"/>
  <c r="O186" i="8" s="1"/>
  <c r="K197" i="8"/>
  <c r="N197" i="8" s="1"/>
  <c r="O198" i="8" s="1"/>
  <c r="T216" i="8"/>
  <c r="V216" i="8" s="1"/>
  <c r="K275" i="8"/>
  <c r="N275" i="8" s="1"/>
  <c r="O276" i="8" s="1"/>
  <c r="T283" i="8"/>
  <c r="K193" i="8"/>
  <c r="N193" i="8" s="1"/>
  <c r="O194" i="8" s="1"/>
  <c r="T239" i="8"/>
  <c r="V239" i="8" s="1"/>
  <c r="K301" i="8"/>
  <c r="N301" i="8" s="1"/>
  <c r="O302" i="8" s="1"/>
  <c r="K212" i="8"/>
  <c r="N212" i="8" s="1"/>
  <c r="O213" i="8" s="1"/>
  <c r="K256" i="8"/>
  <c r="N256" i="8" s="1"/>
  <c r="O257" i="8" s="1"/>
  <c r="T315" i="8"/>
  <c r="T316" i="8"/>
  <c r="T367" i="8"/>
  <c r="T313" i="8"/>
  <c r="V313" i="8" s="1"/>
  <c r="T349" i="8"/>
  <c r="V349" i="8" s="1"/>
  <c r="K312" i="8"/>
  <c r="N312" i="8" s="1"/>
  <c r="O313" i="8" s="1"/>
  <c r="T350" i="8"/>
  <c r="V350" i="8" s="1"/>
  <c r="T361" i="8"/>
  <c r="T353" i="8"/>
  <c r="V353" i="8" s="1"/>
  <c r="T401" i="8"/>
  <c r="T453" i="8"/>
  <c r="K433" i="8"/>
  <c r="N433" i="8" s="1"/>
  <c r="O434" i="8" s="1"/>
  <c r="T477" i="8"/>
  <c r="V477" i="8" s="1"/>
  <c r="T506" i="8"/>
  <c r="V506" i="8" s="1"/>
  <c r="T480" i="8"/>
  <c r="V480" i="8" s="1"/>
  <c r="K496" i="8"/>
  <c r="N496" i="8" s="1"/>
  <c r="O497" i="8" s="1"/>
  <c r="K86" i="8"/>
  <c r="N86" i="8" s="1"/>
  <c r="O87" i="8" s="1"/>
  <c r="T57" i="8"/>
  <c r="K67" i="8"/>
  <c r="N67" i="8" s="1"/>
  <c r="O68" i="8" s="1"/>
  <c r="T115" i="8"/>
  <c r="K27" i="8"/>
  <c r="N27" i="8" s="1"/>
  <c r="K99" i="8"/>
  <c r="N99" i="8" s="1"/>
  <c r="O100" i="8" s="1"/>
  <c r="K44" i="8"/>
  <c r="N44" i="8" s="1"/>
  <c r="O45" i="8" s="1"/>
  <c r="T97" i="8"/>
  <c r="T104" i="8"/>
  <c r="K134" i="8"/>
  <c r="N134" i="8" s="1"/>
  <c r="O135" i="8" s="1"/>
  <c r="K148" i="8"/>
  <c r="N148" i="8" s="1"/>
  <c r="O149" i="8" s="1"/>
  <c r="K165" i="8"/>
  <c r="N165" i="8" s="1"/>
  <c r="O166" i="8" s="1"/>
  <c r="K181" i="8"/>
  <c r="N181" i="8" s="1"/>
  <c r="O182" i="8" s="1"/>
  <c r="K152" i="8"/>
  <c r="N152" i="8" s="1"/>
  <c r="O153" i="8" s="1"/>
  <c r="T200" i="8"/>
  <c r="T212" i="8"/>
  <c r="V212" i="8" s="1"/>
  <c r="K234" i="8"/>
  <c r="N234" i="8" s="1"/>
  <c r="O235" i="8" s="1"/>
  <c r="K82" i="8"/>
  <c r="N82" i="8" s="1"/>
  <c r="O83" i="8" s="1"/>
  <c r="K173" i="8"/>
  <c r="N173" i="8" s="1"/>
  <c r="O174" i="8" s="1"/>
  <c r="T279" i="8"/>
  <c r="V279" i="8" s="1"/>
  <c r="T240" i="8"/>
  <c r="V240" i="8" s="1"/>
  <c r="K248" i="8"/>
  <c r="N248" i="8" s="1"/>
  <c r="O249" i="8" s="1"/>
  <c r="K303" i="8"/>
  <c r="N303" i="8" s="1"/>
  <c r="O304" i="8" s="1"/>
  <c r="T274" i="8"/>
  <c r="T278" i="8"/>
  <c r="K322" i="8"/>
  <c r="N322" i="8" s="1"/>
  <c r="O323" i="8" s="1"/>
  <c r="T357" i="8"/>
  <c r="V357" i="8" s="1"/>
  <c r="T383" i="8"/>
  <c r="V383" i="8" s="1"/>
  <c r="T428" i="8"/>
  <c r="V428" i="8" s="1"/>
  <c r="T324" i="8"/>
  <c r="V324" i="8" s="1"/>
  <c r="T388" i="8"/>
  <c r="V388" i="8" s="1"/>
  <c r="K443" i="8"/>
  <c r="N443" i="8" s="1"/>
  <c r="O444" i="8" s="1"/>
  <c r="K507" i="8"/>
  <c r="N507" i="8" s="1"/>
  <c r="O508" i="8" s="1"/>
  <c r="T264" i="8"/>
  <c r="V264" i="8" s="1"/>
  <c r="T389" i="8"/>
  <c r="V389" i="8" s="1"/>
  <c r="K466" i="8"/>
  <c r="N466" i="8" s="1"/>
  <c r="O467" i="8" s="1"/>
  <c r="K368" i="8"/>
  <c r="N368" i="8" s="1"/>
  <c r="O369" i="8" s="1"/>
  <c r="K347" i="8"/>
  <c r="N347" i="8" s="1"/>
  <c r="O348" i="8" s="1"/>
  <c r="T446" i="8"/>
  <c r="V446" i="8" s="1"/>
  <c r="K431" i="8"/>
  <c r="N431" i="8" s="1"/>
  <c r="O432" i="8" s="1"/>
  <c r="K448" i="8"/>
  <c r="N448" i="8" s="1"/>
  <c r="O449" i="8" s="1"/>
  <c r="T469" i="8"/>
  <c r="T499" i="8"/>
  <c r="K58" i="8"/>
  <c r="N58" i="8" s="1"/>
  <c r="O59" i="8" s="1"/>
  <c r="K51" i="8"/>
  <c r="N51" i="8" s="1"/>
  <c r="O52" i="8" s="1"/>
  <c r="K26" i="8"/>
  <c r="N26" i="8" s="1"/>
  <c r="K65" i="8"/>
  <c r="N65" i="8" s="1"/>
  <c r="O66" i="8" s="1"/>
  <c r="K77" i="8"/>
  <c r="N77" i="8" s="1"/>
  <c r="O78" i="8" s="1"/>
  <c r="K70" i="8"/>
  <c r="N70" i="8" s="1"/>
  <c r="O71" i="8" s="1"/>
  <c r="K31" i="8"/>
  <c r="N31" i="8" s="1"/>
  <c r="T44" i="8"/>
  <c r="V44" i="8" s="1"/>
  <c r="K63" i="8"/>
  <c r="N63" i="8" s="1"/>
  <c r="O64" i="8" s="1"/>
  <c r="K87" i="8"/>
  <c r="N87" i="8" s="1"/>
  <c r="O88" i="8" s="1"/>
  <c r="K28" i="8"/>
  <c r="N28" i="8" s="1"/>
  <c r="K111" i="8"/>
  <c r="N111" i="8" s="1"/>
  <c r="O112" i="8" s="1"/>
  <c r="K34" i="8"/>
  <c r="N34" i="8" s="1"/>
  <c r="O35" i="8" s="1"/>
  <c r="K84" i="8"/>
  <c r="N84" i="8" s="1"/>
  <c r="O85" i="8" s="1"/>
  <c r="T87" i="8"/>
  <c r="V87" i="8" s="1"/>
  <c r="T165" i="8"/>
  <c r="V165" i="8" s="1"/>
  <c r="T181" i="8"/>
  <c r="T197" i="8"/>
  <c r="T88" i="8"/>
  <c r="K135" i="8"/>
  <c r="N135" i="8" s="1"/>
  <c r="O136" i="8" s="1"/>
  <c r="T125" i="8"/>
  <c r="K138" i="8"/>
  <c r="N138" i="8" s="1"/>
  <c r="O139" i="8" s="1"/>
  <c r="K202" i="8"/>
  <c r="N202" i="8" s="1"/>
  <c r="O203" i="8" s="1"/>
  <c r="K214" i="8"/>
  <c r="N214" i="8" s="1"/>
  <c r="O215" i="8" s="1"/>
  <c r="K175" i="8"/>
  <c r="N175" i="8" s="1"/>
  <c r="O176" i="8" s="1"/>
  <c r="K270" i="8"/>
  <c r="N270" i="8" s="1"/>
  <c r="O271" i="8" s="1"/>
  <c r="K265" i="8"/>
  <c r="N265" i="8" s="1"/>
  <c r="O266" i="8" s="1"/>
  <c r="T206" i="8"/>
  <c r="T222" i="8"/>
  <c r="K220" i="8"/>
  <c r="N220" i="8" s="1"/>
  <c r="O221" i="8" s="1"/>
  <c r="T170" i="8"/>
  <c r="K288" i="8"/>
  <c r="N288" i="8" s="1"/>
  <c r="O289" i="8" s="1"/>
  <c r="K194" i="8"/>
  <c r="N194" i="8" s="1"/>
  <c r="O195" i="8" s="1"/>
  <c r="K227" i="8"/>
  <c r="N227" i="8" s="1"/>
  <c r="O228" i="8" s="1"/>
  <c r="K233" i="8"/>
  <c r="N233" i="8" s="1"/>
  <c r="O234" i="8" s="1"/>
  <c r="T262" i="8"/>
  <c r="V262" i="8" s="1"/>
  <c r="T260" i="8"/>
  <c r="T246" i="8"/>
  <c r="V246" i="8" s="1"/>
  <c r="K241" i="8"/>
  <c r="N241" i="8" s="1"/>
  <c r="O242" i="8" s="1"/>
  <c r="K266" i="8"/>
  <c r="N266" i="8" s="1"/>
  <c r="O267" i="8" s="1"/>
  <c r="K304" i="8"/>
  <c r="N304" i="8" s="1"/>
  <c r="O305" i="8" s="1"/>
  <c r="T440" i="8"/>
  <c r="K346" i="8"/>
  <c r="N346" i="8" s="1"/>
  <c r="O347" i="8" s="1"/>
  <c r="K367" i="8"/>
  <c r="N367" i="8" s="1"/>
  <c r="O368" i="8" s="1"/>
  <c r="T234" i="8"/>
  <c r="V234" i="8" s="1"/>
  <c r="T339" i="8"/>
  <c r="T380" i="8"/>
  <c r="K403" i="8"/>
  <c r="N403" i="8" s="1"/>
  <c r="O404" i="8" s="1"/>
  <c r="K353" i="8"/>
  <c r="N353" i="8" s="1"/>
  <c r="O354" i="8" s="1"/>
  <c r="K362" i="8"/>
  <c r="N362" i="8" s="1"/>
  <c r="O363" i="8" s="1"/>
  <c r="K388" i="8"/>
  <c r="N388" i="8" s="1"/>
  <c r="O389" i="8" s="1"/>
  <c r="K354" i="8"/>
  <c r="N354" i="8" s="1"/>
  <c r="O355" i="8" s="1"/>
  <c r="K405" i="8"/>
  <c r="N405" i="8" s="1"/>
  <c r="O406" i="8" s="1"/>
  <c r="K428" i="8"/>
  <c r="N428" i="8" s="1"/>
  <c r="O429" i="8" s="1"/>
  <c r="K416" i="8"/>
  <c r="N416" i="8" s="1"/>
  <c r="O417" i="8" s="1"/>
  <c r="T413" i="8"/>
  <c r="V413" i="8" s="1"/>
  <c r="K460" i="8"/>
  <c r="N460" i="8" s="1"/>
  <c r="O461" i="8" s="1"/>
  <c r="T487" i="8"/>
  <c r="V487" i="8" s="1"/>
  <c r="T443" i="8"/>
  <c r="K491" i="8"/>
  <c r="N491" i="8" s="1"/>
  <c r="O492" i="8" s="1"/>
  <c r="K397" i="8"/>
  <c r="N397" i="8" s="1"/>
  <c r="O398" i="8" s="1"/>
  <c r="K421" i="8"/>
  <c r="N421" i="8" s="1"/>
  <c r="O422" i="8" s="1"/>
  <c r="T341" i="8"/>
  <c r="V341" i="8" s="1"/>
  <c r="K413" i="8"/>
  <c r="N413" i="8" s="1"/>
  <c r="O414" i="8" s="1"/>
  <c r="T431" i="8"/>
  <c r="K490" i="8"/>
  <c r="N490" i="8" s="1"/>
  <c r="O491" i="8" s="1"/>
  <c r="T510" i="8"/>
  <c r="K43" i="8"/>
  <c r="N43" i="8" s="1"/>
  <c r="O44" i="8" s="1"/>
  <c r="K35" i="8"/>
  <c r="N35" i="8" s="1"/>
  <c r="O36" i="8" s="1"/>
  <c r="K49" i="8"/>
  <c r="N49" i="8" s="1"/>
  <c r="O50" i="8" s="1"/>
  <c r="K32" i="8"/>
  <c r="N32" i="8" s="1"/>
  <c r="O33" i="8" s="1"/>
  <c r="K57" i="8"/>
  <c r="N57" i="8" s="1"/>
  <c r="O58" i="8" s="1"/>
  <c r="T73" i="8"/>
  <c r="V73" i="8" s="1"/>
  <c r="T101" i="8"/>
  <c r="K45" i="8"/>
  <c r="N45" i="8" s="1"/>
  <c r="O46" i="8" s="1"/>
  <c r="K146" i="8"/>
  <c r="N146" i="8" s="1"/>
  <c r="O147" i="8" s="1"/>
  <c r="T100" i="8"/>
  <c r="T203" i="8"/>
  <c r="K128" i="8"/>
  <c r="N128" i="8" s="1"/>
  <c r="O129" i="8" s="1"/>
  <c r="K170" i="8"/>
  <c r="N170" i="8" s="1"/>
  <c r="O171" i="8" s="1"/>
  <c r="T129" i="8"/>
  <c r="V129" i="8" s="1"/>
  <c r="K168" i="8"/>
  <c r="N168" i="8" s="1"/>
  <c r="O169" i="8" s="1"/>
  <c r="T128" i="8"/>
  <c r="K94" i="8"/>
  <c r="N94" i="8" s="1"/>
  <c r="O95" i="8" s="1"/>
  <c r="K206" i="8"/>
  <c r="N206" i="8" s="1"/>
  <c r="O207" i="8" s="1"/>
  <c r="T110" i="8"/>
  <c r="V110" i="8" s="1"/>
  <c r="K215" i="8"/>
  <c r="N215" i="8" s="1"/>
  <c r="O216" i="8" s="1"/>
  <c r="K83" i="8"/>
  <c r="N83" i="8" s="1"/>
  <c r="O84" i="8" s="1"/>
  <c r="T207" i="8"/>
  <c r="V207" i="8" s="1"/>
  <c r="K231" i="8"/>
  <c r="N231" i="8" s="1"/>
  <c r="O232" i="8" s="1"/>
  <c r="K184" i="8"/>
  <c r="N184" i="8" s="1"/>
  <c r="O185" i="8" s="1"/>
  <c r="K171" i="8"/>
  <c r="N171" i="8" s="1"/>
  <c r="O172" i="8" s="1"/>
  <c r="T229" i="8"/>
  <c r="T277" i="8"/>
  <c r="T226" i="8"/>
  <c r="K267" i="8"/>
  <c r="N267" i="8" s="1"/>
  <c r="O268" i="8" s="1"/>
  <c r="K319" i="8"/>
  <c r="N319" i="8" s="1"/>
  <c r="O320" i="8" s="1"/>
  <c r="K260" i="8"/>
  <c r="N260" i="8" s="1"/>
  <c r="O261" i="8" s="1"/>
  <c r="K305" i="8"/>
  <c r="N305" i="8" s="1"/>
  <c r="O306" i="8" s="1"/>
  <c r="T248" i="8"/>
  <c r="V248" i="8" s="1"/>
  <c r="T290" i="8"/>
  <c r="V290" i="8" s="1"/>
  <c r="K318" i="8"/>
  <c r="N318" i="8" s="1"/>
  <c r="O319" i="8" s="1"/>
  <c r="K329" i="8"/>
  <c r="N329" i="8" s="1"/>
  <c r="O330" i="8" s="1"/>
  <c r="T326" i="8"/>
  <c r="T385" i="8"/>
  <c r="T302" i="8"/>
  <c r="T346" i="8"/>
  <c r="T233" i="8"/>
  <c r="V233" i="8" s="1"/>
  <c r="K340" i="8"/>
  <c r="N340" i="8" s="1"/>
  <c r="O341" i="8" s="1"/>
  <c r="T340" i="8"/>
  <c r="T390" i="8"/>
  <c r="V390" i="8" s="1"/>
  <c r="T354" i="8"/>
  <c r="V354" i="8" s="1"/>
  <c r="K423" i="8"/>
  <c r="N423" i="8" s="1"/>
  <c r="O424" i="8" s="1"/>
  <c r="K432" i="8"/>
  <c r="N432" i="8" s="1"/>
  <c r="O433" i="8" s="1"/>
  <c r="T489" i="8"/>
  <c r="V489" i="8" s="1"/>
  <c r="T508" i="8"/>
  <c r="T333" i="8"/>
  <c r="T445" i="8"/>
  <c r="T434" i="8"/>
  <c r="K472" i="8"/>
  <c r="N472" i="8" s="1"/>
  <c r="O473" i="8" s="1"/>
  <c r="T491" i="8"/>
  <c r="V491" i="8" s="1"/>
  <c r="K102" i="8"/>
  <c r="N102" i="8" s="1"/>
  <c r="O103" i="8" s="1"/>
  <c r="T266" i="8"/>
  <c r="K78" i="8"/>
  <c r="N78" i="8" s="1"/>
  <c r="O79" i="8" s="1"/>
  <c r="T133" i="8"/>
  <c r="V133" i="8" s="1"/>
  <c r="T77" i="8"/>
  <c r="V77" i="8" s="1"/>
  <c r="K129" i="8"/>
  <c r="N129" i="8" s="1"/>
  <c r="O130" i="8" s="1"/>
  <c r="K110" i="8"/>
  <c r="N110" i="8" s="1"/>
  <c r="O111" i="8" s="1"/>
  <c r="K274" i="8"/>
  <c r="N274" i="8" s="1"/>
  <c r="O275" i="8" s="1"/>
  <c r="K174" i="8"/>
  <c r="N174" i="8" s="1"/>
  <c r="O175" i="8" s="1"/>
  <c r="T201" i="8"/>
  <c r="K237" i="8"/>
  <c r="N237" i="8" s="1"/>
  <c r="O238" i="8" s="1"/>
  <c r="T245" i="8"/>
  <c r="V245" i="8" s="1"/>
  <c r="K314" i="8"/>
  <c r="N314" i="8" s="1"/>
  <c r="O315" i="8" s="1"/>
  <c r="T249" i="8"/>
  <c r="K240" i="8"/>
  <c r="N240" i="8" s="1"/>
  <c r="O241" i="8" s="1"/>
  <c r="T305" i="8"/>
  <c r="T345" i="8"/>
  <c r="K299" i="8"/>
  <c r="N299" i="8" s="1"/>
  <c r="O300" i="8" s="1"/>
  <c r="T359" i="8"/>
  <c r="T369" i="8"/>
  <c r="V369" i="8" s="1"/>
  <c r="T410" i="8"/>
  <c r="K282" i="8"/>
  <c r="N282" i="8" s="1"/>
  <c r="O283" i="8" s="1"/>
  <c r="T355" i="8"/>
  <c r="V355" i="8" s="1"/>
  <c r="K424" i="8"/>
  <c r="N424" i="8" s="1"/>
  <c r="O425" i="8" s="1"/>
  <c r="T481" i="8"/>
  <c r="V481" i="8" s="1"/>
  <c r="T449" i="8"/>
  <c r="V449" i="8" s="1"/>
  <c r="T464" i="8"/>
  <c r="V464" i="8" s="1"/>
  <c r="K306" i="8"/>
  <c r="N306" i="8" s="1"/>
  <c r="O307" i="8" s="1"/>
  <c r="T484" i="8"/>
  <c r="T109" i="8"/>
  <c r="V109" i="8" s="1"/>
  <c r="T74" i="8"/>
  <c r="V74" i="8" s="1"/>
  <c r="T61" i="8"/>
  <c r="V61" i="8" s="1"/>
  <c r="T75" i="8"/>
  <c r="V75" i="8" s="1"/>
  <c r="K80" i="8"/>
  <c r="N80" i="8" s="1"/>
  <c r="O81" i="8" s="1"/>
  <c r="T83" i="8"/>
  <c r="V83" i="8" s="1"/>
  <c r="K115" i="8"/>
  <c r="N115" i="8" s="1"/>
  <c r="O116" i="8" s="1"/>
  <c r="K40" i="8"/>
  <c r="N40" i="8" s="1"/>
  <c r="O41" i="8" s="1"/>
  <c r="T79" i="8"/>
  <c r="V79" i="8" s="1"/>
  <c r="K64" i="8"/>
  <c r="N64" i="8" s="1"/>
  <c r="O65" i="8" s="1"/>
  <c r="K60" i="8"/>
  <c r="N60" i="8" s="1"/>
  <c r="O61" i="8" s="1"/>
  <c r="K116" i="8"/>
  <c r="N116" i="8" s="1"/>
  <c r="O117" i="8" s="1"/>
  <c r="T37" i="8"/>
  <c r="T112" i="8"/>
  <c r="K139" i="8"/>
  <c r="N139" i="8" s="1"/>
  <c r="O140" i="8" s="1"/>
  <c r="K90" i="8"/>
  <c r="N90" i="8" s="1"/>
  <c r="O91" i="8" s="1"/>
  <c r="T108" i="8"/>
  <c r="K120" i="8"/>
  <c r="N120" i="8" s="1"/>
  <c r="O121" i="8" s="1"/>
  <c r="T160" i="8"/>
  <c r="T156" i="8"/>
  <c r="V156" i="8" s="1"/>
  <c r="K218" i="8"/>
  <c r="N218" i="8" s="1"/>
  <c r="O219" i="8" s="1"/>
  <c r="T164" i="8"/>
  <c r="V164" i="8" s="1"/>
  <c r="K221" i="8"/>
  <c r="N221" i="8" s="1"/>
  <c r="O222" i="8" s="1"/>
  <c r="K109" i="8"/>
  <c r="N109" i="8" s="1"/>
  <c r="O110" i="8" s="1"/>
  <c r="K209" i="8"/>
  <c r="N209" i="8" s="1"/>
  <c r="O210" i="8" s="1"/>
  <c r="T219" i="8"/>
  <c r="K244" i="8"/>
  <c r="N244" i="8" s="1"/>
  <c r="O245" i="8" s="1"/>
  <c r="T261" i="8"/>
  <c r="T238" i="8"/>
  <c r="V238" i="8" s="1"/>
  <c r="K196" i="8"/>
  <c r="N196" i="8" s="1"/>
  <c r="O197" i="8" s="1"/>
  <c r="T213" i="8"/>
  <c r="V213" i="8" s="1"/>
  <c r="T281" i="8"/>
  <c r="T365" i="8"/>
  <c r="T360" i="8"/>
  <c r="T400" i="8"/>
  <c r="T330" i="8"/>
  <c r="K311" i="8"/>
  <c r="N311" i="8" s="1"/>
  <c r="O312" i="8" s="1"/>
  <c r="T336" i="8"/>
  <c r="V336" i="8" s="1"/>
  <c r="T344" i="8"/>
  <c r="V344" i="8" s="1"/>
  <c r="K356" i="8"/>
  <c r="N356" i="8" s="1"/>
  <c r="O357" i="8" s="1"/>
  <c r="K286" i="8"/>
  <c r="N286" i="8" s="1"/>
  <c r="O287" i="8" s="1"/>
  <c r="T392" i="8"/>
  <c r="T465" i="8"/>
  <c r="V465" i="8" s="1"/>
  <c r="K392" i="8"/>
  <c r="N392" i="8" s="1"/>
  <c r="O393" i="8" s="1"/>
  <c r="K406" i="8"/>
  <c r="N406" i="8" s="1"/>
  <c r="O407" i="8" s="1"/>
  <c r="K495" i="8"/>
  <c r="N495" i="8" s="1"/>
  <c r="O496" i="8" s="1"/>
  <c r="G36" i="9" l="1"/>
  <c r="V497" i="8"/>
  <c r="V167" i="8"/>
  <c r="V421" i="8"/>
  <c r="V63" i="8"/>
  <c r="V28" i="8"/>
  <c r="V427" i="8"/>
  <c r="V453" i="8"/>
  <c r="V82" i="8"/>
  <c r="V228" i="8"/>
  <c r="V27" i="8"/>
  <c r="V360" i="8"/>
  <c r="V84" i="8"/>
  <c r="L454" i="8"/>
  <c r="V135" i="8"/>
  <c r="V151" i="8"/>
  <c r="V422" i="8"/>
  <c r="V454" i="8"/>
  <c r="V230" i="8"/>
  <c r="V297" i="8"/>
  <c r="V292" i="8"/>
  <c r="V296" i="8"/>
  <c r="V340" i="8"/>
  <c r="V339" i="8"/>
  <c r="V104" i="8"/>
  <c r="V99" i="8"/>
  <c r="V295" i="8"/>
  <c r="V333" i="8"/>
  <c r="V229" i="8"/>
  <c r="V260" i="8"/>
  <c r="V493" i="8"/>
  <c r="V343" i="8"/>
  <c r="V134" i="8"/>
  <c r="V94" i="8"/>
  <c r="V64" i="8"/>
  <c r="V376" i="8"/>
  <c r="V102" i="8"/>
  <c r="V60" i="8"/>
  <c r="V153" i="8"/>
  <c r="L225" i="8"/>
  <c r="V93" i="8"/>
  <c r="V451" i="8"/>
  <c r="V337" i="8"/>
  <c r="V456" i="8"/>
  <c r="V387" i="8"/>
  <c r="V43" i="8"/>
  <c r="V392" i="8"/>
  <c r="V423" i="8"/>
  <c r="V321" i="8"/>
  <c r="V361" i="8"/>
  <c r="V359" i="8"/>
  <c r="V206" i="8"/>
  <c r="V241" i="8"/>
  <c r="V66" i="8"/>
  <c r="V411" i="8"/>
  <c r="V188" i="8"/>
  <c r="V338" i="8"/>
  <c r="V452" i="8"/>
  <c r="V420" i="8"/>
  <c r="V189" i="8"/>
  <c r="L371" i="8"/>
  <c r="L366" i="8"/>
  <c r="V280" i="8"/>
  <c r="V429" i="8"/>
  <c r="V155" i="8"/>
  <c r="V259" i="8"/>
  <c r="V460" i="8"/>
  <c r="V158" i="8"/>
  <c r="V154" i="8"/>
  <c r="V358" i="8"/>
  <c r="V326" i="8"/>
  <c r="V226" i="8"/>
  <c r="V484" i="8"/>
  <c r="V278" i="8"/>
  <c r="V127" i="8"/>
  <c r="V222" i="8"/>
  <c r="V97" i="8"/>
  <c r="V201" i="8"/>
  <c r="V346" i="8"/>
  <c r="V128" i="8"/>
  <c r="V510" i="8"/>
  <c r="V443" i="8"/>
  <c r="V88" i="8"/>
  <c r="V485" i="8"/>
  <c r="V227" i="8"/>
  <c r="V59" i="8"/>
  <c r="V166" i="8"/>
  <c r="V198" i="8"/>
  <c r="V373" i="8"/>
  <c r="V205" i="8"/>
  <c r="V65" i="8"/>
  <c r="V114" i="8"/>
  <c r="V347" i="8"/>
  <c r="V231" i="8"/>
  <c r="V404" i="8"/>
  <c r="V459" i="8"/>
  <c r="V450" i="8"/>
  <c r="V103" i="8"/>
  <c r="V90" i="8"/>
  <c r="V171" i="8"/>
  <c r="V310" i="8"/>
  <c r="L92" i="8"/>
  <c r="V55" i="8"/>
  <c r="V334" i="8"/>
  <c r="V235" i="8"/>
  <c r="V412" i="8"/>
  <c r="V96" i="8"/>
  <c r="V407" i="8"/>
  <c r="V139" i="8"/>
  <c r="V291" i="8"/>
  <c r="V85" i="8"/>
  <c r="V345" i="8"/>
  <c r="V501" i="8"/>
  <c r="V325" i="8"/>
  <c r="V62" i="8"/>
  <c r="V67" i="8"/>
  <c r="V492" i="8"/>
  <c r="V195" i="8"/>
  <c r="V342" i="8"/>
  <c r="V448" i="8"/>
  <c r="V232" i="8"/>
  <c r="V182" i="8"/>
  <c r="L317" i="8"/>
  <c r="L126" i="8"/>
  <c r="V362" i="8"/>
  <c r="V375" i="8"/>
  <c r="V335" i="8"/>
  <c r="V409" i="8"/>
  <c r="V474" i="8"/>
  <c r="V322" i="8"/>
  <c r="V391" i="8"/>
  <c r="V505" i="8"/>
  <c r="V183" i="8"/>
  <c r="V47" i="8"/>
  <c r="V424" i="8"/>
  <c r="V48" i="8"/>
  <c r="V112" i="8"/>
  <c r="V508" i="8"/>
  <c r="V200" i="8"/>
  <c r="V131" i="8"/>
  <c r="V91" i="8"/>
  <c r="V215" i="8"/>
  <c r="V414" i="8"/>
  <c r="V204" i="8"/>
  <c r="V275" i="8"/>
  <c r="V304" i="8"/>
  <c r="V382" i="8"/>
  <c r="V214" i="8"/>
  <c r="V490" i="8"/>
  <c r="V403" i="8"/>
  <c r="L427" i="8"/>
  <c r="V100" i="8"/>
  <c r="V125" i="8"/>
  <c r="V274" i="8"/>
  <c r="V303" i="8"/>
  <c r="V54" i="8"/>
  <c r="V476" i="8"/>
  <c r="V250" i="8"/>
  <c r="V285" i="8"/>
  <c r="V432" i="8"/>
  <c r="V202" i="8"/>
  <c r="V105" i="8"/>
  <c r="L334" i="8"/>
  <c r="V26" i="8"/>
  <c r="V32" i="8"/>
  <c r="D32" i="9" s="1"/>
  <c r="R32" i="9" s="1"/>
  <c r="V69" i="8"/>
  <c r="V507" i="8"/>
  <c r="V208" i="8"/>
  <c r="V442" i="8"/>
  <c r="V243" i="8"/>
  <c r="V35" i="8"/>
  <c r="D35" i="9" s="1"/>
  <c r="R35" i="9" s="1"/>
  <c r="V237" i="8"/>
  <c r="V306" i="8"/>
  <c r="V399" i="8"/>
  <c r="V31" i="8"/>
  <c r="V463" i="8"/>
  <c r="V330" i="8"/>
  <c r="V261" i="8"/>
  <c r="V302" i="8"/>
  <c r="V101" i="8"/>
  <c r="V440" i="8"/>
  <c r="V197" i="8"/>
  <c r="V223" i="8"/>
  <c r="V177" i="8"/>
  <c r="V196" i="8"/>
  <c r="V180" i="8"/>
  <c r="V178" i="8"/>
  <c r="V51" i="8"/>
  <c r="V299" i="8"/>
  <c r="V287" i="8"/>
  <c r="V475" i="8"/>
  <c r="V381" i="8"/>
  <c r="V45" i="8"/>
  <c r="D45" i="9" s="1"/>
  <c r="R45" i="9" s="1"/>
  <c r="V364" i="8"/>
  <c r="L269" i="8"/>
  <c r="V328" i="8"/>
  <c r="V169" i="8"/>
  <c r="V116" i="8"/>
  <c r="V433" i="8"/>
  <c r="V323" i="8"/>
  <c r="V58" i="8"/>
  <c r="V500" i="8"/>
  <c r="V42" i="8"/>
  <c r="D42" i="9" s="1"/>
  <c r="R42" i="9" s="1"/>
  <c r="V276" i="8"/>
  <c r="L345" i="8"/>
  <c r="V400" i="8"/>
  <c r="V160" i="8"/>
  <c r="V431" i="8"/>
  <c r="V181" i="8"/>
  <c r="V115" i="8"/>
  <c r="V161" i="8"/>
  <c r="V190" i="8"/>
  <c r="V309" i="8"/>
  <c r="V46" i="8"/>
  <c r="V132" i="8"/>
  <c r="V256" i="8"/>
  <c r="V224" i="8"/>
  <c r="V384" i="8"/>
  <c r="V120" i="8"/>
  <c r="V33" i="8"/>
  <c r="V174" i="8"/>
  <c r="V124" i="8"/>
  <c r="V467" i="8"/>
  <c r="V368" i="8"/>
  <c r="L378" i="8"/>
  <c r="V253" i="8"/>
  <c r="V468" i="8"/>
  <c r="V255" i="8"/>
  <c r="V371" i="8"/>
  <c r="V199" i="8"/>
  <c r="V119" i="8"/>
  <c r="V288" i="8"/>
  <c r="V318" i="8"/>
  <c r="V146" i="8"/>
  <c r="V509" i="8"/>
  <c r="V370" i="8"/>
  <c r="V56" i="8"/>
  <c r="V175" i="8"/>
  <c r="V308" i="8"/>
  <c r="V305" i="8"/>
  <c r="V385" i="8"/>
  <c r="V219" i="8"/>
  <c r="V499" i="8"/>
  <c r="V367" i="8"/>
  <c r="V283" i="8"/>
  <c r="V441" i="8"/>
  <c r="V92" i="8"/>
  <c r="V502" i="8"/>
  <c r="V293" i="8"/>
  <c r="V52" i="8"/>
  <c r="V504" i="8"/>
  <c r="V143" i="8"/>
  <c r="V137" i="8"/>
  <c r="V130" i="8"/>
  <c r="V95" i="8"/>
  <c r="V286" i="8"/>
  <c r="V415" i="8"/>
  <c r="V217" i="8"/>
  <c r="V254" i="8"/>
  <c r="V118" i="8"/>
  <c r="V147" i="8"/>
  <c r="V503" i="8"/>
  <c r="V426" i="8"/>
  <c r="V405" i="8"/>
  <c r="V34" i="8"/>
  <c r="D34" i="9" s="1"/>
  <c r="R34" i="9" s="1"/>
  <c r="V41" i="8"/>
  <c r="V365" i="8"/>
  <c r="V434" i="8"/>
  <c r="V380" i="8"/>
  <c r="V170" i="8"/>
  <c r="V469" i="8"/>
  <c r="V57" i="8"/>
  <c r="V401" i="8"/>
  <c r="V316" i="8"/>
  <c r="V148" i="8"/>
  <c r="V209" i="8"/>
  <c r="V141" i="8"/>
  <c r="V53" i="8"/>
  <c r="V444" i="8"/>
  <c r="V179" i="8"/>
  <c r="V25" i="8"/>
  <c r="V379" i="8"/>
  <c r="V402" i="8"/>
  <c r="V378" i="8"/>
  <c r="V220" i="8"/>
  <c r="V472" i="8"/>
  <c r="V68" i="8"/>
  <c r="V479" i="8"/>
  <c r="L292" i="8"/>
  <c r="V284" i="8"/>
  <c r="V473" i="8"/>
  <c r="V70" i="8"/>
  <c r="V470" i="8"/>
  <c r="V438" i="8"/>
  <c r="V273" i="8"/>
  <c r="V136" i="8"/>
  <c r="V270" i="8"/>
  <c r="V37" i="8"/>
  <c r="D37" i="9" s="1"/>
  <c r="R37" i="9" s="1"/>
  <c r="V266" i="8"/>
  <c r="V186" i="8"/>
  <c r="V176" i="8"/>
  <c r="V437" i="8"/>
  <c r="V282" i="8"/>
  <c r="V108" i="8"/>
  <c r="V249" i="8"/>
  <c r="V281" i="8"/>
  <c r="V410" i="8"/>
  <c r="V445" i="8"/>
  <c r="V277" i="8"/>
  <c r="V203" i="8"/>
  <c r="V315" i="8"/>
  <c r="V462" i="8"/>
  <c r="V351" i="8"/>
  <c r="V294" i="8"/>
  <c r="V257" i="8"/>
  <c r="V111" i="8"/>
  <c r="V471" i="8"/>
  <c r="V191" i="8"/>
  <c r="V107" i="8"/>
  <c r="V300" i="8"/>
  <c r="V106" i="8"/>
  <c r="V439" i="8"/>
  <c r="V314" i="8"/>
  <c r="V142" i="8"/>
  <c r="V331" i="8"/>
  <c r="V117" i="8"/>
  <c r="V173" i="8"/>
  <c r="V329" i="8"/>
  <c r="L198" i="8"/>
  <c r="V267" i="8"/>
  <c r="V187" i="8"/>
  <c r="V425" i="8"/>
  <c r="V236" i="8"/>
  <c r="V218" i="8"/>
  <c r="V242" i="8"/>
  <c r="D43" i="9"/>
  <c r="R43" i="9" s="1"/>
  <c r="D44" i="9"/>
  <c r="R44" i="9" s="1"/>
  <c r="L374" i="8"/>
  <c r="L85" i="8"/>
  <c r="L418" i="8"/>
  <c r="L326" i="8"/>
  <c r="L118" i="8"/>
  <c r="L113" i="8"/>
  <c r="L341" i="8"/>
  <c r="D40" i="9"/>
  <c r="R40" i="9" s="1"/>
  <c r="D33" i="9"/>
  <c r="R33" i="9" s="1"/>
  <c r="L289" i="8"/>
  <c r="L157" i="8"/>
  <c r="L243" i="8"/>
  <c r="L199" i="8"/>
  <c r="D38" i="9"/>
  <c r="R38" i="9" s="1"/>
  <c r="D39" i="9"/>
  <c r="R39" i="9" s="1"/>
  <c r="D36" i="9"/>
  <c r="R36" i="9" s="1"/>
  <c r="D41" i="9"/>
  <c r="R41" i="9" s="1"/>
  <c r="L455" i="8"/>
  <c r="L208" i="8"/>
  <c r="L151" i="8"/>
  <c r="L263" i="8"/>
  <c r="L333" i="8"/>
  <c r="L278" i="8"/>
  <c r="L145" i="8"/>
  <c r="L348" i="8"/>
  <c r="L370" i="8"/>
  <c r="L296" i="8"/>
  <c r="L279" i="8"/>
  <c r="L328" i="8"/>
  <c r="L89" i="8"/>
  <c r="L481" i="8"/>
  <c r="L259" i="8"/>
  <c r="L155" i="8"/>
  <c r="L453" i="8"/>
  <c r="L504" i="8"/>
  <c r="L247" i="8"/>
  <c r="L195" i="8"/>
  <c r="L501" i="8"/>
  <c r="L163" i="8"/>
  <c r="L498" i="8"/>
  <c r="L167" i="8"/>
  <c r="L180" i="8"/>
  <c r="L162" i="8"/>
  <c r="L456" i="8"/>
  <c r="L449" i="8"/>
  <c r="L494" i="8"/>
  <c r="L480" i="8"/>
  <c r="L150" i="8"/>
  <c r="L474" i="8"/>
  <c r="L236" i="8"/>
  <c r="L327" i="8"/>
  <c r="L81" i="8"/>
  <c r="L216" i="8"/>
  <c r="L280" i="8"/>
  <c r="L204" i="8"/>
  <c r="L147" i="8"/>
  <c r="L446" i="8"/>
  <c r="L450" i="8"/>
  <c r="L379" i="8"/>
  <c r="L93" i="8"/>
  <c r="L363" i="8"/>
  <c r="L158" i="8"/>
  <c r="L436" i="8"/>
  <c r="L485" i="8"/>
  <c r="L276" i="8"/>
  <c r="L284" i="8"/>
  <c r="L505" i="8"/>
  <c r="L457" i="8"/>
  <c r="L411" i="8"/>
  <c r="L488" i="8"/>
  <c r="L383" i="8"/>
  <c r="L502" i="8"/>
  <c r="L159" i="8"/>
  <c r="L211" i="8"/>
  <c r="L399" i="8"/>
  <c r="L271" i="8"/>
  <c r="L503" i="8"/>
  <c r="L294" i="8"/>
  <c r="L186" i="8"/>
  <c r="L183" i="8"/>
  <c r="L358" i="8"/>
  <c r="L509" i="8"/>
  <c r="L308" i="8"/>
  <c r="L452" i="8"/>
  <c r="L297" i="8"/>
  <c r="L469" i="8"/>
  <c r="L101" i="8"/>
  <c r="L309" i="8"/>
  <c r="L435" i="8"/>
  <c r="L426" i="8"/>
  <c r="L508" i="8"/>
  <c r="L182" i="8"/>
  <c r="L492" i="8"/>
  <c r="L205" i="8"/>
  <c r="L483" i="8"/>
  <c r="N483" i="8"/>
  <c r="O484" i="8" s="1"/>
  <c r="L493" i="8"/>
  <c r="L445" i="8"/>
  <c r="L149" i="8"/>
  <c r="N149" i="8"/>
  <c r="O150" i="8" s="1"/>
  <c r="L422" i="8"/>
  <c r="L471" i="8"/>
  <c r="L482" i="8"/>
  <c r="L253" i="8"/>
  <c r="L350" i="8"/>
  <c r="L293" i="8"/>
  <c r="N293" i="8"/>
  <c r="O294" i="8" s="1"/>
  <c r="L451" i="8"/>
  <c r="N451" i="8"/>
  <c r="O452" i="8" s="1"/>
  <c r="L335" i="8"/>
  <c r="N335" i="8"/>
  <c r="O336" i="8" s="1"/>
  <c r="L192" i="8"/>
  <c r="N192" i="8"/>
  <c r="O193" i="8" s="1"/>
  <c r="L144" i="8"/>
  <c r="N144" i="8"/>
  <c r="O145" i="8" s="1"/>
  <c r="L190" i="8"/>
  <c r="N190" i="8"/>
  <c r="O191" i="8" s="1"/>
  <c r="L191" i="8"/>
  <c r="N191" i="8"/>
  <c r="O192" i="8" s="1"/>
  <c r="L487" i="8"/>
  <c r="L351" i="8"/>
  <c r="N351" i="8"/>
  <c r="O352" i="8" s="1"/>
  <c r="L470" i="8"/>
  <c r="N470" i="8"/>
  <c r="O471" i="8" s="1"/>
  <c r="L166" i="8"/>
  <c r="N166" i="8"/>
  <c r="O167" i="8" s="1"/>
  <c r="L242" i="8"/>
  <c r="L154" i="8"/>
  <c r="N154" i="8"/>
  <c r="O155" i="8" s="1"/>
  <c r="L484" i="8"/>
  <c r="N484" i="8"/>
  <c r="O485" i="8" s="1"/>
  <c r="L510" i="8"/>
  <c r="N510" i="8"/>
  <c r="L475" i="8"/>
  <c r="N475" i="8"/>
  <c r="O476" i="8" s="1"/>
  <c r="L129" i="8"/>
  <c r="L362" i="8"/>
  <c r="L270" i="8"/>
  <c r="L406" i="8"/>
  <c r="L311" i="8"/>
  <c r="L306" i="8"/>
  <c r="L314" i="8"/>
  <c r="L472" i="8"/>
  <c r="L267" i="8"/>
  <c r="L83" i="8"/>
  <c r="L170" i="8"/>
  <c r="L413" i="8"/>
  <c r="L460" i="8"/>
  <c r="L353" i="8"/>
  <c r="L304" i="8"/>
  <c r="L194" i="8"/>
  <c r="L175" i="8"/>
  <c r="L87" i="8"/>
  <c r="L368" i="8"/>
  <c r="L181" i="8"/>
  <c r="L312" i="8"/>
  <c r="L301" i="8"/>
  <c r="L108" i="8"/>
  <c r="L500" i="8"/>
  <c r="L375" i="8"/>
  <c r="L257" i="8"/>
  <c r="L235" i="8"/>
  <c r="L176" i="8"/>
  <c r="L133" i="8"/>
  <c r="L117" i="8"/>
  <c r="L169" i="8"/>
  <c r="L381" i="8"/>
  <c r="L140" i="8"/>
  <c r="L369" i="8"/>
  <c r="L264" i="8"/>
  <c r="L373" i="8"/>
  <c r="L224" i="8"/>
  <c r="L97" i="8"/>
  <c r="L365" i="8"/>
  <c r="L249" i="8"/>
  <c r="L229" i="8"/>
  <c r="L479" i="8"/>
  <c r="L188" i="8"/>
  <c r="L420" i="8"/>
  <c r="L402" i="8"/>
  <c r="L321" i="8"/>
  <c r="L252" i="8"/>
  <c r="L320" i="8"/>
  <c r="L125" i="8"/>
  <c r="L336" i="8"/>
  <c r="L372" i="8"/>
  <c r="L88" i="8"/>
  <c r="L184" i="8"/>
  <c r="L367" i="8"/>
  <c r="L392" i="8"/>
  <c r="L218" i="8"/>
  <c r="L80" i="8"/>
  <c r="L128" i="8"/>
  <c r="L403" i="8"/>
  <c r="L288" i="8"/>
  <c r="L63" i="8"/>
  <c r="L466" i="8"/>
  <c r="L165" i="8"/>
  <c r="L499" i="8"/>
  <c r="L417" i="8"/>
  <c r="L268" i="8"/>
  <c r="L164" i="8"/>
  <c r="L103" i="8"/>
  <c r="L389" i="8"/>
  <c r="L387" i="8"/>
  <c r="L396" i="8"/>
  <c r="L246" i="8"/>
  <c r="L401" i="8"/>
  <c r="L106" i="8"/>
  <c r="L91" i="8"/>
  <c r="L409" i="8"/>
  <c r="L105" i="8"/>
  <c r="L291" i="8"/>
  <c r="L262" i="8"/>
  <c r="L251" i="8"/>
  <c r="L230" i="8"/>
  <c r="L172" i="8"/>
  <c r="L283" i="8"/>
  <c r="L273" i="8"/>
  <c r="L73" i="8"/>
  <c r="L254" i="8"/>
  <c r="L463" i="8"/>
  <c r="L380" i="8"/>
  <c r="L415" i="8"/>
  <c r="L329" i="8"/>
  <c r="L215" i="8"/>
  <c r="L266" i="8"/>
  <c r="L214" i="8"/>
  <c r="L244" i="8"/>
  <c r="L116" i="8"/>
  <c r="L237" i="8"/>
  <c r="L318" i="8"/>
  <c r="L421" i="8"/>
  <c r="L416" i="8"/>
  <c r="L241" i="8"/>
  <c r="L202" i="8"/>
  <c r="L173" i="8"/>
  <c r="L148" i="8"/>
  <c r="L67" i="8"/>
  <c r="L433" i="8"/>
  <c r="L193" i="8"/>
  <c r="L447" i="8"/>
  <c r="L272" i="8"/>
  <c r="L156" i="8"/>
  <c r="L137" i="8"/>
  <c r="L344" i="8"/>
  <c r="L223" i="8"/>
  <c r="L412" i="8"/>
  <c r="L441" i="8"/>
  <c r="L68" i="8"/>
  <c r="L478" i="8"/>
  <c r="L76" i="8"/>
  <c r="L153" i="8"/>
  <c r="L132" i="8"/>
  <c r="L228" i="8"/>
  <c r="L258" i="8"/>
  <c r="L360" i="8"/>
  <c r="L299" i="8"/>
  <c r="L78" i="8"/>
  <c r="L340" i="8"/>
  <c r="L206" i="8"/>
  <c r="L397" i="8"/>
  <c r="L428" i="8"/>
  <c r="L220" i="8"/>
  <c r="L138" i="8"/>
  <c r="L322" i="8"/>
  <c r="L82" i="8"/>
  <c r="L134" i="8"/>
  <c r="L458" i="8"/>
  <c r="L315" i="8"/>
  <c r="L290" i="8"/>
  <c r="L160" i="8"/>
  <c r="L302" i="8"/>
  <c r="L349" i="8"/>
  <c r="L255" i="8"/>
  <c r="L343" i="8"/>
  <c r="L385" i="8"/>
  <c r="L440" i="8"/>
  <c r="L339" i="8"/>
  <c r="L285" i="8"/>
  <c r="L410" i="8"/>
  <c r="L178" i="8"/>
  <c r="L325" i="8"/>
  <c r="L384" i="8"/>
  <c r="L127" i="8"/>
  <c r="L210" i="8"/>
  <c r="L461" i="8"/>
  <c r="L112" i="8"/>
  <c r="L226" i="8"/>
  <c r="L300" i="8"/>
  <c r="L337" i="8"/>
  <c r="L286" i="8"/>
  <c r="L209" i="8"/>
  <c r="L120" i="8"/>
  <c r="L64" i="8"/>
  <c r="L424" i="8"/>
  <c r="L174" i="8"/>
  <c r="L171" i="8"/>
  <c r="L94" i="8"/>
  <c r="L146" i="8"/>
  <c r="L491" i="8"/>
  <c r="L405" i="8"/>
  <c r="L84" i="8"/>
  <c r="L70" i="8"/>
  <c r="L448" i="8"/>
  <c r="L507" i="8"/>
  <c r="L234" i="8"/>
  <c r="L86" i="8"/>
  <c r="L275" i="8"/>
  <c r="L222" i="8"/>
  <c r="L114" i="8"/>
  <c r="L377" i="8"/>
  <c r="L361" i="8"/>
  <c r="L213" i="8"/>
  <c r="L307" i="8"/>
  <c r="L203" i="8"/>
  <c r="L100" i="8"/>
  <c r="L121" i="8"/>
  <c r="L207" i="8"/>
  <c r="L142" i="8"/>
  <c r="L332" i="8"/>
  <c r="L104" i="8"/>
  <c r="L316" i="8"/>
  <c r="L425" i="8"/>
  <c r="L61" i="8"/>
  <c r="L429" i="8"/>
  <c r="L437" i="8"/>
  <c r="L250" i="8"/>
  <c r="L298" i="8"/>
  <c r="L342" i="8"/>
  <c r="L390" i="8"/>
  <c r="L69" i="8"/>
  <c r="L398" i="8"/>
  <c r="L352" i="8"/>
  <c r="L71" i="8"/>
  <c r="L489" i="8"/>
  <c r="L274" i="8"/>
  <c r="L77" i="8"/>
  <c r="L431" i="8"/>
  <c r="L443" i="8"/>
  <c r="L122" i="8"/>
  <c r="L408" i="8"/>
  <c r="L331" i="8"/>
  <c r="L324" i="8"/>
  <c r="L245" i="8"/>
  <c r="L79" i="8"/>
  <c r="L107" i="8"/>
  <c r="L130" i="8"/>
  <c r="L177" i="8"/>
  <c r="L124" i="8"/>
  <c r="L74" i="8"/>
  <c r="L462" i="8"/>
  <c r="L395" i="8"/>
  <c r="L404" i="8"/>
  <c r="L434" i="8"/>
  <c r="L330" i="8"/>
  <c r="L238" i="8"/>
  <c r="L179" i="8"/>
  <c r="L295" i="8"/>
  <c r="L310" i="8"/>
  <c r="L393" i="8"/>
  <c r="L119" i="8"/>
  <c r="L477" i="8"/>
  <c r="L506" i="8"/>
  <c r="L464" i="8"/>
  <c r="L109" i="8"/>
  <c r="L305" i="8"/>
  <c r="L354" i="8"/>
  <c r="L221" i="8"/>
  <c r="L240" i="8"/>
  <c r="L110" i="8"/>
  <c r="L102" i="8"/>
  <c r="L432" i="8"/>
  <c r="L260" i="8"/>
  <c r="L231" i="8"/>
  <c r="L168" i="8"/>
  <c r="L490" i="8"/>
  <c r="L388" i="8"/>
  <c r="L346" i="8"/>
  <c r="L233" i="8"/>
  <c r="L265" i="8"/>
  <c r="L135" i="8"/>
  <c r="L111" i="8"/>
  <c r="L65" i="8"/>
  <c r="L303" i="8"/>
  <c r="L496" i="8"/>
  <c r="L256" i="8"/>
  <c r="L197" i="8"/>
  <c r="L62" i="8"/>
  <c r="L219" i="8"/>
  <c r="L141" i="8"/>
  <c r="L95" i="8"/>
  <c r="L497" i="8"/>
  <c r="L75" i="8"/>
  <c r="L232" i="8"/>
  <c r="L239" i="8"/>
  <c r="L467" i="8"/>
  <c r="L376" i="8"/>
  <c r="L123" i="8"/>
  <c r="L391" i="8"/>
  <c r="L465" i="8"/>
  <c r="L261" i="8"/>
  <c r="L131" i="8"/>
  <c r="L364" i="8"/>
  <c r="L356" i="8"/>
  <c r="L90" i="8"/>
  <c r="L495" i="8"/>
  <c r="L196" i="8"/>
  <c r="L139" i="8"/>
  <c r="L115" i="8"/>
  <c r="L282" i="8"/>
  <c r="L423" i="8"/>
  <c r="L319" i="8"/>
  <c r="L227" i="8"/>
  <c r="L347" i="8"/>
  <c r="L248" i="8"/>
  <c r="L152" i="8"/>
  <c r="L99" i="8"/>
  <c r="L212" i="8"/>
  <c r="L185" i="8"/>
  <c r="L143" i="8"/>
  <c r="L442" i="8"/>
  <c r="L430" i="8"/>
  <c r="L323" i="8"/>
  <c r="L189" i="8"/>
  <c r="L473" i="8"/>
  <c r="L444" i="8"/>
  <c r="L459" i="8"/>
  <c r="L200" i="8"/>
  <c r="L96" i="8"/>
  <c r="L201" i="8"/>
  <c r="L386" i="8"/>
  <c r="L355" i="8"/>
  <c r="L136" i="8"/>
  <c r="L357" i="8"/>
  <c r="L438" i="8"/>
  <c r="L72" i="8"/>
  <c r="L313" i="8"/>
  <c r="L287" i="8"/>
  <c r="L400" i="8"/>
  <c r="L98" i="8"/>
  <c r="L439" i="8"/>
  <c r="L419" i="8"/>
  <c r="B10" i="8"/>
  <c r="C10" i="8"/>
  <c r="D10" i="8"/>
  <c r="E10" i="8"/>
  <c r="F10" i="8"/>
  <c r="G10" i="8"/>
  <c r="B11" i="8"/>
  <c r="C11" i="8"/>
  <c r="D11" i="8"/>
  <c r="E11" i="8"/>
  <c r="F11" i="8"/>
  <c r="G11" i="8"/>
  <c r="B12" i="8"/>
  <c r="C12" i="8"/>
  <c r="D12" i="8"/>
  <c r="E12" i="8"/>
  <c r="F12" i="8"/>
  <c r="G12" i="8"/>
  <c r="B13" i="8"/>
  <c r="C13" i="8"/>
  <c r="D13" i="8"/>
  <c r="E13" i="8"/>
  <c r="F13" i="8"/>
  <c r="G13" i="8"/>
  <c r="B14" i="8"/>
  <c r="C14" i="8"/>
  <c r="D14" i="8"/>
  <c r="E14" i="8"/>
  <c r="F14" i="8"/>
  <c r="G14" i="8"/>
  <c r="B15" i="8"/>
  <c r="C15" i="8"/>
  <c r="D15" i="8"/>
  <c r="E15" i="8"/>
  <c r="F15" i="8"/>
  <c r="G15" i="8"/>
  <c r="B16" i="8"/>
  <c r="C16" i="8"/>
  <c r="D16" i="8"/>
  <c r="E16" i="8"/>
  <c r="F16" i="8"/>
  <c r="G16" i="8"/>
  <c r="B17" i="8"/>
  <c r="C17" i="8"/>
  <c r="D17" i="8"/>
  <c r="E17" i="8"/>
  <c r="F17" i="8"/>
  <c r="G17" i="8"/>
  <c r="B18" i="8"/>
  <c r="C18" i="8"/>
  <c r="D18" i="8"/>
  <c r="E18" i="8"/>
  <c r="F18" i="8"/>
  <c r="G18" i="8"/>
  <c r="B19" i="8"/>
  <c r="C19" i="8"/>
  <c r="D19" i="8"/>
  <c r="E19" i="8"/>
  <c r="F19" i="8"/>
  <c r="G19" i="8"/>
  <c r="B20" i="8"/>
  <c r="C20" i="8"/>
  <c r="D20" i="8"/>
  <c r="E20" i="8"/>
  <c r="F20" i="8"/>
  <c r="G20" i="8"/>
  <c r="B21" i="8"/>
  <c r="C21" i="8"/>
  <c r="D21" i="8"/>
  <c r="E21" i="8"/>
  <c r="F21" i="8"/>
  <c r="G21" i="8"/>
  <c r="A11" i="8"/>
  <c r="A12" i="8"/>
  <c r="A13" i="8"/>
  <c r="A14" i="8"/>
  <c r="A15" i="8"/>
  <c r="A16" i="8"/>
  <c r="A17" i="8"/>
  <c r="A18" i="8"/>
  <c r="A19" i="8"/>
  <c r="A20" i="8"/>
  <c r="A21" i="8"/>
  <c r="A10" i="8"/>
  <c r="G37" i="9" l="1"/>
  <c r="C41" i="9"/>
  <c r="N41" i="9" s="1"/>
  <c r="C45" i="9"/>
  <c r="N45" i="9" s="1"/>
  <c r="C35" i="9"/>
  <c r="N35" i="9" s="1"/>
  <c r="C38" i="9"/>
  <c r="N38" i="9" s="1"/>
  <c r="C43" i="9"/>
  <c r="N43" i="9" s="1"/>
  <c r="C39" i="9"/>
  <c r="N39" i="9" s="1"/>
  <c r="C40" i="9"/>
  <c r="N40" i="9" s="1"/>
  <c r="C36" i="9"/>
  <c r="N36" i="9" s="1"/>
  <c r="C34" i="9"/>
  <c r="N34" i="9" s="1"/>
  <c r="C33" i="9"/>
  <c r="N33" i="9" s="1"/>
  <c r="C42" i="9"/>
  <c r="N42" i="9" s="1"/>
  <c r="C44" i="9"/>
  <c r="N44" i="9" s="1"/>
  <c r="C37" i="9"/>
  <c r="N37" i="9" s="1"/>
  <c r="R22" i="8"/>
  <c r="Q22" i="8"/>
  <c r="I22" i="8"/>
  <c r="S22" i="8"/>
  <c r="Q19" i="8"/>
  <c r="Q15" i="8"/>
  <c r="Q11" i="8"/>
  <c r="R20" i="8"/>
  <c r="R16" i="8"/>
  <c r="R12" i="8"/>
  <c r="S19" i="8"/>
  <c r="S15" i="8"/>
  <c r="R21" i="8"/>
  <c r="S11" i="8"/>
  <c r="R17" i="8"/>
  <c r="R13" i="8"/>
  <c r="S12" i="8"/>
  <c r="Q21" i="8"/>
  <c r="Q17" i="8"/>
  <c r="Q13" i="8"/>
  <c r="Q20" i="8"/>
  <c r="Q16" i="8"/>
  <c r="Q12" i="8"/>
  <c r="S20" i="8"/>
  <c r="S16" i="8"/>
  <c r="S21" i="8"/>
  <c r="R18" i="8"/>
  <c r="S17" i="8"/>
  <c r="R14" i="8"/>
  <c r="S13" i="8"/>
  <c r="Q18" i="8"/>
  <c r="Q14" i="8"/>
  <c r="R19" i="8"/>
  <c r="S18" i="8"/>
  <c r="R15" i="8"/>
  <c r="S14" i="8"/>
  <c r="R11" i="8"/>
  <c r="I14" i="8"/>
  <c r="J14" i="8"/>
  <c r="J15" i="8"/>
  <c r="J11" i="8"/>
  <c r="J18" i="8"/>
  <c r="J13" i="8"/>
  <c r="I13" i="8"/>
  <c r="I11" i="8"/>
  <c r="J12" i="8"/>
  <c r="J10" i="8"/>
  <c r="J17" i="8"/>
  <c r="J16" i="8"/>
  <c r="J20" i="8"/>
  <c r="J21" i="8"/>
  <c r="K22" i="8" s="1"/>
  <c r="N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J19" i="8"/>
  <c r="I12" i="8"/>
  <c r="I15" i="8"/>
  <c r="I16" i="8"/>
  <c r="I20" i="8"/>
  <c r="I21" i="8"/>
  <c r="I18" i="8"/>
  <c r="I19" i="8"/>
  <c r="I17" i="8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253" i="5"/>
  <c r="G252" i="5"/>
  <c r="G251" i="5"/>
  <c r="G250" i="5"/>
  <c r="G249" i="5"/>
  <c r="G248" i="5"/>
  <c r="G247" i="5"/>
  <c r="G246" i="5"/>
  <c r="G245" i="5"/>
  <c r="G244" i="5"/>
  <c r="G243" i="5"/>
  <c r="G242" i="5"/>
  <c r="G241" i="5"/>
  <c r="G240" i="5"/>
  <c r="G239" i="5"/>
  <c r="G238" i="5"/>
  <c r="G237" i="5"/>
  <c r="G236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3" i="5"/>
  <c r="G222" i="5"/>
  <c r="G221" i="5"/>
  <c r="G220" i="5"/>
  <c r="G219" i="5"/>
  <c r="G218" i="5"/>
  <c r="G217" i="5"/>
  <c r="G216" i="5"/>
  <c r="G215" i="5"/>
  <c r="G214" i="5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9" i="5"/>
  <c r="G198" i="5"/>
  <c r="G197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B253" i="5"/>
  <c r="C253" i="5" s="1"/>
  <c r="B7" i="5"/>
  <c r="C7" i="5" s="1"/>
  <c r="B8" i="5"/>
  <c r="C8" i="5" s="1"/>
  <c r="B9" i="5"/>
  <c r="C9" i="5" s="1"/>
  <c r="B10" i="5"/>
  <c r="C10" i="5" s="1"/>
  <c r="B11" i="5"/>
  <c r="C11" i="5" s="1"/>
  <c r="B12" i="5"/>
  <c r="C12" i="5" s="1"/>
  <c r="B13" i="5"/>
  <c r="C13" i="5" s="1"/>
  <c r="B14" i="5"/>
  <c r="C14" i="5" s="1"/>
  <c r="B15" i="5"/>
  <c r="C15" i="5" s="1"/>
  <c r="B16" i="5"/>
  <c r="C16" i="5" s="1"/>
  <c r="B17" i="5"/>
  <c r="C17" i="5" s="1"/>
  <c r="B18" i="5"/>
  <c r="C18" i="5" s="1"/>
  <c r="B19" i="5"/>
  <c r="C19" i="5" s="1"/>
  <c r="B20" i="5"/>
  <c r="C20" i="5" s="1"/>
  <c r="B21" i="5"/>
  <c r="C21" i="5" s="1"/>
  <c r="B22" i="5"/>
  <c r="C22" i="5" s="1"/>
  <c r="B23" i="5"/>
  <c r="C23" i="5" s="1"/>
  <c r="B24" i="5"/>
  <c r="C24" i="5" s="1"/>
  <c r="B25" i="5"/>
  <c r="C25" i="5" s="1"/>
  <c r="B26" i="5"/>
  <c r="C26" i="5" s="1"/>
  <c r="B27" i="5"/>
  <c r="C27" i="5" s="1"/>
  <c r="B28" i="5"/>
  <c r="C28" i="5" s="1"/>
  <c r="B29" i="5"/>
  <c r="C29" i="5" s="1"/>
  <c r="B30" i="5"/>
  <c r="C30" i="5" s="1"/>
  <c r="B31" i="5"/>
  <c r="C31" i="5" s="1"/>
  <c r="B32" i="5"/>
  <c r="C32" i="5" s="1"/>
  <c r="B33" i="5"/>
  <c r="C33" i="5" s="1"/>
  <c r="B34" i="5"/>
  <c r="C34" i="5" s="1"/>
  <c r="B35" i="5"/>
  <c r="C35" i="5" s="1"/>
  <c r="B36" i="5"/>
  <c r="C36" i="5" s="1"/>
  <c r="B37" i="5"/>
  <c r="C37" i="5" s="1"/>
  <c r="B38" i="5"/>
  <c r="C38" i="5" s="1"/>
  <c r="B39" i="5"/>
  <c r="C39" i="5" s="1"/>
  <c r="B40" i="5"/>
  <c r="C40" i="5" s="1"/>
  <c r="B41" i="5"/>
  <c r="C41" i="5" s="1"/>
  <c r="B42" i="5"/>
  <c r="C42" i="5" s="1"/>
  <c r="B43" i="5"/>
  <c r="C43" i="5" s="1"/>
  <c r="B44" i="5"/>
  <c r="C44" i="5" s="1"/>
  <c r="B45" i="5"/>
  <c r="C45" i="5" s="1"/>
  <c r="B46" i="5"/>
  <c r="C46" i="5" s="1"/>
  <c r="B47" i="5"/>
  <c r="C47" i="5" s="1"/>
  <c r="B48" i="5"/>
  <c r="C48" i="5" s="1"/>
  <c r="B49" i="5"/>
  <c r="C49" i="5" s="1"/>
  <c r="B50" i="5"/>
  <c r="C50" i="5" s="1"/>
  <c r="B51" i="5"/>
  <c r="C51" i="5" s="1"/>
  <c r="B52" i="5"/>
  <c r="C52" i="5" s="1"/>
  <c r="B53" i="5"/>
  <c r="C53" i="5" s="1"/>
  <c r="B54" i="5"/>
  <c r="C54" i="5" s="1"/>
  <c r="B55" i="5"/>
  <c r="C55" i="5" s="1"/>
  <c r="B56" i="5"/>
  <c r="C56" i="5" s="1"/>
  <c r="B57" i="5"/>
  <c r="C57" i="5" s="1"/>
  <c r="B58" i="5"/>
  <c r="C58" i="5" s="1"/>
  <c r="B59" i="5"/>
  <c r="C59" i="5" s="1"/>
  <c r="B60" i="5"/>
  <c r="C60" i="5" s="1"/>
  <c r="B61" i="5"/>
  <c r="C61" i="5" s="1"/>
  <c r="B62" i="5"/>
  <c r="C62" i="5" s="1"/>
  <c r="B63" i="5"/>
  <c r="C63" i="5" s="1"/>
  <c r="B64" i="5"/>
  <c r="C64" i="5" s="1"/>
  <c r="B65" i="5"/>
  <c r="C65" i="5" s="1"/>
  <c r="B66" i="5"/>
  <c r="C66" i="5" s="1"/>
  <c r="B67" i="5"/>
  <c r="C67" i="5" s="1"/>
  <c r="B68" i="5"/>
  <c r="C68" i="5" s="1"/>
  <c r="B69" i="5"/>
  <c r="C69" i="5" s="1"/>
  <c r="B70" i="5"/>
  <c r="C70" i="5" s="1"/>
  <c r="B71" i="5"/>
  <c r="C71" i="5" s="1"/>
  <c r="B72" i="5"/>
  <c r="C72" i="5" s="1"/>
  <c r="B73" i="5"/>
  <c r="C73" i="5" s="1"/>
  <c r="B74" i="5"/>
  <c r="C74" i="5" s="1"/>
  <c r="B75" i="5"/>
  <c r="C75" i="5" s="1"/>
  <c r="B76" i="5"/>
  <c r="C76" i="5" s="1"/>
  <c r="B77" i="5"/>
  <c r="C77" i="5" s="1"/>
  <c r="B78" i="5"/>
  <c r="C78" i="5" s="1"/>
  <c r="B79" i="5"/>
  <c r="C79" i="5" s="1"/>
  <c r="B80" i="5"/>
  <c r="C80" i="5" s="1"/>
  <c r="B81" i="5"/>
  <c r="C81" i="5" s="1"/>
  <c r="B82" i="5"/>
  <c r="C82" i="5" s="1"/>
  <c r="B83" i="5"/>
  <c r="C83" i="5" s="1"/>
  <c r="B84" i="5"/>
  <c r="C84" i="5" s="1"/>
  <c r="B85" i="5"/>
  <c r="C85" i="5" s="1"/>
  <c r="B86" i="5"/>
  <c r="C86" i="5" s="1"/>
  <c r="B87" i="5"/>
  <c r="C87" i="5" s="1"/>
  <c r="B88" i="5"/>
  <c r="C88" i="5" s="1"/>
  <c r="B89" i="5"/>
  <c r="C89" i="5" s="1"/>
  <c r="B90" i="5"/>
  <c r="C90" i="5" s="1"/>
  <c r="B91" i="5"/>
  <c r="C91" i="5" s="1"/>
  <c r="B92" i="5"/>
  <c r="C92" i="5" s="1"/>
  <c r="B93" i="5"/>
  <c r="C93" i="5" s="1"/>
  <c r="B94" i="5"/>
  <c r="C94" i="5" s="1"/>
  <c r="B95" i="5"/>
  <c r="C95" i="5" s="1"/>
  <c r="B96" i="5"/>
  <c r="C96" i="5" s="1"/>
  <c r="B97" i="5"/>
  <c r="C97" i="5" s="1"/>
  <c r="B98" i="5"/>
  <c r="C98" i="5" s="1"/>
  <c r="B99" i="5"/>
  <c r="C99" i="5" s="1"/>
  <c r="B100" i="5"/>
  <c r="C100" i="5" s="1"/>
  <c r="B101" i="5"/>
  <c r="C101" i="5" s="1"/>
  <c r="B102" i="5"/>
  <c r="C102" i="5" s="1"/>
  <c r="B103" i="5"/>
  <c r="C103" i="5" s="1"/>
  <c r="B104" i="5"/>
  <c r="C104" i="5" s="1"/>
  <c r="B105" i="5"/>
  <c r="C105" i="5" s="1"/>
  <c r="B106" i="5"/>
  <c r="C106" i="5" s="1"/>
  <c r="B107" i="5"/>
  <c r="C107" i="5" s="1"/>
  <c r="B108" i="5"/>
  <c r="C108" i="5" s="1"/>
  <c r="B109" i="5"/>
  <c r="C109" i="5" s="1"/>
  <c r="B110" i="5"/>
  <c r="C110" i="5" s="1"/>
  <c r="B111" i="5"/>
  <c r="C111" i="5" s="1"/>
  <c r="B112" i="5"/>
  <c r="C112" i="5" s="1"/>
  <c r="B113" i="5"/>
  <c r="C113" i="5" s="1"/>
  <c r="B114" i="5"/>
  <c r="C114" i="5" s="1"/>
  <c r="B115" i="5"/>
  <c r="C115" i="5" s="1"/>
  <c r="B116" i="5"/>
  <c r="C116" i="5" s="1"/>
  <c r="B117" i="5"/>
  <c r="C117" i="5" s="1"/>
  <c r="B118" i="5"/>
  <c r="C118" i="5" s="1"/>
  <c r="B119" i="5"/>
  <c r="C119" i="5" s="1"/>
  <c r="B120" i="5"/>
  <c r="C120" i="5" s="1"/>
  <c r="B121" i="5"/>
  <c r="C121" i="5" s="1"/>
  <c r="B122" i="5"/>
  <c r="C122" i="5" s="1"/>
  <c r="B123" i="5"/>
  <c r="C123" i="5" s="1"/>
  <c r="B124" i="5"/>
  <c r="C124" i="5" s="1"/>
  <c r="B125" i="5"/>
  <c r="C125" i="5" s="1"/>
  <c r="B126" i="5"/>
  <c r="C126" i="5" s="1"/>
  <c r="B127" i="5"/>
  <c r="C127" i="5" s="1"/>
  <c r="B128" i="5"/>
  <c r="C128" i="5" s="1"/>
  <c r="B129" i="5"/>
  <c r="C129" i="5" s="1"/>
  <c r="B130" i="5"/>
  <c r="C130" i="5" s="1"/>
  <c r="B131" i="5"/>
  <c r="C131" i="5" s="1"/>
  <c r="B132" i="5"/>
  <c r="C132" i="5" s="1"/>
  <c r="B133" i="5"/>
  <c r="C133" i="5" s="1"/>
  <c r="B134" i="5"/>
  <c r="C134" i="5" s="1"/>
  <c r="B135" i="5"/>
  <c r="C135" i="5" s="1"/>
  <c r="B136" i="5"/>
  <c r="C136" i="5" s="1"/>
  <c r="B137" i="5"/>
  <c r="C137" i="5" s="1"/>
  <c r="B138" i="5"/>
  <c r="C138" i="5" s="1"/>
  <c r="L32" i="8" s="1"/>
  <c r="B32" i="9" s="1"/>
  <c r="J32" i="9" s="1"/>
  <c r="B139" i="5"/>
  <c r="C139" i="5" s="1"/>
  <c r="B140" i="5"/>
  <c r="C140" i="5" s="1"/>
  <c r="B141" i="5"/>
  <c r="C141" i="5" s="1"/>
  <c r="B142" i="5"/>
  <c r="C142" i="5" s="1"/>
  <c r="B143" i="5"/>
  <c r="C143" i="5" s="1"/>
  <c r="B144" i="5"/>
  <c r="C144" i="5" s="1"/>
  <c r="B145" i="5"/>
  <c r="C145" i="5" s="1"/>
  <c r="B146" i="5"/>
  <c r="C146" i="5" s="1"/>
  <c r="B147" i="5"/>
  <c r="C147" i="5" s="1"/>
  <c r="B148" i="5"/>
  <c r="C148" i="5" s="1"/>
  <c r="B149" i="5"/>
  <c r="C149" i="5" s="1"/>
  <c r="B150" i="5"/>
  <c r="C150" i="5" s="1"/>
  <c r="B151" i="5"/>
  <c r="C151" i="5" s="1"/>
  <c r="B152" i="5"/>
  <c r="C152" i="5" s="1"/>
  <c r="B153" i="5"/>
  <c r="C153" i="5" s="1"/>
  <c r="B154" i="5"/>
  <c r="C154" i="5" s="1"/>
  <c r="B155" i="5"/>
  <c r="C155" i="5" s="1"/>
  <c r="B156" i="5"/>
  <c r="C156" i="5" s="1"/>
  <c r="B157" i="5"/>
  <c r="C157" i="5" s="1"/>
  <c r="B158" i="5"/>
  <c r="C158" i="5" s="1"/>
  <c r="B159" i="5"/>
  <c r="C159" i="5" s="1"/>
  <c r="B160" i="5"/>
  <c r="C160" i="5" s="1"/>
  <c r="B161" i="5"/>
  <c r="C161" i="5" s="1"/>
  <c r="B162" i="5"/>
  <c r="C162" i="5" s="1"/>
  <c r="B163" i="5"/>
  <c r="C163" i="5" s="1"/>
  <c r="B164" i="5"/>
  <c r="C164" i="5" s="1"/>
  <c r="B165" i="5"/>
  <c r="C165" i="5" s="1"/>
  <c r="B166" i="5"/>
  <c r="C166" i="5" s="1"/>
  <c r="B167" i="5"/>
  <c r="C167" i="5" s="1"/>
  <c r="B168" i="5"/>
  <c r="C168" i="5" s="1"/>
  <c r="B169" i="5"/>
  <c r="C169" i="5" s="1"/>
  <c r="B170" i="5"/>
  <c r="C170" i="5" s="1"/>
  <c r="B171" i="5"/>
  <c r="C171" i="5" s="1"/>
  <c r="B172" i="5"/>
  <c r="C172" i="5" s="1"/>
  <c r="B173" i="5"/>
  <c r="C173" i="5" s="1"/>
  <c r="B174" i="5"/>
  <c r="C174" i="5" s="1"/>
  <c r="B175" i="5"/>
  <c r="C175" i="5" s="1"/>
  <c r="B176" i="5"/>
  <c r="C176" i="5" s="1"/>
  <c r="B177" i="5"/>
  <c r="C177" i="5" s="1"/>
  <c r="B178" i="5"/>
  <c r="C178" i="5" s="1"/>
  <c r="B179" i="5"/>
  <c r="C179" i="5" s="1"/>
  <c r="B180" i="5"/>
  <c r="C180" i="5" s="1"/>
  <c r="B181" i="5"/>
  <c r="C181" i="5" s="1"/>
  <c r="B182" i="5"/>
  <c r="C182" i="5" s="1"/>
  <c r="B183" i="5"/>
  <c r="C183" i="5" s="1"/>
  <c r="B184" i="5"/>
  <c r="C184" i="5" s="1"/>
  <c r="B185" i="5"/>
  <c r="C185" i="5" s="1"/>
  <c r="B186" i="5"/>
  <c r="C186" i="5" s="1"/>
  <c r="B187" i="5"/>
  <c r="C187" i="5" s="1"/>
  <c r="B188" i="5"/>
  <c r="C188" i="5" s="1"/>
  <c r="B189" i="5"/>
  <c r="C189" i="5" s="1"/>
  <c r="B190" i="5"/>
  <c r="C190" i="5" s="1"/>
  <c r="B191" i="5"/>
  <c r="C191" i="5" s="1"/>
  <c r="B192" i="5"/>
  <c r="C192" i="5" s="1"/>
  <c r="B193" i="5"/>
  <c r="C193" i="5" s="1"/>
  <c r="B194" i="5"/>
  <c r="C194" i="5" s="1"/>
  <c r="B195" i="5"/>
  <c r="C195" i="5" s="1"/>
  <c r="B196" i="5"/>
  <c r="C196" i="5" s="1"/>
  <c r="B197" i="5"/>
  <c r="C197" i="5" s="1"/>
  <c r="B198" i="5"/>
  <c r="C198" i="5" s="1"/>
  <c r="B199" i="5"/>
  <c r="C199" i="5" s="1"/>
  <c r="B200" i="5"/>
  <c r="C200" i="5" s="1"/>
  <c r="B201" i="5"/>
  <c r="C201" i="5" s="1"/>
  <c r="B202" i="5"/>
  <c r="C202" i="5" s="1"/>
  <c r="B203" i="5"/>
  <c r="C203" i="5" s="1"/>
  <c r="B204" i="5"/>
  <c r="C204" i="5" s="1"/>
  <c r="B205" i="5"/>
  <c r="C205" i="5" s="1"/>
  <c r="B206" i="5"/>
  <c r="C206" i="5" s="1"/>
  <c r="B207" i="5"/>
  <c r="C207" i="5" s="1"/>
  <c r="B208" i="5"/>
  <c r="C208" i="5" s="1"/>
  <c r="B209" i="5"/>
  <c r="C209" i="5" s="1"/>
  <c r="B210" i="5"/>
  <c r="C210" i="5" s="1"/>
  <c r="B211" i="5"/>
  <c r="C211" i="5" s="1"/>
  <c r="B212" i="5"/>
  <c r="C212" i="5" s="1"/>
  <c r="B213" i="5"/>
  <c r="C213" i="5" s="1"/>
  <c r="B214" i="5"/>
  <c r="C214" i="5" s="1"/>
  <c r="B215" i="5"/>
  <c r="C215" i="5" s="1"/>
  <c r="B216" i="5"/>
  <c r="C216" i="5" s="1"/>
  <c r="B217" i="5"/>
  <c r="C217" i="5" s="1"/>
  <c r="B218" i="5"/>
  <c r="C218" i="5" s="1"/>
  <c r="B219" i="5"/>
  <c r="C219" i="5" s="1"/>
  <c r="B220" i="5"/>
  <c r="C220" i="5" s="1"/>
  <c r="B221" i="5"/>
  <c r="C221" i="5" s="1"/>
  <c r="B222" i="5"/>
  <c r="C222" i="5" s="1"/>
  <c r="B223" i="5"/>
  <c r="C223" i="5" s="1"/>
  <c r="B224" i="5"/>
  <c r="C224" i="5" s="1"/>
  <c r="B225" i="5"/>
  <c r="C225" i="5" s="1"/>
  <c r="B226" i="5"/>
  <c r="C226" i="5" s="1"/>
  <c r="B227" i="5"/>
  <c r="C227" i="5" s="1"/>
  <c r="B228" i="5"/>
  <c r="C228" i="5" s="1"/>
  <c r="B229" i="5"/>
  <c r="C229" i="5" s="1"/>
  <c r="B230" i="5"/>
  <c r="C230" i="5" s="1"/>
  <c r="B231" i="5"/>
  <c r="C231" i="5" s="1"/>
  <c r="B232" i="5"/>
  <c r="C232" i="5" s="1"/>
  <c r="B233" i="5"/>
  <c r="C233" i="5" s="1"/>
  <c r="B234" i="5"/>
  <c r="C234" i="5" s="1"/>
  <c r="B235" i="5"/>
  <c r="C235" i="5" s="1"/>
  <c r="B236" i="5"/>
  <c r="C236" i="5" s="1"/>
  <c r="B237" i="5"/>
  <c r="C237" i="5" s="1"/>
  <c r="B238" i="5"/>
  <c r="C238" i="5" s="1"/>
  <c r="B239" i="5"/>
  <c r="C239" i="5" s="1"/>
  <c r="B240" i="5"/>
  <c r="C240" i="5" s="1"/>
  <c r="B241" i="5"/>
  <c r="C241" i="5" s="1"/>
  <c r="B242" i="5"/>
  <c r="C242" i="5" s="1"/>
  <c r="B243" i="5"/>
  <c r="C243" i="5" s="1"/>
  <c r="B244" i="5"/>
  <c r="C244" i="5" s="1"/>
  <c r="B245" i="5"/>
  <c r="C245" i="5" s="1"/>
  <c r="B246" i="5"/>
  <c r="C246" i="5" s="1"/>
  <c r="B247" i="5"/>
  <c r="C247" i="5" s="1"/>
  <c r="B248" i="5"/>
  <c r="C248" i="5" s="1"/>
  <c r="B249" i="5"/>
  <c r="C249" i="5" s="1"/>
  <c r="B250" i="5"/>
  <c r="C250" i="5" s="1"/>
  <c r="B251" i="5"/>
  <c r="C251" i="5" s="1"/>
  <c r="B252" i="5"/>
  <c r="C252" i="5" s="1"/>
  <c r="L39" i="8" l="1"/>
  <c r="B39" i="9" s="1"/>
  <c r="J39" i="9" s="1"/>
  <c r="L42" i="8"/>
  <c r="B42" i="9" s="1"/>
  <c r="J42" i="9" s="1"/>
  <c r="L38" i="8"/>
  <c r="B38" i="9" s="1"/>
  <c r="J38" i="9" s="1"/>
  <c r="L35" i="8"/>
  <c r="B35" i="9" s="1"/>
  <c r="J35" i="9" s="1"/>
  <c r="U35" i="9" s="1"/>
  <c r="L34" i="8"/>
  <c r="B34" i="9" s="1"/>
  <c r="J34" i="9" s="1"/>
  <c r="U34" i="9" s="1"/>
  <c r="L43" i="8"/>
  <c r="B43" i="9" s="1"/>
  <c r="J43" i="9" s="1"/>
  <c r="L41" i="8"/>
  <c r="B41" i="9" s="1"/>
  <c r="J41" i="9" s="1"/>
  <c r="L37" i="8"/>
  <c r="B37" i="9" s="1"/>
  <c r="J37" i="9" s="1"/>
  <c r="U37" i="9" s="1"/>
  <c r="L40" i="8"/>
  <c r="B40" i="9" s="1"/>
  <c r="J40" i="9" s="1"/>
  <c r="L33" i="8"/>
  <c r="B33" i="9" s="1"/>
  <c r="J33" i="9" s="1"/>
  <c r="U33" i="9" s="1"/>
  <c r="L36" i="8"/>
  <c r="B36" i="9" s="1"/>
  <c r="J36" i="9" s="1"/>
  <c r="U36" i="9" s="1"/>
  <c r="L44" i="8"/>
  <c r="B44" i="9" s="1"/>
  <c r="J44" i="9" s="1"/>
  <c r="L45" i="8"/>
  <c r="B45" i="9" s="1"/>
  <c r="J45" i="9" s="1"/>
  <c r="L10" i="8"/>
  <c r="L49" i="8"/>
  <c r="L24" i="8"/>
  <c r="L50" i="8"/>
  <c r="L28" i="8"/>
  <c r="L46" i="8"/>
  <c r="L27" i="8"/>
  <c r="L31" i="8"/>
  <c r="L25" i="8"/>
  <c r="L52" i="8"/>
  <c r="L48" i="8"/>
  <c r="L55" i="8"/>
  <c r="L57" i="8"/>
  <c r="L51" i="8"/>
  <c r="L53" i="8"/>
  <c r="L59" i="8"/>
  <c r="L54" i="8"/>
  <c r="L29" i="8"/>
  <c r="L30" i="8"/>
  <c r="L47" i="8"/>
  <c r="L58" i="8"/>
  <c r="L60" i="8"/>
  <c r="L23" i="8"/>
  <c r="L56" i="8"/>
  <c r="L26" i="8"/>
  <c r="G38" i="9"/>
  <c r="U13" i="8"/>
  <c r="U18" i="8"/>
  <c r="U16" i="8"/>
  <c r="U21" i="8"/>
  <c r="U11" i="8"/>
  <c r="T11" i="8"/>
  <c r="U15" i="8"/>
  <c r="U22" i="8"/>
  <c r="V23" i="8" s="1"/>
  <c r="U14" i="8"/>
  <c r="U19" i="8"/>
  <c r="U12" i="8"/>
  <c r="U20" i="8"/>
  <c r="U17" i="8"/>
  <c r="T22" i="8"/>
  <c r="L22" i="8"/>
  <c r="B31" i="9" s="1"/>
  <c r="J31" i="9" s="1"/>
  <c r="K19" i="8"/>
  <c r="N19" i="8" s="1"/>
  <c r="K12" i="8"/>
  <c r="N12" i="8" s="1"/>
  <c r="K17" i="8"/>
  <c r="N17" i="8" s="1"/>
  <c r="K15" i="8"/>
  <c r="N15" i="8" s="1"/>
  <c r="K13" i="8"/>
  <c r="N13" i="8" s="1"/>
  <c r="K18" i="8"/>
  <c r="N18" i="8" s="1"/>
  <c r="K21" i="8"/>
  <c r="N21" i="8" s="1"/>
  <c r="K20" i="8"/>
  <c r="N20" i="8" s="1"/>
  <c r="K14" i="8"/>
  <c r="N14" i="8" s="1"/>
  <c r="K16" i="8"/>
  <c r="N16" i="8" s="1"/>
  <c r="K11" i="8"/>
  <c r="N11" i="8" s="1"/>
  <c r="O12" i="8" s="1"/>
  <c r="O13" i="8" s="1"/>
  <c r="O14" i="8" s="1"/>
  <c r="T13" i="8"/>
  <c r="T21" i="8"/>
  <c r="V21" i="8" s="1"/>
  <c r="T17" i="8"/>
  <c r="T12" i="8"/>
  <c r="V12" i="8" s="1"/>
  <c r="T15" i="8"/>
  <c r="T20" i="8"/>
  <c r="T18" i="8"/>
  <c r="T19" i="8"/>
  <c r="V19" i="8" s="1"/>
  <c r="T16" i="8"/>
  <c r="T14" i="8"/>
  <c r="V20" i="8" l="1"/>
  <c r="V11" i="8"/>
  <c r="U38" i="9"/>
  <c r="G39" i="9"/>
  <c r="O15" i="8"/>
  <c r="O16" i="8" s="1"/>
  <c r="O17" i="8" s="1"/>
  <c r="O18" i="8" s="1"/>
  <c r="O19" i="8" s="1"/>
  <c r="O20" i="8" s="1"/>
  <c r="O21" i="8" s="1"/>
  <c r="O22" i="8" s="1"/>
  <c r="V18" i="8"/>
  <c r="V16" i="8"/>
  <c r="V22" i="8"/>
  <c r="V15" i="8"/>
  <c r="V17" i="8"/>
  <c r="V14" i="8"/>
  <c r="V13" i="8"/>
  <c r="D31" i="9"/>
  <c r="R31" i="9" s="1"/>
  <c r="L19" i="8"/>
  <c r="L20" i="8"/>
  <c r="L21" i="8"/>
  <c r="L18" i="8"/>
  <c r="L13" i="8"/>
  <c r="L14" i="8"/>
  <c r="L15" i="8"/>
  <c r="L11" i="8"/>
  <c r="L17" i="8"/>
  <c r="L16" i="8"/>
  <c r="L12" i="8"/>
  <c r="U39" i="9" l="1"/>
  <c r="G40" i="9"/>
  <c r="C32" i="9"/>
  <c r="N32" i="9" s="1"/>
  <c r="U32" i="9" s="1"/>
  <c r="U40" i="9" l="1"/>
  <c r="G41" i="9"/>
  <c r="C31" i="9"/>
  <c r="N31" i="9" s="1"/>
  <c r="U31" i="9" s="1"/>
  <c r="U41" i="9" l="1"/>
  <c r="G42" i="9"/>
  <c r="U42" i="9" s="1"/>
  <c r="G43" i="9" l="1"/>
  <c r="U43" i="9" s="1"/>
  <c r="G44" i="9"/>
  <c r="U44" i="9" s="1"/>
  <c r="G45" i="9" l="1"/>
  <c r="U45" i="9" s="1"/>
  <c r="G46" i="9" l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G78" i="9" s="1"/>
  <c r="G79" i="9" s="1"/>
  <c r="G80" i="9" s="1"/>
  <c r="G81" i="9" s="1"/>
  <c r="G82" i="9" s="1"/>
  <c r="G83" i="9" s="1"/>
  <c r="G84" i="9" s="1"/>
  <c r="G85" i="9" s="1"/>
  <c r="G86" i="9" s="1"/>
  <c r="G87" i="9" s="1"/>
  <c r="G88" i="9" s="1"/>
  <c r="G89" i="9" s="1"/>
  <c r="G90" i="9" s="1"/>
  <c r="G91" i="9" s="1"/>
  <c r="G92" i="9" s="1"/>
  <c r="G93" i="9" s="1"/>
  <c r="G94" i="9" s="1"/>
  <c r="G95" i="9" s="1"/>
  <c r="G96" i="9" s="1"/>
  <c r="G97" i="9" s="1"/>
  <c r="G98" i="9" s="1"/>
  <c r="G99" i="9" s="1"/>
  <c r="G100" i="9" s="1"/>
  <c r="G101" i="9" s="1"/>
  <c r="G102" i="9" s="1"/>
  <c r="G103" i="9" s="1"/>
  <c r="G104" i="9" s="1"/>
  <c r="G105" i="9" s="1"/>
  <c r="G106" i="9" s="1"/>
  <c r="G107" i="9" s="1"/>
  <c r="G108" i="9" s="1"/>
  <c r="G109" i="9" s="1"/>
  <c r="G110" i="9" s="1"/>
  <c r="G111" i="9" s="1"/>
  <c r="G112" i="9" s="1"/>
  <c r="G113" i="9" s="1"/>
  <c r="G114" i="9" s="1"/>
  <c r="G115" i="9" s="1"/>
  <c r="G116" i="9" s="1"/>
  <c r="G117" i="9" s="1"/>
  <c r="G118" i="9" s="1"/>
  <c r="G119" i="9" s="1"/>
  <c r="G120" i="9" s="1"/>
  <c r="G121" i="9" s="1"/>
  <c r="G122" i="9" s="1"/>
  <c r="G123" i="9" s="1"/>
  <c r="G124" i="9" s="1"/>
  <c r="G125" i="9" s="1"/>
  <c r="G126" i="9" s="1"/>
  <c r="G127" i="9" s="1"/>
  <c r="G128" i="9" s="1"/>
  <c r="G129" i="9" s="1"/>
  <c r="G130" i="9" s="1"/>
  <c r="G131" i="9" s="1"/>
  <c r="G132" i="9" s="1"/>
  <c r="G133" i="9" s="1"/>
  <c r="G134" i="9" s="1"/>
  <c r="G135" i="9" s="1"/>
  <c r="G136" i="9" s="1"/>
  <c r="G137" i="9" s="1"/>
  <c r="G138" i="9" s="1"/>
  <c r="G139" i="9" s="1"/>
  <c r="G140" i="9" s="1"/>
  <c r="G141" i="9" s="1"/>
  <c r="G142" i="9" s="1"/>
  <c r="G143" i="9" s="1"/>
  <c r="G144" i="9" s="1"/>
  <c r="G145" i="9" s="1"/>
  <c r="G146" i="9" s="1"/>
  <c r="G147" i="9" s="1"/>
  <c r="G148" i="9" s="1"/>
  <c r="G149" i="9" s="1"/>
  <c r="G150" i="9" s="1"/>
  <c r="G151" i="9" s="1"/>
  <c r="G152" i="9" s="1"/>
  <c r="G153" i="9" s="1"/>
  <c r="G154" i="9" s="1"/>
  <c r="G155" i="9" s="1"/>
  <c r="G156" i="9" s="1"/>
  <c r="G157" i="9" s="1"/>
  <c r="G158" i="9" s="1"/>
  <c r="G159" i="9" s="1"/>
  <c r="G160" i="9" s="1"/>
  <c r="G161" i="9" s="1"/>
  <c r="G162" i="9" s="1"/>
  <c r="G163" i="9" s="1"/>
  <c r="G164" i="9" s="1"/>
  <c r="G165" i="9" s="1"/>
  <c r="G166" i="9" s="1"/>
  <c r="G167" i="9" s="1"/>
  <c r="G168" i="9" s="1"/>
  <c r="G169" i="9" s="1"/>
  <c r="G170" i="9" s="1"/>
  <c r="G171" i="9" s="1"/>
  <c r="G172" i="9" s="1"/>
  <c r="G173" i="9" s="1"/>
  <c r="G174" i="9" s="1"/>
  <c r="G175" i="9" s="1"/>
  <c r="G176" i="9" s="1"/>
  <c r="G177" i="9" s="1"/>
  <c r="G178" i="9" s="1"/>
  <c r="G179" i="9" s="1"/>
  <c r="G180" i="9" s="1"/>
  <c r="G181" i="9" s="1"/>
  <c r="G182" i="9" s="1"/>
  <c r="G183" i="9" s="1"/>
  <c r="G184" i="9" s="1"/>
  <c r="G185" i="9" s="1"/>
  <c r="G186" i="9" s="1"/>
  <c r="G187" i="9" s="1"/>
  <c r="G188" i="9" s="1"/>
  <c r="G189" i="9" s="1"/>
  <c r="G190" i="9" s="1"/>
  <c r="G191" i="9" s="1"/>
  <c r="G192" i="9" s="1"/>
  <c r="G193" i="9" s="1"/>
  <c r="G194" i="9" s="1"/>
  <c r="G195" i="9" s="1"/>
  <c r="G196" i="9" s="1"/>
  <c r="G197" i="9" s="1"/>
  <c r="G198" i="9" s="1"/>
  <c r="G199" i="9" s="1"/>
  <c r="G200" i="9" s="1"/>
  <c r="G201" i="9" s="1"/>
  <c r="G202" i="9" s="1"/>
  <c r="G203" i="9" s="1"/>
  <c r="G204" i="9" s="1"/>
  <c r="G205" i="9" s="1"/>
  <c r="G206" i="9" s="1"/>
  <c r="G207" i="9" s="1"/>
  <c r="G208" i="9" s="1"/>
  <c r="G209" i="9" s="1"/>
  <c r="G210" i="9" s="1"/>
  <c r="G211" i="9" s="1"/>
  <c r="G212" i="9" s="1"/>
  <c r="G213" i="9" s="1"/>
  <c r="G214" i="9" s="1"/>
  <c r="G215" i="9" s="1"/>
  <c r="G216" i="9" s="1"/>
  <c r="G217" i="9" s="1"/>
  <c r="G218" i="9" s="1"/>
  <c r="G219" i="9" s="1"/>
  <c r="G220" i="9" s="1"/>
  <c r="G221" i="9" s="1"/>
  <c r="G222" i="9" s="1"/>
  <c r="G223" i="9" s="1"/>
  <c r="G224" i="9" s="1"/>
  <c r="G225" i="9" s="1"/>
  <c r="G226" i="9" s="1"/>
  <c r="G227" i="9" s="1"/>
  <c r="G228" i="9" s="1"/>
  <c r="G229" i="9" s="1"/>
  <c r="G230" i="9" s="1"/>
  <c r="G231" i="9" s="1"/>
  <c r="G232" i="9" s="1"/>
  <c r="G233" i="9" s="1"/>
  <c r="G234" i="9" s="1"/>
  <c r="G235" i="9" s="1"/>
  <c r="G236" i="9" s="1"/>
  <c r="G237" i="9" s="1"/>
  <c r="G238" i="9" s="1"/>
  <c r="G239" i="9" s="1"/>
  <c r="G240" i="9" s="1"/>
  <c r="G241" i="9" s="1"/>
  <c r="G242" i="9" s="1"/>
  <c r="G243" i="9" s="1"/>
  <c r="G244" i="9" s="1"/>
  <c r="G245" i="9" s="1"/>
  <c r="G246" i="9" s="1"/>
  <c r="G247" i="9" s="1"/>
  <c r="G248" i="9" s="1"/>
  <c r="G249" i="9" s="1"/>
  <c r="G250" i="9" s="1"/>
  <c r="G251" i="9" s="1"/>
  <c r="G252" i="9" s="1"/>
  <c r="G253" i="9" s="1"/>
  <c r="G254" i="9" s="1"/>
  <c r="G255" i="9" s="1"/>
  <c r="G256" i="9" s="1"/>
  <c r="G257" i="9" s="1"/>
  <c r="G258" i="9" s="1"/>
  <c r="G259" i="9" s="1"/>
  <c r="G260" i="9" s="1"/>
  <c r="G261" i="9" s="1"/>
  <c r="G262" i="9" s="1"/>
  <c r="G263" i="9" s="1"/>
  <c r="G264" i="9" s="1"/>
  <c r="G265" i="9" s="1"/>
  <c r="G266" i="9" s="1"/>
  <c r="G267" i="9" s="1"/>
  <c r="G268" i="9" s="1"/>
  <c r="G269" i="9" s="1"/>
  <c r="G270" i="9" s="1"/>
  <c r="G271" i="9" s="1"/>
  <c r="G272" i="9" s="1"/>
  <c r="G273" i="9" s="1"/>
  <c r="G274" i="9" s="1"/>
  <c r="G275" i="9" s="1"/>
  <c r="G276" i="9" s="1"/>
  <c r="G277" i="9" s="1"/>
  <c r="G278" i="9" s="1"/>
  <c r="G279" i="9" s="1"/>
  <c r="G280" i="9" s="1"/>
  <c r="G281" i="9" s="1"/>
  <c r="G282" i="9" s="1"/>
  <c r="G283" i="9" s="1"/>
  <c r="G284" i="9" s="1"/>
  <c r="G285" i="9" s="1"/>
  <c r="G286" i="9" s="1"/>
  <c r="G287" i="9" s="1"/>
  <c r="G288" i="9" s="1"/>
  <c r="G289" i="9" s="1"/>
  <c r="G290" i="9" s="1"/>
  <c r="G291" i="9" s="1"/>
  <c r="G292" i="9" s="1"/>
  <c r="G293" i="9" s="1"/>
  <c r="G294" i="9" s="1"/>
  <c r="G295" i="9" s="1"/>
  <c r="G296" i="9" s="1"/>
  <c r="G297" i="9" s="1"/>
  <c r="G298" i="9" s="1"/>
  <c r="G299" i="9" s="1"/>
  <c r="G300" i="9" s="1"/>
  <c r="G301" i="9" s="1"/>
  <c r="G302" i="9" s="1"/>
  <c r="G303" i="9" s="1"/>
  <c r="G304" i="9" s="1"/>
  <c r="G305" i="9" s="1"/>
  <c r="G306" i="9" s="1"/>
  <c r="G307" i="9" s="1"/>
  <c r="G308" i="9" s="1"/>
  <c r="G309" i="9" s="1"/>
  <c r="G310" i="9" s="1"/>
  <c r="G311" i="9" s="1"/>
  <c r="G312" i="9" s="1"/>
  <c r="G313" i="9" s="1"/>
  <c r="G314" i="9" s="1"/>
  <c r="G315" i="9" s="1"/>
  <c r="G316" i="9" s="1"/>
  <c r="G317" i="9" s="1"/>
  <c r="G318" i="9" s="1"/>
  <c r="G319" i="9" s="1"/>
  <c r="G320" i="9" s="1"/>
  <c r="G321" i="9" s="1"/>
  <c r="G322" i="9" s="1"/>
  <c r="G323" i="9" s="1"/>
  <c r="G324" i="9" s="1"/>
  <c r="G325" i="9" s="1"/>
  <c r="G326" i="9" s="1"/>
  <c r="G327" i="9" s="1"/>
  <c r="G328" i="9" s="1"/>
  <c r="G329" i="9" s="1"/>
  <c r="G330" i="9" s="1"/>
  <c r="G331" i="9" s="1"/>
  <c r="G332" i="9" s="1"/>
  <c r="G333" i="9" s="1"/>
  <c r="G334" i="9" s="1"/>
  <c r="G335" i="9" s="1"/>
  <c r="G336" i="9" s="1"/>
  <c r="G337" i="9" s="1"/>
  <c r="G338" i="9" s="1"/>
  <c r="G339" i="9" s="1"/>
  <c r="G340" i="9" s="1"/>
  <c r="G341" i="9" s="1"/>
  <c r="G342" i="9" s="1"/>
  <c r="G343" i="9" s="1"/>
  <c r="G344" i="9" s="1"/>
  <c r="G345" i="9" s="1"/>
  <c r="G346" i="9" s="1"/>
  <c r="G347" i="9" s="1"/>
  <c r="G348" i="9" s="1"/>
  <c r="G349" i="9" s="1"/>
  <c r="G350" i="9" s="1"/>
  <c r="G351" i="9" s="1"/>
  <c r="G352" i="9" s="1"/>
  <c r="G353" i="9" s="1"/>
  <c r="G354" i="9" s="1"/>
  <c r="G355" i="9" s="1"/>
  <c r="G356" i="9" s="1"/>
  <c r="G357" i="9" s="1"/>
  <c r="G358" i="9" s="1"/>
  <c r="G359" i="9" s="1"/>
  <c r="G360" i="9" s="1"/>
  <c r="G361" i="9" s="1"/>
  <c r="G362" i="9" s="1"/>
  <c r="G363" i="9" s="1"/>
  <c r="G364" i="9" s="1"/>
  <c r="G365" i="9" s="1"/>
  <c r="G366" i="9" s="1"/>
  <c r="G367" i="9" s="1"/>
  <c r="G368" i="9" s="1"/>
  <c r="G369" i="9" s="1"/>
  <c r="G370" i="9" s="1"/>
  <c r="G371" i="9" s="1"/>
  <c r="G372" i="9" s="1"/>
  <c r="G373" i="9" s="1"/>
  <c r="G374" i="9" s="1"/>
  <c r="G375" i="9" s="1"/>
  <c r="G376" i="9" s="1"/>
  <c r="G377" i="9" s="1"/>
  <c r="G378" i="9" s="1"/>
  <c r="G379" i="9" s="1"/>
  <c r="G380" i="9" s="1"/>
  <c r="G381" i="9" s="1"/>
  <c r="G382" i="9" s="1"/>
  <c r="G383" i="9" s="1"/>
  <c r="G384" i="9" s="1"/>
  <c r="G385" i="9" s="1"/>
  <c r="G386" i="9" s="1"/>
  <c r="G387" i="9" s="1"/>
  <c r="G388" i="9" s="1"/>
  <c r="G389" i="9" s="1"/>
  <c r="G390" i="9" s="1"/>
  <c r="G391" i="9" s="1"/>
  <c r="G392" i="9" s="1"/>
  <c r="G393" i="9" s="1"/>
  <c r="G394" i="9" s="1"/>
  <c r="G395" i="9" s="1"/>
  <c r="G396" i="9" s="1"/>
  <c r="G397" i="9" s="1"/>
  <c r="G398" i="9" s="1"/>
  <c r="G399" i="9" s="1"/>
  <c r="G400" i="9" s="1"/>
  <c r="G401" i="9" s="1"/>
  <c r="G402" i="9" s="1"/>
  <c r="G403" i="9" s="1"/>
  <c r="G404" i="9" s="1"/>
  <c r="G405" i="9" s="1"/>
  <c r="G406" i="9" s="1"/>
  <c r="G407" i="9" s="1"/>
  <c r="G408" i="9" s="1"/>
  <c r="G409" i="9" s="1"/>
  <c r="G410" i="9" s="1"/>
  <c r="G411" i="9" s="1"/>
  <c r="G412" i="9" s="1"/>
  <c r="G413" i="9" s="1"/>
  <c r="G414" i="9" s="1"/>
  <c r="G415" i="9" s="1"/>
  <c r="G416" i="9" s="1"/>
  <c r="G417" i="9" s="1"/>
  <c r="G418" i="9" s="1"/>
  <c r="G419" i="9" s="1"/>
  <c r="G420" i="9" s="1"/>
  <c r="G421" i="9" s="1"/>
  <c r="G422" i="9" s="1"/>
  <c r="G423" i="9" s="1"/>
  <c r="G424" i="9" s="1"/>
  <c r="G425" i="9" s="1"/>
  <c r="G426" i="9" s="1"/>
  <c r="G427" i="9" s="1"/>
  <c r="G428" i="9" s="1"/>
  <c r="G429" i="9" s="1"/>
  <c r="G430" i="9" s="1"/>
  <c r="G431" i="9" s="1"/>
  <c r="G432" i="9" s="1"/>
  <c r="G433" i="9" s="1"/>
  <c r="G434" i="9" s="1"/>
  <c r="G435" i="9" s="1"/>
  <c r="G436" i="9" s="1"/>
  <c r="G437" i="9" s="1"/>
  <c r="G438" i="9" s="1"/>
  <c r="G439" i="9" s="1"/>
  <c r="G440" i="9" s="1"/>
  <c r="G441" i="9" s="1"/>
  <c r="G442" i="9" s="1"/>
  <c r="G443" i="9" s="1"/>
  <c r="G444" i="9" s="1"/>
  <c r="G445" i="9" s="1"/>
  <c r="G446" i="9" s="1"/>
  <c r="G447" i="9" s="1"/>
  <c r="G448" i="9" s="1"/>
  <c r="G449" i="9" s="1"/>
  <c r="G450" i="9" s="1"/>
  <c r="G451" i="9" s="1"/>
  <c r="G452" i="9" s="1"/>
  <c r="G453" i="9" s="1"/>
  <c r="G454" i="9" s="1"/>
  <c r="G455" i="9" s="1"/>
  <c r="G456" i="9" s="1"/>
  <c r="G457" i="9" s="1"/>
  <c r="G458" i="9" s="1"/>
  <c r="G459" i="9" s="1"/>
  <c r="G460" i="9" s="1"/>
  <c r="G461" i="9" s="1"/>
  <c r="G462" i="9" s="1"/>
  <c r="G463" i="9" s="1"/>
  <c r="G464" i="9" s="1"/>
  <c r="G465" i="9" s="1"/>
  <c r="G466" i="9" s="1"/>
  <c r="G467" i="9" s="1"/>
  <c r="G468" i="9" s="1"/>
  <c r="G469" i="9" s="1"/>
  <c r="G470" i="9" s="1"/>
  <c r="G471" i="9" s="1"/>
  <c r="G472" i="9" s="1"/>
  <c r="G473" i="9" s="1"/>
  <c r="G474" i="9" s="1"/>
  <c r="G475" i="9" s="1"/>
  <c r="G476" i="9" s="1"/>
  <c r="G477" i="9" s="1"/>
  <c r="G478" i="9" s="1"/>
  <c r="G479" i="9" s="1"/>
  <c r="G480" i="9" s="1"/>
  <c r="G481" i="9" s="1"/>
  <c r="G482" i="9" s="1"/>
  <c r="G483" i="9" s="1"/>
  <c r="G484" i="9" s="1"/>
  <c r="G485" i="9" s="1"/>
  <c r="G486" i="9" s="1"/>
  <c r="G487" i="9" s="1"/>
  <c r="G488" i="9" s="1"/>
  <c r="G489" i="9" s="1"/>
  <c r="G490" i="9" s="1"/>
  <c r="G491" i="9" s="1"/>
  <c r="G492" i="9" s="1"/>
  <c r="G493" i="9" s="1"/>
  <c r="G494" i="9" s="1"/>
  <c r="G495" i="9" s="1"/>
  <c r="G496" i="9" s="1"/>
  <c r="G497" i="9" s="1"/>
  <c r="G498" i="9" s="1"/>
  <c r="G499" i="9" s="1"/>
  <c r="G500" i="9" s="1"/>
  <c r="G501" i="9" s="1"/>
  <c r="G502" i="9" s="1"/>
  <c r="G503" i="9" s="1"/>
  <c r="G504" i="9" s="1"/>
  <c r="G505" i="9" s="1"/>
  <c r="G506" i="9" s="1"/>
  <c r="G507" i="9" s="1"/>
  <c r="G508" i="9" s="1"/>
  <c r="G509" i="9" s="1"/>
  <c r="G510" i="9" s="1"/>
  <c r="G511" i="9" s="1"/>
</calcChain>
</file>

<file path=xl/sharedStrings.xml><?xml version="1.0" encoding="utf-8"?>
<sst xmlns="http://schemas.openxmlformats.org/spreadsheetml/2006/main" count="3969" uniqueCount="79">
  <si>
    <t>Setup</t>
  </si>
  <si>
    <t>Feeder_Steps_Pro_mm</t>
  </si>
  <si>
    <t>Zaxis_Steps_Pro_mm</t>
  </si>
  <si>
    <t>Bender_Steps_Pro_Grad</t>
  </si>
  <si>
    <t>Feeder_Speed</t>
  </si>
  <si>
    <t>Zaxis_Speed</t>
  </si>
  <si>
    <t>Bender_Speed</t>
  </si>
  <si>
    <t>Bender_Rückfedern_Prozent</t>
  </si>
  <si>
    <t>Pin_Startposition</t>
  </si>
  <si>
    <t>Feeder_Startposition</t>
  </si>
  <si>
    <t>Zaxis_Startposition</t>
  </si>
  <si>
    <t>Bender_Startposition</t>
  </si>
  <si>
    <t xml:space="preserve">Version: </t>
  </si>
  <si>
    <t>0.1</t>
  </si>
  <si>
    <t>Cube</t>
  </si>
  <si>
    <t>Titel:</t>
  </si>
  <si>
    <t>Bender</t>
  </si>
  <si>
    <t>INPUT</t>
  </si>
  <si>
    <t>RuhePosition</t>
  </si>
  <si>
    <t>Grad</t>
  </si>
  <si>
    <t>x</t>
  </si>
  <si>
    <t>y</t>
  </si>
  <si>
    <t>z</t>
  </si>
  <si>
    <t>Parameter</t>
  </si>
  <si>
    <t>Feed Y</t>
  </si>
  <si>
    <t>Start Sequenz</t>
  </si>
  <si>
    <t>Normalenvektor für z Achse</t>
  </si>
  <si>
    <t>N</t>
  </si>
  <si>
    <t>G92 Festlegung der aktuellen Position auf NULL</t>
  </si>
  <si>
    <t>G90  Positionierung einstellen , Schaltet auf Manuell bis Bestätigung Taster</t>
  </si>
  <si>
    <t>G90</t>
  </si>
  <si>
    <t>G92</t>
  </si>
  <si>
    <t>G-Code</t>
  </si>
  <si>
    <t xml:space="preserve">Parameter </t>
  </si>
  <si>
    <t>G02</t>
  </si>
  <si>
    <t>X</t>
  </si>
  <si>
    <t>Y</t>
  </si>
  <si>
    <t>Z</t>
  </si>
  <si>
    <t>0,1 mm</t>
  </si>
  <si>
    <t>I</t>
  </si>
  <si>
    <t>J</t>
  </si>
  <si>
    <t>K</t>
  </si>
  <si>
    <t>Feed nach letzter Biegung_mm</t>
  </si>
  <si>
    <t>Angle Calculation for Bending</t>
  </si>
  <si>
    <t>Startpoints</t>
  </si>
  <si>
    <t>Constante</t>
  </si>
  <si>
    <t>Correction Value bending angle</t>
  </si>
  <si>
    <t>Z-Axis</t>
  </si>
  <si>
    <t xml:space="preserve">bending Value </t>
  </si>
  <si>
    <t>correction factor</t>
  </si>
  <si>
    <t>corrected bending value</t>
  </si>
  <si>
    <t>INPUT from CAD</t>
  </si>
  <si>
    <t>distance</t>
  </si>
  <si>
    <t>Home Position</t>
  </si>
  <si>
    <t>degree</t>
  </si>
  <si>
    <t>row</t>
  </si>
  <si>
    <t>vector x</t>
  </si>
  <si>
    <t>vector y</t>
  </si>
  <si>
    <t>vector z</t>
  </si>
  <si>
    <t>calculate bending angel</t>
  </si>
  <si>
    <t>X-Axis</t>
  </si>
  <si>
    <t>Scalarproduct</t>
  </si>
  <si>
    <t>verctorlenght</t>
  </si>
  <si>
    <t>bending angel without correction</t>
  </si>
  <si>
    <t>bending angel with correction</t>
  </si>
  <si>
    <t>bend yes = 1</t>
  </si>
  <si>
    <t>calculate distance</t>
  </si>
  <si>
    <t>Y-Axis</t>
  </si>
  <si>
    <t xml:space="preserve">calculate feeder distance </t>
  </si>
  <si>
    <t xml:space="preserve">90degree vector (Crossproduct) </t>
  </si>
  <si>
    <t>Z-Axis angle</t>
  </si>
  <si>
    <t>Important: wrong if 90 degree</t>
  </si>
  <si>
    <t>Gcode generator</t>
  </si>
  <si>
    <t>Main Sequenz</t>
  </si>
  <si>
    <t>Row</t>
  </si>
  <si>
    <t>Command</t>
  </si>
  <si>
    <t>Value</t>
  </si>
  <si>
    <t>Comment</t>
  </si>
  <si>
    <t>Bending Angle X-Axis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</si>
</sst>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">
    <xf numFmtId="0" fontId="0" fillId="0" borderId="0" xfId="0"/>
    <xf numFmtId="0" fontId="0" fillId="33" borderId="10" xfId="0" applyFill="1" applyBorder="1"/>
    <xf numFmtId="0" fontId="3" fillId="0" borderId="1" xfId="2"/>
    <xf numFmtId="0" fontId="4" fillId="0" borderId="2" xfId="3"/>
    <xf numFmtId="0" fontId="0" fillId="0" borderId="10" xfId="0" applyBorder="1"/>
    <xf numFmtId="0" fontId="18" fillId="34" borderId="0" xfId="0" applyFont="1" applyFill="1"/>
    <xf numFmtId="0" fontId="19" fillId="34" borderId="0" xfId="0" applyFont="1" applyFill="1"/>
    <xf numFmtId="0" fontId="0" fillId="0" borderId="0" xfId="0" applyAlignment="1">
      <alignment wrapText="1"/>
    </xf>
    <xf numFmtId="0" fontId="16" fillId="0" borderId="10" xfId="0" applyFont="1" applyBorder="1" applyAlignment="1">
      <alignment wrapText="1"/>
    </xf>
    <xf numFmtId="0" fontId="16" fillId="0" borderId="10" xfId="0" applyFont="1" applyBorder="1"/>
    <xf numFmtId="1" fontId="0" fillId="0" borderId="0" xfId="0" applyNumberFormat="1"/>
    <xf numFmtId="164" fontId="0" fillId="0" borderId="0" xfId="0" applyNumberFormat="1"/>
    <xf numFmtId="0" fontId="0" fillId="0" borderId="11" xfId="0" applyBorder="1"/>
    <xf numFmtId="0" fontId="0" fillId="0" borderId="10" xfId="0" applyFill="1" applyBorder="1"/>
    <xf numFmtId="0" fontId="20" fillId="0" borderId="0" xfId="0" applyFont="1"/>
    <xf numFmtId="0" fontId="0" fillId="0" borderId="0" xfId="0" applyAlignment="1">
      <alignment horizontal="right"/>
    </xf>
    <xf numFmtId="0" fontId="18" fillId="34" borderId="0" xfId="0" applyFont="1" applyFill="1" applyAlignment="1">
      <alignment horizontal="right"/>
    </xf>
    <xf numFmtId="0" fontId="20" fillId="0" borderId="0" xfId="0" applyFont="1" applyAlignment="1">
      <alignment horizontal="right"/>
    </xf>
    <xf numFmtId="0" fontId="3" fillId="0" borderId="1" xfId="2" applyAlignment="1">
      <alignment horizontal="right"/>
    </xf>
    <xf numFmtId="0" fontId="0" fillId="35" borderId="10" xfId="0" applyFill="1" applyBorder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INPUT_CAD!$C$9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INPUT_CAD!$B$10:$B$210</c:f>
              <c:numCache>
                <c:formatCode>General</c:formatCode>
                <c:ptCount val="201"/>
                <c:pt idx="0">
                  <c:v>0</c:v>
                </c:pt>
                <c:pt idx="1">
                  <c:v>0.21260642982231301</c:v>
                </c:pt>
                <c:pt idx="2">
                  <c:v>0.42521285964462702</c:v>
                </c:pt>
                <c:pt idx="3">
                  <c:v>0.637819289466941</c:v>
                </c:pt>
                <c:pt idx="4">
                  <c:v>0.85042571928925503</c:v>
                </c:pt>
                <c:pt idx="5">
                  <c:v>1.06303214911156</c:v>
                </c:pt>
                <c:pt idx="6">
                  <c:v>1.27563857893388</c:v>
                </c:pt>
                <c:pt idx="7">
                  <c:v>1.48824500875619</c:v>
                </c:pt>
                <c:pt idx="8">
                  <c:v>1.7008514385785101</c:v>
                </c:pt>
                <c:pt idx="9">
                  <c:v>1.9134578684008201</c:v>
                </c:pt>
                <c:pt idx="10">
                  <c:v>2.1260642982231301</c:v>
                </c:pt>
                <c:pt idx="11">
                  <c:v>2.3386707280454502</c:v>
                </c:pt>
                <c:pt idx="12">
                  <c:v>2.5461424962999799</c:v>
                </c:pt>
                <c:pt idx="13">
                  <c:v>2.7374594843968798</c:v>
                </c:pt>
                <c:pt idx="14">
                  <c:v>2.9287764724937801</c:v>
                </c:pt>
                <c:pt idx="15">
                  <c:v>3.12009346059068</c:v>
                </c:pt>
                <c:pt idx="16">
                  <c:v>3.3114104486875799</c:v>
                </c:pt>
                <c:pt idx="17">
                  <c:v>3.5027274367844798</c:v>
                </c:pt>
                <c:pt idx="18">
                  <c:v>3.6940444248813802</c:v>
                </c:pt>
                <c:pt idx="19">
                  <c:v>3.8853614129782801</c:v>
                </c:pt>
                <c:pt idx="20">
                  <c:v>4.0766784010751804</c:v>
                </c:pt>
                <c:pt idx="21">
                  <c:v>4.2679953891720803</c:v>
                </c:pt>
                <c:pt idx="22">
                  <c:v>4.4527520491206696</c:v>
                </c:pt>
                <c:pt idx="23">
                  <c:v>4.6196753180585297</c:v>
                </c:pt>
                <c:pt idx="24">
                  <c:v>4.7649205585952004</c:v>
                </c:pt>
                <c:pt idx="25">
                  <c:v>4.8851765510690202</c:v>
                </c:pt>
                <c:pt idx="26">
                  <c:v>4.9777017667025598</c:v>
                </c:pt>
                <c:pt idx="27">
                  <c:v>5.0403868674405903</c:v>
                </c:pt>
                <c:pt idx="28">
                  <c:v>5.07180279345787</c:v>
                </c:pt>
                <c:pt idx="29">
                  <c:v>5.0712333420648399</c:v>
                </c:pt>
                <c:pt idx="30">
                  <c:v>5.03869149529549</c:v>
                </c:pt>
                <c:pt idx="31">
                  <c:v>4.9749191239502197</c:v>
                </c:pt>
                <c:pt idx="32">
                  <c:v>4.8813700748407101</c:v>
                </c:pt>
                <c:pt idx="33">
                  <c:v>4.7601770268044996</c:v>
                </c:pt>
                <c:pt idx="34">
                  <c:v>4.61410287108699</c:v>
                </c:pt>
                <c:pt idx="35">
                  <c:v>4.4464777244939802</c:v>
                </c:pt>
                <c:pt idx="36">
                  <c:v>4.2628020223243004</c:v>
                </c:pt>
                <c:pt idx="37">
                  <c:v>4.08590277981253</c:v>
                </c:pt>
                <c:pt idx="38">
                  <c:v>3.9090035373007499</c:v>
                </c:pt>
                <c:pt idx="39">
                  <c:v>3.73210429478898</c:v>
                </c:pt>
                <c:pt idx="40">
                  <c:v>3.5552050522771999</c:v>
                </c:pt>
                <c:pt idx="41">
                  <c:v>3.3783058097654299</c:v>
                </c:pt>
                <c:pt idx="42">
                  <c:v>3.20140656725366</c:v>
                </c:pt>
                <c:pt idx="43">
                  <c:v>3.0245073247418799</c:v>
                </c:pt>
                <c:pt idx="44">
                  <c:v>2.84760808223011</c:v>
                </c:pt>
                <c:pt idx="45">
                  <c:v>2.6707088397183298</c:v>
                </c:pt>
                <c:pt idx="46">
                  <c:v>2.4938095972065599</c:v>
                </c:pt>
                <c:pt idx="47">
                  <c:v>2.31691035469479</c:v>
                </c:pt>
                <c:pt idx="48">
                  <c:v>2.1400111121830099</c:v>
                </c:pt>
                <c:pt idx="49">
                  <c:v>1.96311186967124</c:v>
                </c:pt>
                <c:pt idx="50">
                  <c:v>1.7862126271594601</c:v>
                </c:pt>
              </c:numCache>
            </c:numRef>
          </c:xVal>
          <c:yVal>
            <c:numRef>
              <c:f>INPUT_CAD!$C$10:$C$210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E-41A5-A832-15E3C8249CA8}"/>
            </c:ext>
          </c:extLst>
        </c:ser>
        <c:ser>
          <c:idx val="1"/>
          <c:order val="1"/>
          <c:tx>
            <c:strRef>
              <c:f>INPUT_CAD!$D$9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INPUT_CAD!$B$10:$B$210</c:f>
              <c:numCache>
                <c:formatCode>General</c:formatCode>
                <c:ptCount val="201"/>
                <c:pt idx="0">
                  <c:v>0</c:v>
                </c:pt>
                <c:pt idx="1">
                  <c:v>0.21260642982231301</c:v>
                </c:pt>
                <c:pt idx="2">
                  <c:v>0.42521285964462702</c:v>
                </c:pt>
                <c:pt idx="3">
                  <c:v>0.637819289466941</c:v>
                </c:pt>
                <c:pt idx="4">
                  <c:v>0.85042571928925503</c:v>
                </c:pt>
                <c:pt idx="5">
                  <c:v>1.06303214911156</c:v>
                </c:pt>
                <c:pt idx="6">
                  <c:v>1.27563857893388</c:v>
                </c:pt>
                <c:pt idx="7">
                  <c:v>1.48824500875619</c:v>
                </c:pt>
                <c:pt idx="8">
                  <c:v>1.7008514385785101</c:v>
                </c:pt>
                <c:pt idx="9">
                  <c:v>1.9134578684008201</c:v>
                </c:pt>
                <c:pt idx="10">
                  <c:v>2.1260642982231301</c:v>
                </c:pt>
                <c:pt idx="11">
                  <c:v>2.3386707280454502</c:v>
                </c:pt>
                <c:pt idx="12">
                  <c:v>2.5461424962999799</c:v>
                </c:pt>
                <c:pt idx="13">
                  <c:v>2.7374594843968798</c:v>
                </c:pt>
                <c:pt idx="14">
                  <c:v>2.9287764724937801</c:v>
                </c:pt>
                <c:pt idx="15">
                  <c:v>3.12009346059068</c:v>
                </c:pt>
                <c:pt idx="16">
                  <c:v>3.3114104486875799</c:v>
                </c:pt>
                <c:pt idx="17">
                  <c:v>3.5027274367844798</c:v>
                </c:pt>
                <c:pt idx="18">
                  <c:v>3.6940444248813802</c:v>
                </c:pt>
                <c:pt idx="19">
                  <c:v>3.8853614129782801</c:v>
                </c:pt>
                <c:pt idx="20">
                  <c:v>4.0766784010751804</c:v>
                </c:pt>
                <c:pt idx="21">
                  <c:v>4.2679953891720803</c:v>
                </c:pt>
                <c:pt idx="22">
                  <c:v>4.4527520491206696</c:v>
                </c:pt>
                <c:pt idx="23">
                  <c:v>4.6196753180585297</c:v>
                </c:pt>
                <c:pt idx="24">
                  <c:v>4.7649205585952004</c:v>
                </c:pt>
                <c:pt idx="25">
                  <c:v>4.8851765510690202</c:v>
                </c:pt>
                <c:pt idx="26">
                  <c:v>4.9777017667025598</c:v>
                </c:pt>
                <c:pt idx="27">
                  <c:v>5.0403868674405903</c:v>
                </c:pt>
                <c:pt idx="28">
                  <c:v>5.07180279345787</c:v>
                </c:pt>
                <c:pt idx="29">
                  <c:v>5.0712333420648399</c:v>
                </c:pt>
                <c:pt idx="30">
                  <c:v>5.03869149529549</c:v>
                </c:pt>
                <c:pt idx="31">
                  <c:v>4.9749191239502197</c:v>
                </c:pt>
                <c:pt idx="32">
                  <c:v>4.8813700748407101</c:v>
                </c:pt>
                <c:pt idx="33">
                  <c:v>4.7601770268044996</c:v>
                </c:pt>
                <c:pt idx="34">
                  <c:v>4.61410287108699</c:v>
                </c:pt>
                <c:pt idx="35">
                  <c:v>4.4464777244939802</c:v>
                </c:pt>
                <c:pt idx="36">
                  <c:v>4.2628020223243004</c:v>
                </c:pt>
                <c:pt idx="37">
                  <c:v>4.08590277981253</c:v>
                </c:pt>
                <c:pt idx="38">
                  <c:v>3.9090035373007499</c:v>
                </c:pt>
                <c:pt idx="39">
                  <c:v>3.73210429478898</c:v>
                </c:pt>
                <c:pt idx="40">
                  <c:v>3.5552050522771999</c:v>
                </c:pt>
                <c:pt idx="41">
                  <c:v>3.3783058097654299</c:v>
                </c:pt>
                <c:pt idx="42">
                  <c:v>3.20140656725366</c:v>
                </c:pt>
                <c:pt idx="43">
                  <c:v>3.0245073247418799</c:v>
                </c:pt>
                <c:pt idx="44">
                  <c:v>2.84760808223011</c:v>
                </c:pt>
                <c:pt idx="45">
                  <c:v>2.6707088397183298</c:v>
                </c:pt>
                <c:pt idx="46">
                  <c:v>2.4938095972065599</c:v>
                </c:pt>
                <c:pt idx="47">
                  <c:v>2.31691035469479</c:v>
                </c:pt>
                <c:pt idx="48">
                  <c:v>2.1400111121830099</c:v>
                </c:pt>
                <c:pt idx="49">
                  <c:v>1.96311186967124</c:v>
                </c:pt>
                <c:pt idx="50">
                  <c:v>1.7862126271594601</c:v>
                </c:pt>
              </c:numCache>
            </c:numRef>
          </c:xVal>
          <c:yVal>
            <c:numRef>
              <c:f>INPUT_CAD!$D$10:$D$210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-2.2365530492281599E-2</c:v>
                </c:pt>
                <c:pt idx="13">
                  <c:v>-0.11509796315379001</c:v>
                </c:pt>
                <c:pt idx="14">
                  <c:v>-0.2078303958153</c:v>
                </c:pt>
                <c:pt idx="15">
                  <c:v>-0.30056282847680899</c:v>
                </c:pt>
                <c:pt idx="16">
                  <c:v>-0.39329526113831798</c:v>
                </c:pt>
                <c:pt idx="17">
                  <c:v>-0.48602769379982802</c:v>
                </c:pt>
                <c:pt idx="18">
                  <c:v>-0.57876012646133701</c:v>
                </c:pt>
                <c:pt idx="19">
                  <c:v>-0.671492559122847</c:v>
                </c:pt>
                <c:pt idx="20">
                  <c:v>-0.76422499178435599</c:v>
                </c:pt>
                <c:pt idx="21">
                  <c:v>-0.85695742444586498</c:v>
                </c:pt>
                <c:pt idx="22">
                  <c:v>-0.96175782029929002</c:v>
                </c:pt>
                <c:pt idx="23">
                  <c:v>-1.09310524103222</c:v>
                </c:pt>
                <c:pt idx="24">
                  <c:v>-1.2480869907563099</c:v>
                </c:pt>
                <c:pt idx="25">
                  <c:v>-1.4231698823255201</c:v>
                </c:pt>
                <c:pt idx="26">
                  <c:v>-1.6143624740179401</c:v>
                </c:pt>
                <c:pt idx="27">
                  <c:v>-1.8173060641890999</c:v>
                </c:pt>
                <c:pt idx="28">
                  <c:v>-2.02737405851135</c:v>
                </c:pt>
                <c:pt idx="29">
                  <c:v>-2.2397774444806098</c:v>
                </c:pt>
                <c:pt idx="30">
                  <c:v>-2.4496739686417701</c:v>
                </c:pt>
                <c:pt idx="31">
                  <c:v>-2.65227852757147</c:v>
                </c:pt>
                <c:pt idx="32">
                  <c:v>-2.8429722559864401</c:v>
                </c:pt>
                <c:pt idx="33">
                  <c:v>-3.01740782504789</c:v>
                </c:pt>
                <c:pt idx="34">
                  <c:v>-3.1716085503299398</c:v>
                </c:pt>
                <c:pt idx="35">
                  <c:v>-3.30205905004446</c:v>
                </c:pt>
                <c:pt idx="36">
                  <c:v>-3.4087492948422402</c:v>
                </c:pt>
                <c:pt idx="37">
                  <c:v>-3.52668212318342</c:v>
                </c:pt>
                <c:pt idx="38">
                  <c:v>-3.64461495152461</c:v>
                </c:pt>
                <c:pt idx="39">
                  <c:v>-3.7625477798657898</c:v>
                </c:pt>
                <c:pt idx="40">
                  <c:v>-3.8804806082069701</c:v>
                </c:pt>
                <c:pt idx="41">
                  <c:v>-3.9984134365481498</c:v>
                </c:pt>
                <c:pt idx="42">
                  <c:v>-4.1163462648893399</c:v>
                </c:pt>
                <c:pt idx="43">
                  <c:v>-4.2342790932305201</c:v>
                </c:pt>
                <c:pt idx="44">
                  <c:v>-4.3522119215717003</c:v>
                </c:pt>
                <c:pt idx="45">
                  <c:v>-4.4701447499128797</c:v>
                </c:pt>
                <c:pt idx="46">
                  <c:v>-4.5880775782540697</c:v>
                </c:pt>
                <c:pt idx="47">
                  <c:v>-4.7060104065952499</c:v>
                </c:pt>
                <c:pt idx="48">
                  <c:v>-4.8239432349364302</c:v>
                </c:pt>
                <c:pt idx="49">
                  <c:v>-4.9418760632776104</c:v>
                </c:pt>
                <c:pt idx="50">
                  <c:v>-5.0598088916188004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4E-41A5-A832-15E3C8249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758288"/>
        <c:axId val="560763184"/>
      </c:scatterChart>
      <c:valAx>
        <c:axId val="56075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763184"/>
        <c:crosses val="autoZero"/>
        <c:crossBetween val="midCat"/>
      </c:valAx>
      <c:valAx>
        <c:axId val="56076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758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</xdr:row>
      <xdr:rowOff>133350</xdr:rowOff>
    </xdr:from>
    <xdr:to>
      <xdr:col>16</xdr:col>
      <xdr:colOff>485775</xdr:colOff>
      <xdr:row>32</xdr:row>
      <xdr:rowOff>171450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25</xdr:row>
          <xdr:rowOff>161925</xdr:rowOff>
        </xdr:from>
        <xdr:to>
          <xdr:col>3</xdr:col>
          <xdr:colOff>790575</xdr:colOff>
          <xdr:row>27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new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U26"/>
  <sheetViews>
    <sheetView workbookViewId="0">
      <selection activeCell="C10" sqref="C10"/>
    </sheetView>
  </sheetViews>
  <sheetFormatPr baseColWidth="10" defaultRowHeight="15" x14ac:dyDescent="0.25"/>
  <cols>
    <col min="1" max="1" width="3.7109375" customWidth="1"/>
    <col min="2" max="2" width="33.5703125" customWidth="1"/>
    <col min="3" max="3" width="12.140625" customWidth="1"/>
  </cols>
  <sheetData>
    <row r="2" spans="2:21" ht="61.5" x14ac:dyDescent="0.9">
      <c r="B2" s="6" t="s">
        <v>43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</row>
    <row r="4" spans="2:21" x14ac:dyDescent="0.25">
      <c r="B4" s="1" t="s">
        <v>12</v>
      </c>
      <c r="C4" s="1" t="s">
        <v>13</v>
      </c>
    </row>
    <row r="5" spans="2:21" x14ac:dyDescent="0.25">
      <c r="B5" s="1" t="s">
        <v>15</v>
      </c>
      <c r="C5" s="1" t="s">
        <v>14</v>
      </c>
    </row>
    <row r="8" spans="2:21" ht="20.25" thickBot="1" x14ac:dyDescent="0.35">
      <c r="B8" s="2" t="s">
        <v>0</v>
      </c>
      <c r="C8" s="2"/>
    </row>
    <row r="9" spans="2:21" ht="18.75" thickTop="1" thickBot="1" x14ac:dyDescent="0.35">
      <c r="B9" s="3" t="s">
        <v>45</v>
      </c>
      <c r="C9" s="3"/>
    </row>
    <row r="10" spans="2:21" ht="15.75" thickTop="1" x14ac:dyDescent="0.25">
      <c r="B10" s="4" t="s">
        <v>1</v>
      </c>
      <c r="C10" s="4">
        <v>48</v>
      </c>
    </row>
    <row r="11" spans="2:21" x14ac:dyDescent="0.25">
      <c r="B11" s="4" t="s">
        <v>2</v>
      </c>
      <c r="C11" s="4">
        <v>18</v>
      </c>
    </row>
    <row r="12" spans="2:21" x14ac:dyDescent="0.25">
      <c r="B12" s="4" t="s">
        <v>3</v>
      </c>
      <c r="C12" s="4">
        <v>18</v>
      </c>
    </row>
    <row r="13" spans="2:21" x14ac:dyDescent="0.25">
      <c r="B13" s="4" t="s">
        <v>4</v>
      </c>
      <c r="C13" s="4">
        <v>1200</v>
      </c>
    </row>
    <row r="14" spans="2:21" x14ac:dyDescent="0.25">
      <c r="B14" s="4" t="s">
        <v>5</v>
      </c>
      <c r="C14" s="4">
        <v>1200</v>
      </c>
    </row>
    <row r="15" spans="2:21" x14ac:dyDescent="0.25">
      <c r="B15" s="4" t="s">
        <v>6</v>
      </c>
      <c r="C15" s="4">
        <v>1500</v>
      </c>
    </row>
    <row r="16" spans="2:21" x14ac:dyDescent="0.25">
      <c r="B16" s="4" t="s">
        <v>7</v>
      </c>
      <c r="C16" s="4">
        <v>0.1</v>
      </c>
    </row>
    <row r="17" spans="2:5" x14ac:dyDescent="0.25">
      <c r="B17" s="4" t="s">
        <v>42</v>
      </c>
      <c r="C17" s="4">
        <v>10</v>
      </c>
    </row>
    <row r="19" spans="2:5" ht="18" thickBot="1" x14ac:dyDescent="0.35">
      <c r="B19" s="3" t="s">
        <v>44</v>
      </c>
      <c r="C19" s="3"/>
    </row>
    <row r="20" spans="2:5" ht="15.75" thickTop="1" x14ac:dyDescent="0.25">
      <c r="B20" s="4" t="s">
        <v>8</v>
      </c>
      <c r="C20" s="4">
        <v>0</v>
      </c>
    </row>
    <row r="21" spans="2:5" x14ac:dyDescent="0.25">
      <c r="B21" s="4" t="s">
        <v>9</v>
      </c>
      <c r="C21" s="4">
        <v>0</v>
      </c>
    </row>
    <row r="22" spans="2:5" x14ac:dyDescent="0.25">
      <c r="B22" s="4" t="s">
        <v>10</v>
      </c>
      <c r="C22" s="4">
        <v>0</v>
      </c>
    </row>
    <row r="23" spans="2:5" x14ac:dyDescent="0.25">
      <c r="B23" s="4" t="s">
        <v>11</v>
      </c>
      <c r="C23" s="4">
        <v>0</v>
      </c>
    </row>
    <row r="25" spans="2:5" x14ac:dyDescent="0.25">
      <c r="B25" s="4" t="s">
        <v>18</v>
      </c>
      <c r="C25" s="12">
        <v>-20</v>
      </c>
      <c r="D25" s="12" t="s">
        <v>19</v>
      </c>
    </row>
    <row r="26" spans="2:5" x14ac:dyDescent="0.25">
      <c r="B26" s="13" t="s">
        <v>26</v>
      </c>
      <c r="C26" s="13">
        <v>0</v>
      </c>
      <c r="D26" s="4">
        <v>0</v>
      </c>
      <c r="E26" s="4">
        <v>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2:T1447"/>
  <sheetViews>
    <sheetView workbookViewId="0">
      <selection activeCell="E6" sqref="E6:G6"/>
    </sheetView>
  </sheetViews>
  <sheetFormatPr baseColWidth="10" defaultRowHeight="15" x14ac:dyDescent="0.25"/>
  <cols>
    <col min="1" max="7" width="18.7109375" customWidth="1"/>
  </cols>
  <sheetData>
    <row r="2" spans="1:20" ht="28.5" x14ac:dyDescent="0.45">
      <c r="A2" s="5" t="s">
        <v>46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</row>
    <row r="4" spans="1:20" ht="20.25" thickBot="1" x14ac:dyDescent="0.35">
      <c r="A4" s="2" t="s">
        <v>16</v>
      </c>
      <c r="B4" s="2"/>
      <c r="C4" s="2"/>
      <c r="E4" s="2" t="s">
        <v>47</v>
      </c>
      <c r="F4" s="2"/>
      <c r="G4" s="2"/>
    </row>
    <row r="5" spans="1:20" ht="15.75" thickTop="1" x14ac:dyDescent="0.25"/>
    <row r="6" spans="1:20" ht="30" x14ac:dyDescent="0.25">
      <c r="A6" s="8" t="s">
        <v>48</v>
      </c>
      <c r="B6" s="8" t="s">
        <v>49</v>
      </c>
      <c r="C6" s="8" t="s">
        <v>50</v>
      </c>
      <c r="D6" s="7"/>
      <c r="E6" s="8" t="s">
        <v>48</v>
      </c>
      <c r="F6" s="8" t="s">
        <v>49</v>
      </c>
      <c r="G6" s="8" t="s">
        <v>50</v>
      </c>
    </row>
    <row r="7" spans="1:20" x14ac:dyDescent="0.25">
      <c r="A7" s="4">
        <v>-123</v>
      </c>
      <c r="B7" s="4">
        <f t="shared" ref="B7:B59" si="0">A7*0.1</f>
        <v>-12.3</v>
      </c>
      <c r="C7" s="4">
        <f>ROUND(A7+B7,0)</f>
        <v>-135</v>
      </c>
      <c r="D7" s="7"/>
      <c r="E7" s="4">
        <v>-720</v>
      </c>
      <c r="F7" s="4">
        <v>0</v>
      </c>
      <c r="G7" s="4">
        <f>ROUND(E7+F7,0)</f>
        <v>-720</v>
      </c>
    </row>
    <row r="8" spans="1:20" x14ac:dyDescent="0.25">
      <c r="A8" s="4">
        <v>-122</v>
      </c>
      <c r="B8" s="4">
        <f t="shared" si="0"/>
        <v>-12.200000000000001</v>
      </c>
      <c r="C8" s="4">
        <f>ROUND(A8+B8,0)</f>
        <v>-134</v>
      </c>
      <c r="E8" s="4">
        <v>-719</v>
      </c>
      <c r="F8" s="4">
        <v>0</v>
      </c>
      <c r="G8" s="4">
        <f>ROUND(E8+F8,0)</f>
        <v>-719</v>
      </c>
    </row>
    <row r="9" spans="1:20" x14ac:dyDescent="0.25">
      <c r="A9" s="4">
        <v>-121</v>
      </c>
      <c r="B9" s="4">
        <f t="shared" si="0"/>
        <v>-12.100000000000001</v>
      </c>
      <c r="C9" s="4">
        <f t="shared" ref="C9:C72" si="1">ROUND(A9+B9,0)</f>
        <v>-133</v>
      </c>
      <c r="E9" s="4">
        <v>-718</v>
      </c>
      <c r="F9" s="4">
        <v>0</v>
      </c>
      <c r="G9" s="4">
        <f t="shared" ref="G9:G72" si="2">ROUND(E9+F9,0)</f>
        <v>-718</v>
      </c>
    </row>
    <row r="10" spans="1:20" x14ac:dyDescent="0.25">
      <c r="A10" s="4">
        <v>-120</v>
      </c>
      <c r="B10" s="4">
        <f t="shared" si="0"/>
        <v>-12</v>
      </c>
      <c r="C10" s="4">
        <f t="shared" si="1"/>
        <v>-132</v>
      </c>
      <c r="E10" s="4">
        <v>-717</v>
      </c>
      <c r="F10" s="4">
        <v>0</v>
      </c>
      <c r="G10" s="4">
        <f t="shared" si="2"/>
        <v>-717</v>
      </c>
    </row>
    <row r="11" spans="1:20" x14ac:dyDescent="0.25">
      <c r="A11" s="4">
        <v>-119</v>
      </c>
      <c r="B11" s="4">
        <f t="shared" si="0"/>
        <v>-11.9</v>
      </c>
      <c r="C11" s="4">
        <f t="shared" si="1"/>
        <v>-131</v>
      </c>
      <c r="E11" s="4">
        <v>-716</v>
      </c>
      <c r="F11" s="4">
        <v>0</v>
      </c>
      <c r="G11" s="4">
        <f t="shared" si="2"/>
        <v>-716</v>
      </c>
    </row>
    <row r="12" spans="1:20" x14ac:dyDescent="0.25">
      <c r="A12" s="4">
        <v>-118</v>
      </c>
      <c r="B12" s="4">
        <f t="shared" si="0"/>
        <v>-11.8</v>
      </c>
      <c r="C12" s="4">
        <f t="shared" si="1"/>
        <v>-130</v>
      </c>
      <c r="E12" s="4">
        <v>-715</v>
      </c>
      <c r="F12" s="4">
        <v>0</v>
      </c>
      <c r="G12" s="4">
        <f t="shared" si="2"/>
        <v>-715</v>
      </c>
    </row>
    <row r="13" spans="1:20" x14ac:dyDescent="0.25">
      <c r="A13" s="4">
        <v>-117</v>
      </c>
      <c r="B13" s="4">
        <f t="shared" si="0"/>
        <v>-11.700000000000001</v>
      </c>
      <c r="C13" s="4">
        <f t="shared" si="1"/>
        <v>-129</v>
      </c>
      <c r="E13" s="4">
        <v>-714</v>
      </c>
      <c r="F13" s="4">
        <v>0</v>
      </c>
      <c r="G13" s="4">
        <f t="shared" si="2"/>
        <v>-714</v>
      </c>
    </row>
    <row r="14" spans="1:20" x14ac:dyDescent="0.25">
      <c r="A14" s="4">
        <v>-116</v>
      </c>
      <c r="B14" s="4">
        <f t="shared" si="0"/>
        <v>-11.600000000000001</v>
      </c>
      <c r="C14" s="4">
        <f t="shared" si="1"/>
        <v>-128</v>
      </c>
      <c r="E14" s="4">
        <v>-713</v>
      </c>
      <c r="F14" s="4">
        <v>0</v>
      </c>
      <c r="G14" s="4">
        <f t="shared" si="2"/>
        <v>-713</v>
      </c>
    </row>
    <row r="15" spans="1:20" x14ac:dyDescent="0.25">
      <c r="A15" s="4">
        <v>-115</v>
      </c>
      <c r="B15" s="4">
        <f t="shared" si="0"/>
        <v>-11.5</v>
      </c>
      <c r="C15" s="4">
        <f t="shared" si="1"/>
        <v>-127</v>
      </c>
      <c r="E15" s="4">
        <v>-712</v>
      </c>
      <c r="F15" s="4">
        <v>0</v>
      </c>
      <c r="G15" s="4">
        <f t="shared" si="2"/>
        <v>-712</v>
      </c>
    </row>
    <row r="16" spans="1:20" x14ac:dyDescent="0.25">
      <c r="A16" s="4">
        <v>-114</v>
      </c>
      <c r="B16" s="4">
        <f t="shared" si="0"/>
        <v>-11.4</v>
      </c>
      <c r="C16" s="4">
        <f t="shared" si="1"/>
        <v>-125</v>
      </c>
      <c r="E16" s="4">
        <v>-711</v>
      </c>
      <c r="F16" s="4">
        <v>0</v>
      </c>
      <c r="G16" s="4">
        <f t="shared" si="2"/>
        <v>-711</v>
      </c>
    </row>
    <row r="17" spans="1:7" x14ac:dyDescent="0.25">
      <c r="A17" s="4">
        <v>-113</v>
      </c>
      <c r="B17" s="4">
        <f t="shared" si="0"/>
        <v>-11.3</v>
      </c>
      <c r="C17" s="4">
        <f t="shared" si="1"/>
        <v>-124</v>
      </c>
      <c r="E17" s="4">
        <v>-710</v>
      </c>
      <c r="F17" s="4">
        <v>0</v>
      </c>
      <c r="G17" s="4">
        <f t="shared" si="2"/>
        <v>-710</v>
      </c>
    </row>
    <row r="18" spans="1:7" x14ac:dyDescent="0.25">
      <c r="A18" s="4">
        <v>-112</v>
      </c>
      <c r="B18" s="4">
        <f t="shared" si="0"/>
        <v>-11.200000000000001</v>
      </c>
      <c r="C18" s="4">
        <f t="shared" si="1"/>
        <v>-123</v>
      </c>
      <c r="E18" s="4">
        <v>-709</v>
      </c>
      <c r="F18" s="4">
        <v>0</v>
      </c>
      <c r="G18" s="4">
        <f t="shared" si="2"/>
        <v>-709</v>
      </c>
    </row>
    <row r="19" spans="1:7" x14ac:dyDescent="0.25">
      <c r="A19" s="4">
        <v>-111</v>
      </c>
      <c r="B19" s="4">
        <f t="shared" si="0"/>
        <v>-11.100000000000001</v>
      </c>
      <c r="C19" s="4">
        <f t="shared" si="1"/>
        <v>-122</v>
      </c>
      <c r="E19" s="4">
        <v>-708</v>
      </c>
      <c r="F19" s="4">
        <v>0</v>
      </c>
      <c r="G19" s="4">
        <f t="shared" si="2"/>
        <v>-708</v>
      </c>
    </row>
    <row r="20" spans="1:7" x14ac:dyDescent="0.25">
      <c r="A20" s="4">
        <v>-110</v>
      </c>
      <c r="B20" s="4">
        <f t="shared" si="0"/>
        <v>-11</v>
      </c>
      <c r="C20" s="4">
        <f t="shared" si="1"/>
        <v>-121</v>
      </c>
      <c r="E20" s="4">
        <v>-707</v>
      </c>
      <c r="F20" s="4">
        <v>0</v>
      </c>
      <c r="G20" s="4">
        <f t="shared" si="2"/>
        <v>-707</v>
      </c>
    </row>
    <row r="21" spans="1:7" x14ac:dyDescent="0.25">
      <c r="A21" s="4">
        <v>-109</v>
      </c>
      <c r="B21" s="4">
        <f t="shared" si="0"/>
        <v>-10.9</v>
      </c>
      <c r="C21" s="4">
        <f t="shared" si="1"/>
        <v>-120</v>
      </c>
      <c r="E21" s="4">
        <v>-706</v>
      </c>
      <c r="F21" s="4">
        <v>0</v>
      </c>
      <c r="G21" s="4">
        <f t="shared" si="2"/>
        <v>-706</v>
      </c>
    </row>
    <row r="22" spans="1:7" x14ac:dyDescent="0.25">
      <c r="A22" s="4">
        <v>-108</v>
      </c>
      <c r="B22" s="4">
        <f t="shared" si="0"/>
        <v>-10.8</v>
      </c>
      <c r="C22" s="4">
        <f t="shared" si="1"/>
        <v>-119</v>
      </c>
      <c r="E22" s="4">
        <v>-705</v>
      </c>
      <c r="F22" s="4">
        <v>0</v>
      </c>
      <c r="G22" s="4">
        <f t="shared" si="2"/>
        <v>-705</v>
      </c>
    </row>
    <row r="23" spans="1:7" x14ac:dyDescent="0.25">
      <c r="A23" s="4">
        <v>-107</v>
      </c>
      <c r="B23" s="4">
        <f t="shared" si="0"/>
        <v>-10.700000000000001</v>
      </c>
      <c r="C23" s="4">
        <f t="shared" si="1"/>
        <v>-118</v>
      </c>
      <c r="E23" s="4">
        <v>-704</v>
      </c>
      <c r="F23" s="4">
        <v>0</v>
      </c>
      <c r="G23" s="4">
        <f t="shared" si="2"/>
        <v>-704</v>
      </c>
    </row>
    <row r="24" spans="1:7" x14ac:dyDescent="0.25">
      <c r="A24" s="4">
        <v>-106</v>
      </c>
      <c r="B24" s="4">
        <f t="shared" si="0"/>
        <v>-10.600000000000001</v>
      </c>
      <c r="C24" s="4">
        <f t="shared" si="1"/>
        <v>-117</v>
      </c>
      <c r="E24" s="4">
        <v>-703</v>
      </c>
      <c r="F24" s="4">
        <v>0</v>
      </c>
      <c r="G24" s="4">
        <f t="shared" si="2"/>
        <v>-703</v>
      </c>
    </row>
    <row r="25" spans="1:7" x14ac:dyDescent="0.25">
      <c r="A25" s="4">
        <v>-105</v>
      </c>
      <c r="B25" s="4">
        <f t="shared" si="0"/>
        <v>-10.5</v>
      </c>
      <c r="C25" s="4">
        <f t="shared" si="1"/>
        <v>-116</v>
      </c>
      <c r="E25" s="4">
        <v>-702</v>
      </c>
      <c r="F25" s="4">
        <v>0</v>
      </c>
      <c r="G25" s="4">
        <f t="shared" si="2"/>
        <v>-702</v>
      </c>
    </row>
    <row r="26" spans="1:7" x14ac:dyDescent="0.25">
      <c r="A26" s="4">
        <v>-104</v>
      </c>
      <c r="B26" s="4">
        <f t="shared" si="0"/>
        <v>-10.4</v>
      </c>
      <c r="C26" s="4">
        <f t="shared" si="1"/>
        <v>-114</v>
      </c>
      <c r="E26" s="4">
        <v>-701</v>
      </c>
      <c r="F26" s="4">
        <v>0</v>
      </c>
      <c r="G26" s="4">
        <f t="shared" si="2"/>
        <v>-701</v>
      </c>
    </row>
    <row r="27" spans="1:7" x14ac:dyDescent="0.25">
      <c r="A27" s="4">
        <v>-103</v>
      </c>
      <c r="B27" s="4">
        <f t="shared" si="0"/>
        <v>-10.3</v>
      </c>
      <c r="C27" s="4">
        <f t="shared" si="1"/>
        <v>-113</v>
      </c>
      <c r="E27" s="4">
        <v>-700</v>
      </c>
      <c r="F27" s="4">
        <v>0</v>
      </c>
      <c r="G27" s="4">
        <f t="shared" si="2"/>
        <v>-700</v>
      </c>
    </row>
    <row r="28" spans="1:7" x14ac:dyDescent="0.25">
      <c r="A28" s="4">
        <v>-102</v>
      </c>
      <c r="B28" s="4">
        <f t="shared" si="0"/>
        <v>-10.200000000000001</v>
      </c>
      <c r="C28" s="4">
        <f t="shared" si="1"/>
        <v>-112</v>
      </c>
      <c r="E28" s="4">
        <v>-699</v>
      </c>
      <c r="F28" s="4">
        <v>0</v>
      </c>
      <c r="G28" s="4">
        <f t="shared" si="2"/>
        <v>-699</v>
      </c>
    </row>
    <row r="29" spans="1:7" x14ac:dyDescent="0.25">
      <c r="A29" s="4">
        <v>-101</v>
      </c>
      <c r="B29" s="4">
        <f t="shared" si="0"/>
        <v>-10.100000000000001</v>
      </c>
      <c r="C29" s="4">
        <f t="shared" si="1"/>
        <v>-111</v>
      </c>
      <c r="E29" s="4">
        <v>-698</v>
      </c>
      <c r="F29" s="4">
        <v>0</v>
      </c>
      <c r="G29" s="4">
        <f t="shared" si="2"/>
        <v>-698</v>
      </c>
    </row>
    <row r="30" spans="1:7" x14ac:dyDescent="0.25">
      <c r="A30" s="4">
        <v>-100</v>
      </c>
      <c r="B30" s="4">
        <f t="shared" si="0"/>
        <v>-10</v>
      </c>
      <c r="C30" s="4">
        <f t="shared" si="1"/>
        <v>-110</v>
      </c>
      <c r="E30" s="4">
        <v>-697</v>
      </c>
      <c r="F30" s="4">
        <v>0</v>
      </c>
      <c r="G30" s="4">
        <f t="shared" si="2"/>
        <v>-697</v>
      </c>
    </row>
    <row r="31" spans="1:7" x14ac:dyDescent="0.25">
      <c r="A31" s="4">
        <v>-99</v>
      </c>
      <c r="B31" s="4">
        <f t="shared" si="0"/>
        <v>-9.9</v>
      </c>
      <c r="C31" s="4">
        <f t="shared" si="1"/>
        <v>-109</v>
      </c>
      <c r="E31" s="4">
        <v>-696</v>
      </c>
      <c r="F31" s="4">
        <v>0</v>
      </c>
      <c r="G31" s="4">
        <f t="shared" si="2"/>
        <v>-696</v>
      </c>
    </row>
    <row r="32" spans="1:7" x14ac:dyDescent="0.25">
      <c r="A32" s="4">
        <v>-98</v>
      </c>
      <c r="B32" s="4">
        <f t="shared" si="0"/>
        <v>-9.8000000000000007</v>
      </c>
      <c r="C32" s="4">
        <f t="shared" si="1"/>
        <v>-108</v>
      </c>
      <c r="E32" s="4">
        <v>-695</v>
      </c>
      <c r="F32" s="4">
        <v>0</v>
      </c>
      <c r="G32" s="4">
        <f t="shared" si="2"/>
        <v>-695</v>
      </c>
    </row>
    <row r="33" spans="1:7" x14ac:dyDescent="0.25">
      <c r="A33" s="4">
        <v>-97</v>
      </c>
      <c r="B33" s="4">
        <f t="shared" si="0"/>
        <v>-9.7000000000000011</v>
      </c>
      <c r="C33" s="4">
        <f t="shared" si="1"/>
        <v>-107</v>
      </c>
      <c r="E33" s="4">
        <v>-694</v>
      </c>
      <c r="F33" s="4">
        <v>0</v>
      </c>
      <c r="G33" s="4">
        <f t="shared" si="2"/>
        <v>-694</v>
      </c>
    </row>
    <row r="34" spans="1:7" x14ac:dyDescent="0.25">
      <c r="A34" s="4">
        <v>-96</v>
      </c>
      <c r="B34" s="4">
        <f t="shared" si="0"/>
        <v>-9.6000000000000014</v>
      </c>
      <c r="C34" s="4">
        <f t="shared" si="1"/>
        <v>-106</v>
      </c>
      <c r="E34" s="4">
        <v>-693</v>
      </c>
      <c r="F34" s="4">
        <v>0</v>
      </c>
      <c r="G34" s="4">
        <f t="shared" si="2"/>
        <v>-693</v>
      </c>
    </row>
    <row r="35" spans="1:7" x14ac:dyDescent="0.25">
      <c r="A35" s="4">
        <v>-95</v>
      </c>
      <c r="B35" s="4">
        <f t="shared" si="0"/>
        <v>-9.5</v>
      </c>
      <c r="C35" s="4">
        <f t="shared" si="1"/>
        <v>-105</v>
      </c>
      <c r="E35" s="4">
        <v>-692</v>
      </c>
      <c r="F35" s="4">
        <v>0</v>
      </c>
      <c r="G35" s="4">
        <f t="shared" si="2"/>
        <v>-692</v>
      </c>
    </row>
    <row r="36" spans="1:7" x14ac:dyDescent="0.25">
      <c r="A36" s="4">
        <v>-94</v>
      </c>
      <c r="B36" s="4">
        <f t="shared" si="0"/>
        <v>-9.4</v>
      </c>
      <c r="C36" s="4">
        <f t="shared" si="1"/>
        <v>-103</v>
      </c>
      <c r="E36" s="4">
        <v>-691</v>
      </c>
      <c r="F36" s="4">
        <v>0</v>
      </c>
      <c r="G36" s="4">
        <f t="shared" si="2"/>
        <v>-691</v>
      </c>
    </row>
    <row r="37" spans="1:7" x14ac:dyDescent="0.25">
      <c r="A37" s="4">
        <v>-93</v>
      </c>
      <c r="B37" s="4">
        <f t="shared" si="0"/>
        <v>-9.3000000000000007</v>
      </c>
      <c r="C37" s="4">
        <f t="shared" si="1"/>
        <v>-102</v>
      </c>
      <c r="E37" s="4">
        <v>-690</v>
      </c>
      <c r="F37" s="4">
        <v>0</v>
      </c>
      <c r="G37" s="4">
        <f t="shared" si="2"/>
        <v>-690</v>
      </c>
    </row>
    <row r="38" spans="1:7" x14ac:dyDescent="0.25">
      <c r="A38" s="4">
        <v>-92</v>
      </c>
      <c r="B38" s="4">
        <f t="shared" si="0"/>
        <v>-9.2000000000000011</v>
      </c>
      <c r="C38" s="4">
        <f t="shared" si="1"/>
        <v>-101</v>
      </c>
      <c r="E38" s="4">
        <v>-689</v>
      </c>
      <c r="F38" s="4">
        <v>0</v>
      </c>
      <c r="G38" s="4">
        <f t="shared" si="2"/>
        <v>-689</v>
      </c>
    </row>
    <row r="39" spans="1:7" x14ac:dyDescent="0.25">
      <c r="A39" s="4">
        <v>-91</v>
      </c>
      <c r="B39" s="4">
        <f t="shared" si="0"/>
        <v>-9.1</v>
      </c>
      <c r="C39" s="4">
        <f t="shared" si="1"/>
        <v>-100</v>
      </c>
      <c r="E39" s="4">
        <v>-688</v>
      </c>
      <c r="F39" s="4">
        <v>0</v>
      </c>
      <c r="G39" s="4">
        <f t="shared" si="2"/>
        <v>-688</v>
      </c>
    </row>
    <row r="40" spans="1:7" x14ac:dyDescent="0.25">
      <c r="A40" s="4">
        <v>-90</v>
      </c>
      <c r="B40" s="4">
        <f t="shared" si="0"/>
        <v>-9</v>
      </c>
      <c r="C40" s="4">
        <f t="shared" si="1"/>
        <v>-99</v>
      </c>
      <c r="E40" s="4">
        <v>-687</v>
      </c>
      <c r="F40" s="4">
        <v>0</v>
      </c>
      <c r="G40" s="4">
        <f t="shared" si="2"/>
        <v>-687</v>
      </c>
    </row>
    <row r="41" spans="1:7" x14ac:dyDescent="0.25">
      <c r="A41" s="4">
        <v>-89</v>
      </c>
      <c r="B41" s="4">
        <f t="shared" si="0"/>
        <v>-8.9</v>
      </c>
      <c r="C41" s="4">
        <f t="shared" si="1"/>
        <v>-98</v>
      </c>
      <c r="E41" s="4">
        <v>-686</v>
      </c>
      <c r="F41" s="4">
        <v>0</v>
      </c>
      <c r="G41" s="4">
        <f t="shared" si="2"/>
        <v>-686</v>
      </c>
    </row>
    <row r="42" spans="1:7" x14ac:dyDescent="0.25">
      <c r="A42" s="4">
        <v>-88</v>
      </c>
      <c r="B42" s="4">
        <f t="shared" si="0"/>
        <v>-8.8000000000000007</v>
      </c>
      <c r="C42" s="4">
        <f t="shared" si="1"/>
        <v>-97</v>
      </c>
      <c r="E42" s="4">
        <v>-685</v>
      </c>
      <c r="F42" s="4">
        <v>0</v>
      </c>
      <c r="G42" s="4">
        <f t="shared" si="2"/>
        <v>-685</v>
      </c>
    </row>
    <row r="43" spans="1:7" x14ac:dyDescent="0.25">
      <c r="A43" s="4">
        <v>-87</v>
      </c>
      <c r="B43" s="4">
        <f t="shared" si="0"/>
        <v>-8.7000000000000011</v>
      </c>
      <c r="C43" s="4">
        <f t="shared" si="1"/>
        <v>-96</v>
      </c>
      <c r="E43" s="4">
        <v>-684</v>
      </c>
      <c r="F43" s="4">
        <v>0</v>
      </c>
      <c r="G43" s="4">
        <f t="shared" si="2"/>
        <v>-684</v>
      </c>
    </row>
    <row r="44" spans="1:7" x14ac:dyDescent="0.25">
      <c r="A44" s="4">
        <v>-86</v>
      </c>
      <c r="B44" s="4">
        <f t="shared" si="0"/>
        <v>-8.6</v>
      </c>
      <c r="C44" s="4">
        <f t="shared" si="1"/>
        <v>-95</v>
      </c>
      <c r="E44" s="4">
        <v>-683</v>
      </c>
      <c r="F44" s="4">
        <v>0</v>
      </c>
      <c r="G44" s="4">
        <f t="shared" si="2"/>
        <v>-683</v>
      </c>
    </row>
    <row r="45" spans="1:7" x14ac:dyDescent="0.25">
      <c r="A45" s="4">
        <v>-85</v>
      </c>
      <c r="B45" s="4">
        <f t="shared" si="0"/>
        <v>-8.5</v>
      </c>
      <c r="C45" s="4">
        <f t="shared" si="1"/>
        <v>-94</v>
      </c>
      <c r="E45" s="4">
        <v>-682</v>
      </c>
      <c r="F45" s="4">
        <v>0</v>
      </c>
      <c r="G45" s="4">
        <f t="shared" si="2"/>
        <v>-682</v>
      </c>
    </row>
    <row r="46" spans="1:7" x14ac:dyDescent="0.25">
      <c r="A46" s="4">
        <v>-84</v>
      </c>
      <c r="B46" s="4">
        <f t="shared" si="0"/>
        <v>-8.4</v>
      </c>
      <c r="C46" s="4">
        <f t="shared" si="1"/>
        <v>-92</v>
      </c>
      <c r="E46" s="4">
        <v>-681</v>
      </c>
      <c r="F46" s="4">
        <v>0</v>
      </c>
      <c r="G46" s="4">
        <f t="shared" si="2"/>
        <v>-681</v>
      </c>
    </row>
    <row r="47" spans="1:7" x14ac:dyDescent="0.25">
      <c r="A47" s="4">
        <v>-83</v>
      </c>
      <c r="B47" s="4">
        <f t="shared" si="0"/>
        <v>-8.3000000000000007</v>
      </c>
      <c r="C47" s="4">
        <f t="shared" si="1"/>
        <v>-91</v>
      </c>
      <c r="E47" s="4">
        <v>-680</v>
      </c>
      <c r="F47" s="4">
        <v>0</v>
      </c>
      <c r="G47" s="4">
        <f t="shared" si="2"/>
        <v>-680</v>
      </c>
    </row>
    <row r="48" spans="1:7" x14ac:dyDescent="0.25">
      <c r="A48" s="4">
        <v>-82</v>
      </c>
      <c r="B48" s="4">
        <f t="shared" si="0"/>
        <v>-8.2000000000000011</v>
      </c>
      <c r="C48" s="4">
        <f t="shared" si="1"/>
        <v>-90</v>
      </c>
      <c r="E48" s="4">
        <v>-679</v>
      </c>
      <c r="F48" s="4">
        <v>0</v>
      </c>
      <c r="G48" s="4">
        <f t="shared" si="2"/>
        <v>-679</v>
      </c>
    </row>
    <row r="49" spans="1:7" x14ac:dyDescent="0.25">
      <c r="A49" s="4">
        <v>-81</v>
      </c>
      <c r="B49" s="4">
        <f t="shared" si="0"/>
        <v>-8.1</v>
      </c>
      <c r="C49" s="4">
        <f t="shared" si="1"/>
        <v>-89</v>
      </c>
      <c r="E49" s="4">
        <v>-678</v>
      </c>
      <c r="F49" s="4">
        <v>0</v>
      </c>
      <c r="G49" s="4">
        <f t="shared" si="2"/>
        <v>-678</v>
      </c>
    </row>
    <row r="50" spans="1:7" x14ac:dyDescent="0.25">
      <c r="A50" s="4">
        <v>-80</v>
      </c>
      <c r="B50" s="4">
        <f t="shared" si="0"/>
        <v>-8</v>
      </c>
      <c r="C50" s="4">
        <f t="shared" si="1"/>
        <v>-88</v>
      </c>
      <c r="E50" s="4">
        <v>-677</v>
      </c>
      <c r="F50" s="4">
        <v>0</v>
      </c>
      <c r="G50" s="4">
        <f t="shared" si="2"/>
        <v>-677</v>
      </c>
    </row>
    <row r="51" spans="1:7" x14ac:dyDescent="0.25">
      <c r="A51" s="4">
        <v>-79</v>
      </c>
      <c r="B51" s="4">
        <f t="shared" si="0"/>
        <v>-7.9</v>
      </c>
      <c r="C51" s="4">
        <f t="shared" si="1"/>
        <v>-87</v>
      </c>
      <c r="E51" s="4">
        <v>-676</v>
      </c>
      <c r="F51" s="4">
        <v>0</v>
      </c>
      <c r="G51" s="4">
        <f t="shared" si="2"/>
        <v>-676</v>
      </c>
    </row>
    <row r="52" spans="1:7" x14ac:dyDescent="0.25">
      <c r="A52" s="4">
        <v>-78</v>
      </c>
      <c r="B52" s="4">
        <f t="shared" si="0"/>
        <v>-7.8000000000000007</v>
      </c>
      <c r="C52" s="4">
        <f t="shared" si="1"/>
        <v>-86</v>
      </c>
      <c r="E52" s="4">
        <v>-675</v>
      </c>
      <c r="F52" s="4">
        <v>0</v>
      </c>
      <c r="G52" s="4">
        <f t="shared" si="2"/>
        <v>-675</v>
      </c>
    </row>
    <row r="53" spans="1:7" x14ac:dyDescent="0.25">
      <c r="A53" s="4">
        <v>-77</v>
      </c>
      <c r="B53" s="4">
        <f t="shared" si="0"/>
        <v>-7.7</v>
      </c>
      <c r="C53" s="4">
        <f t="shared" si="1"/>
        <v>-85</v>
      </c>
      <c r="E53" s="4">
        <v>-674</v>
      </c>
      <c r="F53" s="4">
        <v>0</v>
      </c>
      <c r="G53" s="4">
        <f t="shared" si="2"/>
        <v>-674</v>
      </c>
    </row>
    <row r="54" spans="1:7" x14ac:dyDescent="0.25">
      <c r="A54" s="4">
        <v>-76</v>
      </c>
      <c r="B54" s="4">
        <f t="shared" si="0"/>
        <v>-7.6000000000000005</v>
      </c>
      <c r="C54" s="4">
        <f t="shared" si="1"/>
        <v>-84</v>
      </c>
      <c r="E54" s="4">
        <v>-673</v>
      </c>
      <c r="F54" s="4">
        <v>0</v>
      </c>
      <c r="G54" s="4">
        <f t="shared" si="2"/>
        <v>-673</v>
      </c>
    </row>
    <row r="55" spans="1:7" x14ac:dyDescent="0.25">
      <c r="A55" s="4">
        <v>-75</v>
      </c>
      <c r="B55" s="4">
        <f t="shared" si="0"/>
        <v>-7.5</v>
      </c>
      <c r="C55" s="4">
        <f t="shared" si="1"/>
        <v>-83</v>
      </c>
      <c r="E55" s="4">
        <v>-672</v>
      </c>
      <c r="F55" s="4">
        <v>0</v>
      </c>
      <c r="G55" s="4">
        <f t="shared" si="2"/>
        <v>-672</v>
      </c>
    </row>
    <row r="56" spans="1:7" x14ac:dyDescent="0.25">
      <c r="A56" s="4">
        <v>-74</v>
      </c>
      <c r="B56" s="4">
        <f t="shared" si="0"/>
        <v>-7.4</v>
      </c>
      <c r="C56" s="4">
        <f t="shared" si="1"/>
        <v>-81</v>
      </c>
      <c r="E56" s="4">
        <v>-671</v>
      </c>
      <c r="F56" s="4">
        <v>0</v>
      </c>
      <c r="G56" s="4">
        <f t="shared" si="2"/>
        <v>-671</v>
      </c>
    </row>
    <row r="57" spans="1:7" x14ac:dyDescent="0.25">
      <c r="A57" s="4">
        <v>-73</v>
      </c>
      <c r="B57" s="4">
        <f t="shared" si="0"/>
        <v>-7.3000000000000007</v>
      </c>
      <c r="C57" s="4">
        <f t="shared" si="1"/>
        <v>-80</v>
      </c>
      <c r="E57" s="4">
        <v>-670</v>
      </c>
      <c r="F57" s="4">
        <v>0</v>
      </c>
      <c r="G57" s="4">
        <f t="shared" si="2"/>
        <v>-670</v>
      </c>
    </row>
    <row r="58" spans="1:7" x14ac:dyDescent="0.25">
      <c r="A58" s="4">
        <v>-72</v>
      </c>
      <c r="B58" s="4">
        <f t="shared" si="0"/>
        <v>-7.2</v>
      </c>
      <c r="C58" s="4">
        <f t="shared" si="1"/>
        <v>-79</v>
      </c>
      <c r="E58" s="4">
        <v>-669</v>
      </c>
      <c r="F58" s="4">
        <v>0</v>
      </c>
      <c r="G58" s="4">
        <f t="shared" si="2"/>
        <v>-669</v>
      </c>
    </row>
    <row r="59" spans="1:7" x14ac:dyDescent="0.25">
      <c r="A59" s="4">
        <v>-71</v>
      </c>
      <c r="B59" s="4">
        <f t="shared" si="0"/>
        <v>-7.1000000000000005</v>
      </c>
      <c r="C59" s="4">
        <f t="shared" si="1"/>
        <v>-78</v>
      </c>
      <c r="E59" s="4">
        <v>-668</v>
      </c>
      <c r="F59" s="4">
        <v>0</v>
      </c>
      <c r="G59" s="4">
        <f t="shared" si="2"/>
        <v>-668</v>
      </c>
    </row>
    <row r="60" spans="1:7" x14ac:dyDescent="0.25">
      <c r="A60" s="4">
        <v>-70</v>
      </c>
      <c r="B60" s="4">
        <f t="shared" ref="B60:B123" si="3">A60*0.1</f>
        <v>-7</v>
      </c>
      <c r="C60" s="4">
        <f t="shared" si="1"/>
        <v>-77</v>
      </c>
      <c r="E60" s="4">
        <v>-667</v>
      </c>
      <c r="F60" s="4">
        <v>0</v>
      </c>
      <c r="G60" s="4">
        <f t="shared" si="2"/>
        <v>-667</v>
      </c>
    </row>
    <row r="61" spans="1:7" x14ac:dyDescent="0.25">
      <c r="A61" s="4">
        <v>-69</v>
      </c>
      <c r="B61" s="4">
        <f t="shared" si="3"/>
        <v>-6.9</v>
      </c>
      <c r="C61" s="4">
        <f t="shared" si="1"/>
        <v>-76</v>
      </c>
      <c r="E61" s="4">
        <v>-666</v>
      </c>
      <c r="F61" s="4">
        <v>0</v>
      </c>
      <c r="G61" s="4">
        <f t="shared" si="2"/>
        <v>-666</v>
      </c>
    </row>
    <row r="62" spans="1:7" x14ac:dyDescent="0.25">
      <c r="A62" s="4">
        <v>-68</v>
      </c>
      <c r="B62" s="4">
        <f t="shared" si="3"/>
        <v>-6.8000000000000007</v>
      </c>
      <c r="C62" s="4">
        <f t="shared" si="1"/>
        <v>-75</v>
      </c>
      <c r="E62" s="4">
        <v>-665</v>
      </c>
      <c r="F62" s="4">
        <v>0</v>
      </c>
      <c r="G62" s="4">
        <f t="shared" si="2"/>
        <v>-665</v>
      </c>
    </row>
    <row r="63" spans="1:7" x14ac:dyDescent="0.25">
      <c r="A63" s="4">
        <v>-67</v>
      </c>
      <c r="B63" s="4">
        <f t="shared" si="3"/>
        <v>-6.7</v>
      </c>
      <c r="C63" s="4">
        <f t="shared" si="1"/>
        <v>-74</v>
      </c>
      <c r="E63" s="4">
        <v>-664</v>
      </c>
      <c r="F63" s="4">
        <v>0</v>
      </c>
      <c r="G63" s="4">
        <f t="shared" si="2"/>
        <v>-664</v>
      </c>
    </row>
    <row r="64" spans="1:7" x14ac:dyDescent="0.25">
      <c r="A64" s="4">
        <v>-66</v>
      </c>
      <c r="B64" s="4">
        <f t="shared" si="3"/>
        <v>-6.6000000000000005</v>
      </c>
      <c r="C64" s="4">
        <f t="shared" si="1"/>
        <v>-73</v>
      </c>
      <c r="E64" s="4">
        <v>-663</v>
      </c>
      <c r="F64" s="4">
        <v>0</v>
      </c>
      <c r="G64" s="4">
        <f t="shared" si="2"/>
        <v>-663</v>
      </c>
    </row>
    <row r="65" spans="1:7" x14ac:dyDescent="0.25">
      <c r="A65" s="4">
        <v>-65</v>
      </c>
      <c r="B65" s="4">
        <f t="shared" si="3"/>
        <v>-6.5</v>
      </c>
      <c r="C65" s="4">
        <f t="shared" si="1"/>
        <v>-72</v>
      </c>
      <c r="E65" s="4">
        <v>-662</v>
      </c>
      <c r="F65" s="4">
        <v>0</v>
      </c>
      <c r="G65" s="4">
        <f t="shared" si="2"/>
        <v>-662</v>
      </c>
    </row>
    <row r="66" spans="1:7" x14ac:dyDescent="0.25">
      <c r="A66" s="4">
        <v>-64</v>
      </c>
      <c r="B66" s="4">
        <f t="shared" si="3"/>
        <v>-6.4</v>
      </c>
      <c r="C66" s="4">
        <f t="shared" si="1"/>
        <v>-70</v>
      </c>
      <c r="E66" s="4">
        <v>-661</v>
      </c>
      <c r="F66" s="4">
        <v>0</v>
      </c>
      <c r="G66" s="4">
        <f t="shared" si="2"/>
        <v>-661</v>
      </c>
    </row>
    <row r="67" spans="1:7" x14ac:dyDescent="0.25">
      <c r="A67" s="4">
        <v>-63</v>
      </c>
      <c r="B67" s="4">
        <f t="shared" si="3"/>
        <v>-6.3000000000000007</v>
      </c>
      <c r="C67" s="4">
        <f t="shared" si="1"/>
        <v>-69</v>
      </c>
      <c r="E67" s="4">
        <v>-660</v>
      </c>
      <c r="F67" s="4">
        <v>0</v>
      </c>
      <c r="G67" s="4">
        <f t="shared" si="2"/>
        <v>-660</v>
      </c>
    </row>
    <row r="68" spans="1:7" x14ac:dyDescent="0.25">
      <c r="A68" s="4">
        <v>-62</v>
      </c>
      <c r="B68" s="4">
        <f t="shared" si="3"/>
        <v>-6.2</v>
      </c>
      <c r="C68" s="4">
        <f t="shared" si="1"/>
        <v>-68</v>
      </c>
      <c r="E68" s="4">
        <v>-659</v>
      </c>
      <c r="F68" s="4">
        <v>0</v>
      </c>
      <c r="G68" s="4">
        <f t="shared" si="2"/>
        <v>-659</v>
      </c>
    </row>
    <row r="69" spans="1:7" x14ac:dyDescent="0.25">
      <c r="A69" s="4">
        <v>-61</v>
      </c>
      <c r="B69" s="4">
        <f t="shared" si="3"/>
        <v>-6.1000000000000005</v>
      </c>
      <c r="C69" s="4">
        <f t="shared" si="1"/>
        <v>-67</v>
      </c>
      <c r="E69" s="4">
        <v>-658</v>
      </c>
      <c r="F69" s="4">
        <v>0</v>
      </c>
      <c r="G69" s="4">
        <f t="shared" si="2"/>
        <v>-658</v>
      </c>
    </row>
    <row r="70" spans="1:7" x14ac:dyDescent="0.25">
      <c r="A70" s="4">
        <v>-60</v>
      </c>
      <c r="B70" s="4">
        <f t="shared" si="3"/>
        <v>-6</v>
      </c>
      <c r="C70" s="4">
        <f t="shared" si="1"/>
        <v>-66</v>
      </c>
      <c r="E70" s="4">
        <v>-657</v>
      </c>
      <c r="F70" s="4">
        <v>0</v>
      </c>
      <c r="G70" s="4">
        <f t="shared" si="2"/>
        <v>-657</v>
      </c>
    </row>
    <row r="71" spans="1:7" x14ac:dyDescent="0.25">
      <c r="A71" s="4">
        <v>-59</v>
      </c>
      <c r="B71" s="4">
        <f t="shared" si="3"/>
        <v>-5.9</v>
      </c>
      <c r="C71" s="4">
        <f t="shared" si="1"/>
        <v>-65</v>
      </c>
      <c r="E71" s="4">
        <v>-656</v>
      </c>
      <c r="F71" s="4">
        <v>0</v>
      </c>
      <c r="G71" s="4">
        <f t="shared" si="2"/>
        <v>-656</v>
      </c>
    </row>
    <row r="72" spans="1:7" x14ac:dyDescent="0.25">
      <c r="A72" s="4">
        <v>-58</v>
      </c>
      <c r="B72" s="4">
        <f t="shared" si="3"/>
        <v>-5.8000000000000007</v>
      </c>
      <c r="C72" s="4">
        <f t="shared" si="1"/>
        <v>-64</v>
      </c>
      <c r="E72" s="4">
        <v>-655</v>
      </c>
      <c r="F72" s="4">
        <v>0</v>
      </c>
      <c r="G72" s="4">
        <f t="shared" si="2"/>
        <v>-655</v>
      </c>
    </row>
    <row r="73" spans="1:7" x14ac:dyDescent="0.25">
      <c r="A73" s="4">
        <v>-57</v>
      </c>
      <c r="B73" s="4">
        <f t="shared" si="3"/>
        <v>-5.7</v>
      </c>
      <c r="C73" s="4">
        <f t="shared" ref="C73:C136" si="4">ROUND(A73+B73,0)</f>
        <v>-63</v>
      </c>
      <c r="E73" s="4">
        <v>-654</v>
      </c>
      <c r="F73" s="4">
        <v>0</v>
      </c>
      <c r="G73" s="4">
        <f t="shared" ref="G73:G136" si="5">ROUND(E73+F73,0)</f>
        <v>-654</v>
      </c>
    </row>
    <row r="74" spans="1:7" x14ac:dyDescent="0.25">
      <c r="A74" s="4">
        <v>-56</v>
      </c>
      <c r="B74" s="4">
        <f t="shared" si="3"/>
        <v>-5.6000000000000005</v>
      </c>
      <c r="C74" s="4">
        <f t="shared" si="4"/>
        <v>-62</v>
      </c>
      <c r="E74" s="4">
        <v>-653</v>
      </c>
      <c r="F74" s="4">
        <v>0</v>
      </c>
      <c r="G74" s="4">
        <f t="shared" si="5"/>
        <v>-653</v>
      </c>
    </row>
    <row r="75" spans="1:7" x14ac:dyDescent="0.25">
      <c r="A75" s="4">
        <v>-55</v>
      </c>
      <c r="B75" s="4">
        <f t="shared" si="3"/>
        <v>-5.5</v>
      </c>
      <c r="C75" s="4">
        <f t="shared" si="4"/>
        <v>-61</v>
      </c>
      <c r="E75" s="4">
        <v>-652</v>
      </c>
      <c r="F75" s="4">
        <v>0</v>
      </c>
      <c r="G75" s="4">
        <f t="shared" si="5"/>
        <v>-652</v>
      </c>
    </row>
    <row r="76" spans="1:7" x14ac:dyDescent="0.25">
      <c r="A76" s="4">
        <v>-54</v>
      </c>
      <c r="B76" s="4">
        <f t="shared" si="3"/>
        <v>-5.4</v>
      </c>
      <c r="C76" s="4">
        <f t="shared" si="4"/>
        <v>-59</v>
      </c>
      <c r="E76" s="4">
        <v>-651</v>
      </c>
      <c r="F76" s="4">
        <v>0</v>
      </c>
      <c r="G76" s="4">
        <f t="shared" si="5"/>
        <v>-651</v>
      </c>
    </row>
    <row r="77" spans="1:7" x14ac:dyDescent="0.25">
      <c r="A77" s="4">
        <v>-53</v>
      </c>
      <c r="B77" s="4">
        <f t="shared" si="3"/>
        <v>-5.3000000000000007</v>
      </c>
      <c r="C77" s="4">
        <f t="shared" si="4"/>
        <v>-58</v>
      </c>
      <c r="E77" s="4">
        <v>-650</v>
      </c>
      <c r="F77" s="4">
        <v>0</v>
      </c>
      <c r="G77" s="4">
        <f t="shared" si="5"/>
        <v>-650</v>
      </c>
    </row>
    <row r="78" spans="1:7" x14ac:dyDescent="0.25">
      <c r="A78" s="4">
        <v>-52</v>
      </c>
      <c r="B78" s="4">
        <f t="shared" si="3"/>
        <v>-5.2</v>
      </c>
      <c r="C78" s="4">
        <f t="shared" si="4"/>
        <v>-57</v>
      </c>
      <c r="E78" s="4">
        <v>-649</v>
      </c>
      <c r="F78" s="4">
        <v>0</v>
      </c>
      <c r="G78" s="4">
        <f t="shared" si="5"/>
        <v>-649</v>
      </c>
    </row>
    <row r="79" spans="1:7" x14ac:dyDescent="0.25">
      <c r="A79" s="4">
        <v>-51</v>
      </c>
      <c r="B79" s="4">
        <f t="shared" si="3"/>
        <v>-5.1000000000000005</v>
      </c>
      <c r="C79" s="4">
        <f t="shared" si="4"/>
        <v>-56</v>
      </c>
      <c r="E79" s="4">
        <v>-648</v>
      </c>
      <c r="F79" s="4">
        <v>0</v>
      </c>
      <c r="G79" s="4">
        <f t="shared" si="5"/>
        <v>-648</v>
      </c>
    </row>
    <row r="80" spans="1:7" x14ac:dyDescent="0.25">
      <c r="A80" s="4">
        <v>-50</v>
      </c>
      <c r="B80" s="4">
        <f t="shared" si="3"/>
        <v>-5</v>
      </c>
      <c r="C80" s="4">
        <f t="shared" si="4"/>
        <v>-55</v>
      </c>
      <c r="E80" s="4">
        <v>-647</v>
      </c>
      <c r="F80" s="4">
        <v>0</v>
      </c>
      <c r="G80" s="4">
        <f t="shared" si="5"/>
        <v>-647</v>
      </c>
    </row>
    <row r="81" spans="1:7" x14ac:dyDescent="0.25">
      <c r="A81" s="4">
        <v>-49</v>
      </c>
      <c r="B81" s="4">
        <f t="shared" si="3"/>
        <v>-4.9000000000000004</v>
      </c>
      <c r="C81" s="4">
        <f t="shared" si="4"/>
        <v>-54</v>
      </c>
      <c r="E81" s="4">
        <v>-646</v>
      </c>
      <c r="F81" s="4">
        <v>0</v>
      </c>
      <c r="G81" s="4">
        <f t="shared" si="5"/>
        <v>-646</v>
      </c>
    </row>
    <row r="82" spans="1:7" x14ac:dyDescent="0.25">
      <c r="A82" s="4">
        <v>-48</v>
      </c>
      <c r="B82" s="4">
        <f t="shared" si="3"/>
        <v>-4.8000000000000007</v>
      </c>
      <c r="C82" s="4">
        <f t="shared" si="4"/>
        <v>-53</v>
      </c>
      <c r="E82" s="4">
        <v>-645</v>
      </c>
      <c r="F82" s="4">
        <v>0</v>
      </c>
      <c r="G82" s="4">
        <f t="shared" si="5"/>
        <v>-645</v>
      </c>
    </row>
    <row r="83" spans="1:7" x14ac:dyDescent="0.25">
      <c r="A83" s="4">
        <v>-47</v>
      </c>
      <c r="B83" s="4">
        <f t="shared" si="3"/>
        <v>-4.7</v>
      </c>
      <c r="C83" s="4">
        <f t="shared" si="4"/>
        <v>-52</v>
      </c>
      <c r="E83" s="4">
        <v>-644</v>
      </c>
      <c r="F83" s="4">
        <v>0</v>
      </c>
      <c r="G83" s="4">
        <f t="shared" si="5"/>
        <v>-644</v>
      </c>
    </row>
    <row r="84" spans="1:7" x14ac:dyDescent="0.25">
      <c r="A84" s="4">
        <v>-46</v>
      </c>
      <c r="B84" s="4">
        <f t="shared" si="3"/>
        <v>-4.6000000000000005</v>
      </c>
      <c r="C84" s="4">
        <f t="shared" si="4"/>
        <v>-51</v>
      </c>
      <c r="E84" s="4">
        <v>-643</v>
      </c>
      <c r="F84" s="4">
        <v>0</v>
      </c>
      <c r="G84" s="4">
        <f t="shared" si="5"/>
        <v>-643</v>
      </c>
    </row>
    <row r="85" spans="1:7" x14ac:dyDescent="0.25">
      <c r="A85" s="4">
        <v>-45</v>
      </c>
      <c r="B85" s="4">
        <f t="shared" si="3"/>
        <v>-4.5</v>
      </c>
      <c r="C85" s="4">
        <f t="shared" si="4"/>
        <v>-50</v>
      </c>
      <c r="E85" s="4">
        <v>-642</v>
      </c>
      <c r="F85" s="4">
        <v>0</v>
      </c>
      <c r="G85" s="4">
        <f t="shared" si="5"/>
        <v>-642</v>
      </c>
    </row>
    <row r="86" spans="1:7" x14ac:dyDescent="0.25">
      <c r="A86" s="4">
        <v>-44</v>
      </c>
      <c r="B86" s="4">
        <f t="shared" si="3"/>
        <v>-4.4000000000000004</v>
      </c>
      <c r="C86" s="4">
        <f t="shared" si="4"/>
        <v>-48</v>
      </c>
      <c r="E86" s="4">
        <v>-641</v>
      </c>
      <c r="F86" s="4">
        <v>0</v>
      </c>
      <c r="G86" s="4">
        <f t="shared" si="5"/>
        <v>-641</v>
      </c>
    </row>
    <row r="87" spans="1:7" x14ac:dyDescent="0.25">
      <c r="A87" s="4">
        <v>-43</v>
      </c>
      <c r="B87" s="4">
        <f t="shared" si="3"/>
        <v>-4.3</v>
      </c>
      <c r="C87" s="4">
        <f t="shared" si="4"/>
        <v>-47</v>
      </c>
      <c r="E87" s="4">
        <v>-640</v>
      </c>
      <c r="F87" s="4">
        <v>0</v>
      </c>
      <c r="G87" s="4">
        <f t="shared" si="5"/>
        <v>-640</v>
      </c>
    </row>
    <row r="88" spans="1:7" x14ac:dyDescent="0.25">
      <c r="A88" s="4">
        <v>-42</v>
      </c>
      <c r="B88" s="4">
        <f t="shared" si="3"/>
        <v>-4.2</v>
      </c>
      <c r="C88" s="4">
        <f t="shared" si="4"/>
        <v>-46</v>
      </c>
      <c r="E88" s="4">
        <v>-639</v>
      </c>
      <c r="F88" s="4">
        <v>0</v>
      </c>
      <c r="G88" s="4">
        <f t="shared" si="5"/>
        <v>-639</v>
      </c>
    </row>
    <row r="89" spans="1:7" x14ac:dyDescent="0.25">
      <c r="A89" s="4">
        <v>-41</v>
      </c>
      <c r="B89" s="4">
        <f t="shared" si="3"/>
        <v>-4.1000000000000005</v>
      </c>
      <c r="C89" s="4">
        <f t="shared" si="4"/>
        <v>-45</v>
      </c>
      <c r="E89" s="4">
        <v>-638</v>
      </c>
      <c r="F89" s="4">
        <v>0</v>
      </c>
      <c r="G89" s="4">
        <f t="shared" si="5"/>
        <v>-638</v>
      </c>
    </row>
    <row r="90" spans="1:7" x14ac:dyDescent="0.25">
      <c r="A90" s="4">
        <v>-40</v>
      </c>
      <c r="B90" s="4">
        <f t="shared" si="3"/>
        <v>-4</v>
      </c>
      <c r="C90" s="4">
        <f t="shared" si="4"/>
        <v>-44</v>
      </c>
      <c r="E90" s="4">
        <v>-637</v>
      </c>
      <c r="F90" s="4">
        <v>0</v>
      </c>
      <c r="G90" s="4">
        <f t="shared" si="5"/>
        <v>-637</v>
      </c>
    </row>
    <row r="91" spans="1:7" x14ac:dyDescent="0.25">
      <c r="A91" s="4">
        <v>-39</v>
      </c>
      <c r="B91" s="4">
        <f t="shared" si="3"/>
        <v>-3.9000000000000004</v>
      </c>
      <c r="C91" s="4">
        <f t="shared" si="4"/>
        <v>-43</v>
      </c>
      <c r="E91" s="4">
        <v>-636</v>
      </c>
      <c r="F91" s="4">
        <v>0</v>
      </c>
      <c r="G91" s="4">
        <f t="shared" si="5"/>
        <v>-636</v>
      </c>
    </row>
    <row r="92" spans="1:7" x14ac:dyDescent="0.25">
      <c r="A92" s="4">
        <v>-38</v>
      </c>
      <c r="B92" s="4">
        <f t="shared" si="3"/>
        <v>-3.8000000000000003</v>
      </c>
      <c r="C92" s="4">
        <f t="shared" si="4"/>
        <v>-42</v>
      </c>
      <c r="E92" s="4">
        <v>-635</v>
      </c>
      <c r="F92" s="4">
        <v>0</v>
      </c>
      <c r="G92" s="4">
        <f t="shared" si="5"/>
        <v>-635</v>
      </c>
    </row>
    <row r="93" spans="1:7" x14ac:dyDescent="0.25">
      <c r="A93" s="4">
        <v>-37</v>
      </c>
      <c r="B93" s="4">
        <f t="shared" si="3"/>
        <v>-3.7</v>
      </c>
      <c r="C93" s="4">
        <f t="shared" si="4"/>
        <v>-41</v>
      </c>
      <c r="E93" s="4">
        <v>-634</v>
      </c>
      <c r="F93" s="4">
        <v>0</v>
      </c>
      <c r="G93" s="4">
        <f t="shared" si="5"/>
        <v>-634</v>
      </c>
    </row>
    <row r="94" spans="1:7" x14ac:dyDescent="0.25">
      <c r="A94" s="4">
        <v>-36</v>
      </c>
      <c r="B94" s="4">
        <f t="shared" si="3"/>
        <v>-3.6</v>
      </c>
      <c r="C94" s="4">
        <f t="shared" si="4"/>
        <v>-40</v>
      </c>
      <c r="E94" s="4">
        <v>-633</v>
      </c>
      <c r="F94" s="4">
        <v>0</v>
      </c>
      <c r="G94" s="4">
        <f t="shared" si="5"/>
        <v>-633</v>
      </c>
    </row>
    <row r="95" spans="1:7" x14ac:dyDescent="0.25">
      <c r="A95" s="4">
        <v>-35</v>
      </c>
      <c r="B95" s="4">
        <f t="shared" si="3"/>
        <v>-3.5</v>
      </c>
      <c r="C95" s="4">
        <f t="shared" si="4"/>
        <v>-39</v>
      </c>
      <c r="E95" s="4">
        <v>-632</v>
      </c>
      <c r="F95" s="4">
        <v>0</v>
      </c>
      <c r="G95" s="4">
        <f t="shared" si="5"/>
        <v>-632</v>
      </c>
    </row>
    <row r="96" spans="1:7" x14ac:dyDescent="0.25">
      <c r="A96" s="4">
        <v>-34</v>
      </c>
      <c r="B96" s="4">
        <f t="shared" si="3"/>
        <v>-3.4000000000000004</v>
      </c>
      <c r="C96" s="4">
        <f t="shared" si="4"/>
        <v>-37</v>
      </c>
      <c r="E96" s="4">
        <v>-631</v>
      </c>
      <c r="F96" s="4">
        <v>0</v>
      </c>
      <c r="G96" s="4">
        <f t="shared" si="5"/>
        <v>-631</v>
      </c>
    </row>
    <row r="97" spans="1:7" x14ac:dyDescent="0.25">
      <c r="A97" s="4">
        <v>-33</v>
      </c>
      <c r="B97" s="4">
        <f t="shared" si="3"/>
        <v>-3.3000000000000003</v>
      </c>
      <c r="C97" s="4">
        <f t="shared" si="4"/>
        <v>-36</v>
      </c>
      <c r="E97" s="4">
        <v>-630</v>
      </c>
      <c r="F97" s="4">
        <v>0</v>
      </c>
      <c r="G97" s="4">
        <f t="shared" si="5"/>
        <v>-630</v>
      </c>
    </row>
    <row r="98" spans="1:7" x14ac:dyDescent="0.25">
      <c r="A98" s="4">
        <v>-32</v>
      </c>
      <c r="B98" s="4">
        <f t="shared" si="3"/>
        <v>-3.2</v>
      </c>
      <c r="C98" s="4">
        <f t="shared" si="4"/>
        <v>-35</v>
      </c>
      <c r="E98" s="4">
        <v>-629</v>
      </c>
      <c r="F98" s="4">
        <v>0</v>
      </c>
      <c r="G98" s="4">
        <f t="shared" si="5"/>
        <v>-629</v>
      </c>
    </row>
    <row r="99" spans="1:7" x14ac:dyDescent="0.25">
      <c r="A99" s="4">
        <v>-31</v>
      </c>
      <c r="B99" s="4">
        <f t="shared" si="3"/>
        <v>-3.1</v>
      </c>
      <c r="C99" s="4">
        <f t="shared" si="4"/>
        <v>-34</v>
      </c>
      <c r="E99" s="4">
        <v>-628</v>
      </c>
      <c r="F99" s="4">
        <v>0</v>
      </c>
      <c r="G99" s="4">
        <f t="shared" si="5"/>
        <v>-628</v>
      </c>
    </row>
    <row r="100" spans="1:7" x14ac:dyDescent="0.25">
      <c r="A100" s="4">
        <v>-30</v>
      </c>
      <c r="B100" s="4">
        <f t="shared" si="3"/>
        <v>-3</v>
      </c>
      <c r="C100" s="4">
        <f t="shared" si="4"/>
        <v>-33</v>
      </c>
      <c r="E100" s="4">
        <v>-627</v>
      </c>
      <c r="F100" s="4">
        <v>0</v>
      </c>
      <c r="G100" s="4">
        <f t="shared" si="5"/>
        <v>-627</v>
      </c>
    </row>
    <row r="101" spans="1:7" x14ac:dyDescent="0.25">
      <c r="A101" s="4">
        <v>-29</v>
      </c>
      <c r="B101" s="4">
        <f t="shared" si="3"/>
        <v>-2.9000000000000004</v>
      </c>
      <c r="C101" s="4">
        <f t="shared" si="4"/>
        <v>-32</v>
      </c>
      <c r="E101" s="4">
        <v>-626</v>
      </c>
      <c r="F101" s="4">
        <v>0</v>
      </c>
      <c r="G101" s="4">
        <f t="shared" si="5"/>
        <v>-626</v>
      </c>
    </row>
    <row r="102" spans="1:7" x14ac:dyDescent="0.25">
      <c r="A102" s="4">
        <v>-28</v>
      </c>
      <c r="B102" s="4">
        <f t="shared" si="3"/>
        <v>-2.8000000000000003</v>
      </c>
      <c r="C102" s="4">
        <f t="shared" si="4"/>
        <v>-31</v>
      </c>
      <c r="E102" s="4">
        <v>-625</v>
      </c>
      <c r="F102" s="4">
        <v>0</v>
      </c>
      <c r="G102" s="4">
        <f t="shared" si="5"/>
        <v>-625</v>
      </c>
    </row>
    <row r="103" spans="1:7" x14ac:dyDescent="0.25">
      <c r="A103" s="4">
        <v>-27</v>
      </c>
      <c r="B103" s="4">
        <f t="shared" si="3"/>
        <v>-2.7</v>
      </c>
      <c r="C103" s="4">
        <f t="shared" si="4"/>
        <v>-30</v>
      </c>
      <c r="E103" s="4">
        <v>-624</v>
      </c>
      <c r="F103" s="4">
        <v>0</v>
      </c>
      <c r="G103" s="4">
        <f t="shared" si="5"/>
        <v>-624</v>
      </c>
    </row>
    <row r="104" spans="1:7" x14ac:dyDescent="0.25">
      <c r="A104" s="4">
        <v>-26</v>
      </c>
      <c r="B104" s="4">
        <f t="shared" si="3"/>
        <v>-2.6</v>
      </c>
      <c r="C104" s="4">
        <f t="shared" si="4"/>
        <v>-29</v>
      </c>
      <c r="E104" s="4">
        <v>-623</v>
      </c>
      <c r="F104" s="4">
        <v>0</v>
      </c>
      <c r="G104" s="4">
        <f t="shared" si="5"/>
        <v>-623</v>
      </c>
    </row>
    <row r="105" spans="1:7" x14ac:dyDescent="0.25">
      <c r="A105" s="4">
        <v>-25</v>
      </c>
      <c r="B105" s="4">
        <f t="shared" si="3"/>
        <v>-2.5</v>
      </c>
      <c r="C105" s="4">
        <f t="shared" si="4"/>
        <v>-28</v>
      </c>
      <c r="E105" s="4">
        <v>-622</v>
      </c>
      <c r="F105" s="4">
        <v>0</v>
      </c>
      <c r="G105" s="4">
        <f t="shared" si="5"/>
        <v>-622</v>
      </c>
    </row>
    <row r="106" spans="1:7" x14ac:dyDescent="0.25">
      <c r="A106" s="4">
        <v>-24</v>
      </c>
      <c r="B106" s="4">
        <f t="shared" si="3"/>
        <v>-2.4000000000000004</v>
      </c>
      <c r="C106" s="4">
        <f t="shared" si="4"/>
        <v>-26</v>
      </c>
      <c r="E106" s="4">
        <v>-621</v>
      </c>
      <c r="F106" s="4">
        <v>0</v>
      </c>
      <c r="G106" s="4">
        <f t="shared" si="5"/>
        <v>-621</v>
      </c>
    </row>
    <row r="107" spans="1:7" x14ac:dyDescent="0.25">
      <c r="A107" s="4">
        <v>-23</v>
      </c>
      <c r="B107" s="4">
        <f t="shared" si="3"/>
        <v>-2.3000000000000003</v>
      </c>
      <c r="C107" s="4">
        <f t="shared" si="4"/>
        <v>-25</v>
      </c>
      <c r="E107" s="4">
        <v>-620</v>
      </c>
      <c r="F107" s="4">
        <v>0</v>
      </c>
      <c r="G107" s="4">
        <f t="shared" si="5"/>
        <v>-620</v>
      </c>
    </row>
    <row r="108" spans="1:7" x14ac:dyDescent="0.25">
      <c r="A108" s="4">
        <v>-22</v>
      </c>
      <c r="B108" s="4">
        <f t="shared" si="3"/>
        <v>-2.2000000000000002</v>
      </c>
      <c r="C108" s="4">
        <f t="shared" si="4"/>
        <v>-24</v>
      </c>
      <c r="E108" s="4">
        <v>-619</v>
      </c>
      <c r="F108" s="4">
        <v>0</v>
      </c>
      <c r="G108" s="4">
        <f t="shared" si="5"/>
        <v>-619</v>
      </c>
    </row>
    <row r="109" spans="1:7" x14ac:dyDescent="0.25">
      <c r="A109" s="4">
        <v>-21</v>
      </c>
      <c r="B109" s="4">
        <f t="shared" si="3"/>
        <v>-2.1</v>
      </c>
      <c r="C109" s="4">
        <f t="shared" si="4"/>
        <v>-23</v>
      </c>
      <c r="E109" s="4">
        <v>-618</v>
      </c>
      <c r="F109" s="4">
        <v>0</v>
      </c>
      <c r="G109" s="4">
        <f t="shared" si="5"/>
        <v>-618</v>
      </c>
    </row>
    <row r="110" spans="1:7" x14ac:dyDescent="0.25">
      <c r="A110" s="4">
        <v>-20</v>
      </c>
      <c r="B110" s="4">
        <f t="shared" si="3"/>
        <v>-2</v>
      </c>
      <c r="C110" s="4">
        <f t="shared" si="4"/>
        <v>-22</v>
      </c>
      <c r="E110" s="4">
        <v>-617</v>
      </c>
      <c r="F110" s="4">
        <v>0</v>
      </c>
      <c r="G110" s="4">
        <f t="shared" si="5"/>
        <v>-617</v>
      </c>
    </row>
    <row r="111" spans="1:7" x14ac:dyDescent="0.25">
      <c r="A111" s="4">
        <v>-19</v>
      </c>
      <c r="B111" s="4">
        <f t="shared" si="3"/>
        <v>-1.9000000000000001</v>
      </c>
      <c r="C111" s="4">
        <f t="shared" si="4"/>
        <v>-21</v>
      </c>
      <c r="E111" s="4">
        <v>-616</v>
      </c>
      <c r="F111" s="4">
        <v>0</v>
      </c>
      <c r="G111" s="4">
        <f t="shared" si="5"/>
        <v>-616</v>
      </c>
    </row>
    <row r="112" spans="1:7" x14ac:dyDescent="0.25">
      <c r="A112" s="4">
        <v>-18</v>
      </c>
      <c r="B112" s="4">
        <f t="shared" si="3"/>
        <v>-1.8</v>
      </c>
      <c r="C112" s="4">
        <f t="shared" si="4"/>
        <v>-20</v>
      </c>
      <c r="E112" s="4">
        <v>-615</v>
      </c>
      <c r="F112" s="4">
        <v>0</v>
      </c>
      <c r="G112" s="4">
        <f t="shared" si="5"/>
        <v>-615</v>
      </c>
    </row>
    <row r="113" spans="1:7" x14ac:dyDescent="0.25">
      <c r="A113" s="4">
        <v>-17</v>
      </c>
      <c r="B113" s="4">
        <f t="shared" si="3"/>
        <v>-1.7000000000000002</v>
      </c>
      <c r="C113" s="4">
        <f t="shared" si="4"/>
        <v>-19</v>
      </c>
      <c r="E113" s="4">
        <v>-614</v>
      </c>
      <c r="F113" s="4">
        <v>0</v>
      </c>
      <c r="G113" s="4">
        <f t="shared" si="5"/>
        <v>-614</v>
      </c>
    </row>
    <row r="114" spans="1:7" x14ac:dyDescent="0.25">
      <c r="A114" s="4">
        <v>-16</v>
      </c>
      <c r="B114" s="4">
        <f t="shared" si="3"/>
        <v>-1.6</v>
      </c>
      <c r="C114" s="4">
        <f t="shared" si="4"/>
        <v>-18</v>
      </c>
      <c r="E114" s="4">
        <v>-613</v>
      </c>
      <c r="F114" s="4">
        <v>0</v>
      </c>
      <c r="G114" s="4">
        <f t="shared" si="5"/>
        <v>-613</v>
      </c>
    </row>
    <row r="115" spans="1:7" x14ac:dyDescent="0.25">
      <c r="A115" s="4">
        <v>-15</v>
      </c>
      <c r="B115" s="4">
        <f t="shared" si="3"/>
        <v>-1.5</v>
      </c>
      <c r="C115" s="4">
        <f t="shared" si="4"/>
        <v>-17</v>
      </c>
      <c r="E115" s="4">
        <v>-612</v>
      </c>
      <c r="F115" s="4">
        <v>0</v>
      </c>
      <c r="G115" s="4">
        <f t="shared" si="5"/>
        <v>-612</v>
      </c>
    </row>
    <row r="116" spans="1:7" x14ac:dyDescent="0.25">
      <c r="A116" s="4">
        <v>-14</v>
      </c>
      <c r="B116" s="4">
        <f t="shared" si="3"/>
        <v>-1.4000000000000001</v>
      </c>
      <c r="C116" s="4">
        <f t="shared" si="4"/>
        <v>-15</v>
      </c>
      <c r="E116" s="4">
        <v>-611</v>
      </c>
      <c r="F116" s="4">
        <v>0</v>
      </c>
      <c r="G116" s="4">
        <f t="shared" si="5"/>
        <v>-611</v>
      </c>
    </row>
    <row r="117" spans="1:7" x14ac:dyDescent="0.25">
      <c r="A117" s="4">
        <v>-13</v>
      </c>
      <c r="B117" s="4">
        <f t="shared" si="3"/>
        <v>-1.3</v>
      </c>
      <c r="C117" s="4">
        <f t="shared" si="4"/>
        <v>-14</v>
      </c>
      <c r="E117" s="4">
        <v>-610</v>
      </c>
      <c r="F117" s="4">
        <v>0</v>
      </c>
      <c r="G117" s="4">
        <f t="shared" si="5"/>
        <v>-610</v>
      </c>
    </row>
    <row r="118" spans="1:7" x14ac:dyDescent="0.25">
      <c r="A118" s="4">
        <v>-12</v>
      </c>
      <c r="B118" s="4">
        <f t="shared" si="3"/>
        <v>-1.2000000000000002</v>
      </c>
      <c r="C118" s="4">
        <f t="shared" si="4"/>
        <v>-13</v>
      </c>
      <c r="E118" s="4">
        <v>-609</v>
      </c>
      <c r="F118" s="4">
        <v>0</v>
      </c>
      <c r="G118" s="4">
        <f t="shared" si="5"/>
        <v>-609</v>
      </c>
    </row>
    <row r="119" spans="1:7" x14ac:dyDescent="0.25">
      <c r="A119" s="4">
        <v>-11</v>
      </c>
      <c r="B119" s="4">
        <f t="shared" si="3"/>
        <v>-1.1000000000000001</v>
      </c>
      <c r="C119" s="4">
        <f t="shared" si="4"/>
        <v>-12</v>
      </c>
      <c r="E119" s="4">
        <v>-608</v>
      </c>
      <c r="F119" s="4">
        <v>0</v>
      </c>
      <c r="G119" s="4">
        <f t="shared" si="5"/>
        <v>-608</v>
      </c>
    </row>
    <row r="120" spans="1:7" x14ac:dyDescent="0.25">
      <c r="A120" s="4">
        <v>-10</v>
      </c>
      <c r="B120" s="4">
        <f t="shared" si="3"/>
        <v>-1</v>
      </c>
      <c r="C120" s="4">
        <f t="shared" si="4"/>
        <v>-11</v>
      </c>
      <c r="E120" s="4">
        <v>-607</v>
      </c>
      <c r="F120" s="4">
        <v>0</v>
      </c>
      <c r="G120" s="4">
        <f t="shared" si="5"/>
        <v>-607</v>
      </c>
    </row>
    <row r="121" spans="1:7" x14ac:dyDescent="0.25">
      <c r="A121" s="4">
        <v>-9</v>
      </c>
      <c r="B121" s="4">
        <f t="shared" si="3"/>
        <v>-0.9</v>
      </c>
      <c r="C121" s="4">
        <f t="shared" si="4"/>
        <v>-10</v>
      </c>
      <c r="E121" s="4">
        <v>-606</v>
      </c>
      <c r="F121" s="4">
        <v>0</v>
      </c>
      <c r="G121" s="4">
        <f t="shared" si="5"/>
        <v>-606</v>
      </c>
    </row>
    <row r="122" spans="1:7" x14ac:dyDescent="0.25">
      <c r="A122" s="4">
        <v>-8</v>
      </c>
      <c r="B122" s="4">
        <f t="shared" si="3"/>
        <v>-0.8</v>
      </c>
      <c r="C122" s="4">
        <f t="shared" si="4"/>
        <v>-9</v>
      </c>
      <c r="E122" s="4">
        <v>-605</v>
      </c>
      <c r="F122" s="4">
        <v>0</v>
      </c>
      <c r="G122" s="4">
        <f t="shared" si="5"/>
        <v>-605</v>
      </c>
    </row>
    <row r="123" spans="1:7" x14ac:dyDescent="0.25">
      <c r="A123" s="4">
        <v>-7</v>
      </c>
      <c r="B123" s="4">
        <f t="shared" si="3"/>
        <v>-0.70000000000000007</v>
      </c>
      <c r="C123" s="4">
        <f t="shared" si="4"/>
        <v>-8</v>
      </c>
      <c r="E123" s="4">
        <v>-604</v>
      </c>
      <c r="F123" s="4">
        <v>0</v>
      </c>
      <c r="G123" s="4">
        <f t="shared" si="5"/>
        <v>-604</v>
      </c>
    </row>
    <row r="124" spans="1:7" x14ac:dyDescent="0.25">
      <c r="A124" s="4">
        <v>-6</v>
      </c>
      <c r="B124" s="4">
        <f t="shared" ref="B124:B187" si="6">A124*0.1</f>
        <v>-0.60000000000000009</v>
      </c>
      <c r="C124" s="4">
        <f t="shared" si="4"/>
        <v>-7</v>
      </c>
      <c r="E124" s="4">
        <v>-603</v>
      </c>
      <c r="F124" s="4">
        <v>0</v>
      </c>
      <c r="G124" s="4">
        <f t="shared" si="5"/>
        <v>-603</v>
      </c>
    </row>
    <row r="125" spans="1:7" x14ac:dyDescent="0.25">
      <c r="A125" s="4">
        <v>-5</v>
      </c>
      <c r="B125" s="4">
        <f t="shared" si="6"/>
        <v>-0.5</v>
      </c>
      <c r="C125" s="4">
        <f t="shared" si="4"/>
        <v>-6</v>
      </c>
      <c r="E125" s="4">
        <v>-602</v>
      </c>
      <c r="F125" s="4">
        <v>0</v>
      </c>
      <c r="G125" s="4">
        <f t="shared" si="5"/>
        <v>-602</v>
      </c>
    </row>
    <row r="126" spans="1:7" x14ac:dyDescent="0.25">
      <c r="A126" s="4">
        <v>-4</v>
      </c>
      <c r="B126" s="4">
        <f t="shared" si="6"/>
        <v>-0.4</v>
      </c>
      <c r="C126" s="4">
        <f t="shared" si="4"/>
        <v>-4</v>
      </c>
      <c r="E126" s="4">
        <v>-601</v>
      </c>
      <c r="F126" s="4">
        <v>0</v>
      </c>
      <c r="G126" s="4">
        <f t="shared" si="5"/>
        <v>-601</v>
      </c>
    </row>
    <row r="127" spans="1:7" x14ac:dyDescent="0.25">
      <c r="A127" s="4">
        <v>-3</v>
      </c>
      <c r="B127" s="4">
        <f t="shared" si="6"/>
        <v>-0.30000000000000004</v>
      </c>
      <c r="C127" s="4">
        <f t="shared" si="4"/>
        <v>-3</v>
      </c>
      <c r="E127" s="4">
        <v>-600</v>
      </c>
      <c r="F127" s="4">
        <v>0</v>
      </c>
      <c r="G127" s="4">
        <f t="shared" si="5"/>
        <v>-600</v>
      </c>
    </row>
    <row r="128" spans="1:7" x14ac:dyDescent="0.25">
      <c r="A128" s="4">
        <v>-2</v>
      </c>
      <c r="B128" s="4">
        <f t="shared" si="6"/>
        <v>-0.2</v>
      </c>
      <c r="C128" s="4">
        <f t="shared" si="4"/>
        <v>-2</v>
      </c>
      <c r="E128" s="4">
        <v>-599</v>
      </c>
      <c r="F128" s="4">
        <v>0</v>
      </c>
      <c r="G128" s="4">
        <f t="shared" si="5"/>
        <v>-599</v>
      </c>
    </row>
    <row r="129" spans="1:7" x14ac:dyDescent="0.25">
      <c r="A129" s="4">
        <v>-1</v>
      </c>
      <c r="B129" s="4">
        <f t="shared" si="6"/>
        <v>-0.1</v>
      </c>
      <c r="C129" s="4">
        <f t="shared" si="4"/>
        <v>-1</v>
      </c>
      <c r="E129" s="4">
        <v>-598</v>
      </c>
      <c r="F129" s="4">
        <v>0</v>
      </c>
      <c r="G129" s="4">
        <f t="shared" si="5"/>
        <v>-598</v>
      </c>
    </row>
    <row r="130" spans="1:7" x14ac:dyDescent="0.25">
      <c r="A130" s="4">
        <v>0</v>
      </c>
      <c r="B130" s="4">
        <f t="shared" si="6"/>
        <v>0</v>
      </c>
      <c r="C130" s="4">
        <f t="shared" si="4"/>
        <v>0</v>
      </c>
      <c r="E130" s="4">
        <v>-597</v>
      </c>
      <c r="F130" s="4">
        <v>0</v>
      </c>
      <c r="G130" s="4">
        <f t="shared" si="5"/>
        <v>-597</v>
      </c>
    </row>
    <row r="131" spans="1:7" x14ac:dyDescent="0.25">
      <c r="A131" s="4">
        <v>1</v>
      </c>
      <c r="B131" s="4">
        <f t="shared" si="6"/>
        <v>0.1</v>
      </c>
      <c r="C131" s="4">
        <f t="shared" si="4"/>
        <v>1</v>
      </c>
      <c r="E131" s="4">
        <v>-596</v>
      </c>
      <c r="F131" s="4">
        <v>0</v>
      </c>
      <c r="G131" s="4">
        <f t="shared" si="5"/>
        <v>-596</v>
      </c>
    </row>
    <row r="132" spans="1:7" x14ac:dyDescent="0.25">
      <c r="A132" s="4">
        <v>2</v>
      </c>
      <c r="B132" s="4">
        <f t="shared" si="6"/>
        <v>0.2</v>
      </c>
      <c r="C132" s="4">
        <f t="shared" si="4"/>
        <v>2</v>
      </c>
      <c r="E132" s="4">
        <v>-595</v>
      </c>
      <c r="F132" s="4">
        <v>0</v>
      </c>
      <c r="G132" s="4">
        <f t="shared" si="5"/>
        <v>-595</v>
      </c>
    </row>
    <row r="133" spans="1:7" x14ac:dyDescent="0.25">
      <c r="A133" s="4">
        <v>3</v>
      </c>
      <c r="B133" s="4">
        <f t="shared" si="6"/>
        <v>0.30000000000000004</v>
      </c>
      <c r="C133" s="4">
        <f t="shared" si="4"/>
        <v>3</v>
      </c>
      <c r="E133" s="4">
        <v>-594</v>
      </c>
      <c r="F133" s="4">
        <v>0</v>
      </c>
      <c r="G133" s="4">
        <f t="shared" si="5"/>
        <v>-594</v>
      </c>
    </row>
    <row r="134" spans="1:7" x14ac:dyDescent="0.25">
      <c r="A134" s="4">
        <v>4</v>
      </c>
      <c r="B134" s="4">
        <f t="shared" si="6"/>
        <v>0.4</v>
      </c>
      <c r="C134" s="4">
        <f t="shared" si="4"/>
        <v>4</v>
      </c>
      <c r="E134" s="4">
        <v>-593</v>
      </c>
      <c r="F134" s="4">
        <v>0</v>
      </c>
      <c r="G134" s="4">
        <f t="shared" si="5"/>
        <v>-593</v>
      </c>
    </row>
    <row r="135" spans="1:7" x14ac:dyDescent="0.25">
      <c r="A135" s="4">
        <v>5</v>
      </c>
      <c r="B135" s="4">
        <f t="shared" si="6"/>
        <v>0.5</v>
      </c>
      <c r="C135" s="4">
        <f t="shared" si="4"/>
        <v>6</v>
      </c>
      <c r="E135" s="4">
        <v>-592</v>
      </c>
      <c r="F135" s="4">
        <v>0</v>
      </c>
      <c r="G135" s="4">
        <f t="shared" si="5"/>
        <v>-592</v>
      </c>
    </row>
    <row r="136" spans="1:7" x14ac:dyDescent="0.25">
      <c r="A136" s="4">
        <v>6</v>
      </c>
      <c r="B136" s="4">
        <f t="shared" si="6"/>
        <v>0.60000000000000009</v>
      </c>
      <c r="C136" s="4">
        <f t="shared" si="4"/>
        <v>7</v>
      </c>
      <c r="E136" s="4">
        <v>-591</v>
      </c>
      <c r="F136" s="4">
        <v>0</v>
      </c>
      <c r="G136" s="4">
        <f t="shared" si="5"/>
        <v>-591</v>
      </c>
    </row>
    <row r="137" spans="1:7" x14ac:dyDescent="0.25">
      <c r="A137" s="4">
        <v>7</v>
      </c>
      <c r="B137" s="4">
        <f t="shared" si="6"/>
        <v>0.70000000000000007</v>
      </c>
      <c r="C137" s="4">
        <f t="shared" ref="C137:C200" si="7">ROUND(A137+B137,0)</f>
        <v>8</v>
      </c>
      <c r="E137" s="4">
        <v>-590</v>
      </c>
      <c r="F137" s="4">
        <v>0</v>
      </c>
      <c r="G137" s="4">
        <f t="shared" ref="G137:G200" si="8">ROUND(E137+F137,0)</f>
        <v>-590</v>
      </c>
    </row>
    <row r="138" spans="1:7" x14ac:dyDescent="0.25">
      <c r="A138" s="4">
        <v>8</v>
      </c>
      <c r="B138" s="4">
        <f t="shared" si="6"/>
        <v>0.8</v>
      </c>
      <c r="C138" s="4">
        <f t="shared" si="7"/>
        <v>9</v>
      </c>
      <c r="E138" s="4">
        <v>-589</v>
      </c>
      <c r="F138" s="4">
        <v>0</v>
      </c>
      <c r="G138" s="4">
        <f t="shared" si="8"/>
        <v>-589</v>
      </c>
    </row>
    <row r="139" spans="1:7" x14ac:dyDescent="0.25">
      <c r="A139" s="4">
        <v>9</v>
      </c>
      <c r="B139" s="4">
        <f t="shared" si="6"/>
        <v>0.9</v>
      </c>
      <c r="C139" s="4">
        <f t="shared" si="7"/>
        <v>10</v>
      </c>
      <c r="E139" s="4">
        <v>-588</v>
      </c>
      <c r="F139" s="4">
        <v>0</v>
      </c>
      <c r="G139" s="4">
        <f t="shared" si="8"/>
        <v>-588</v>
      </c>
    </row>
    <row r="140" spans="1:7" x14ac:dyDescent="0.25">
      <c r="A140" s="4">
        <v>10</v>
      </c>
      <c r="B140" s="4">
        <f t="shared" si="6"/>
        <v>1</v>
      </c>
      <c r="C140" s="4">
        <f t="shared" si="7"/>
        <v>11</v>
      </c>
      <c r="E140" s="4">
        <v>-587</v>
      </c>
      <c r="F140" s="4">
        <v>0</v>
      </c>
      <c r="G140" s="4">
        <f t="shared" si="8"/>
        <v>-587</v>
      </c>
    </row>
    <row r="141" spans="1:7" x14ac:dyDescent="0.25">
      <c r="A141" s="4">
        <v>11</v>
      </c>
      <c r="B141" s="4">
        <f t="shared" si="6"/>
        <v>1.1000000000000001</v>
      </c>
      <c r="C141" s="4">
        <f t="shared" si="7"/>
        <v>12</v>
      </c>
      <c r="E141" s="4">
        <v>-586</v>
      </c>
      <c r="F141" s="4">
        <v>0</v>
      </c>
      <c r="G141" s="4">
        <f t="shared" si="8"/>
        <v>-586</v>
      </c>
    </row>
    <row r="142" spans="1:7" x14ac:dyDescent="0.25">
      <c r="A142" s="4">
        <v>12</v>
      </c>
      <c r="B142" s="4">
        <f t="shared" si="6"/>
        <v>1.2000000000000002</v>
      </c>
      <c r="C142" s="4">
        <f t="shared" si="7"/>
        <v>13</v>
      </c>
      <c r="E142" s="4">
        <v>-585</v>
      </c>
      <c r="F142" s="4">
        <v>0</v>
      </c>
      <c r="G142" s="4">
        <f t="shared" si="8"/>
        <v>-585</v>
      </c>
    </row>
    <row r="143" spans="1:7" x14ac:dyDescent="0.25">
      <c r="A143" s="4">
        <v>13</v>
      </c>
      <c r="B143" s="4">
        <f t="shared" si="6"/>
        <v>1.3</v>
      </c>
      <c r="C143" s="4">
        <f t="shared" si="7"/>
        <v>14</v>
      </c>
      <c r="E143" s="4">
        <v>-584</v>
      </c>
      <c r="F143" s="4">
        <v>0</v>
      </c>
      <c r="G143" s="4">
        <f t="shared" si="8"/>
        <v>-584</v>
      </c>
    </row>
    <row r="144" spans="1:7" x14ac:dyDescent="0.25">
      <c r="A144" s="4">
        <v>14</v>
      </c>
      <c r="B144" s="4">
        <f t="shared" si="6"/>
        <v>1.4000000000000001</v>
      </c>
      <c r="C144" s="4">
        <f t="shared" si="7"/>
        <v>15</v>
      </c>
      <c r="E144" s="4">
        <v>-583</v>
      </c>
      <c r="F144" s="4">
        <v>0</v>
      </c>
      <c r="G144" s="4">
        <f t="shared" si="8"/>
        <v>-583</v>
      </c>
    </row>
    <row r="145" spans="1:7" x14ac:dyDescent="0.25">
      <c r="A145" s="4">
        <v>15</v>
      </c>
      <c r="B145" s="4">
        <f t="shared" si="6"/>
        <v>1.5</v>
      </c>
      <c r="C145" s="4">
        <f t="shared" si="7"/>
        <v>17</v>
      </c>
      <c r="E145" s="4">
        <v>-582</v>
      </c>
      <c r="F145" s="4">
        <v>0</v>
      </c>
      <c r="G145" s="4">
        <f t="shared" si="8"/>
        <v>-582</v>
      </c>
    </row>
    <row r="146" spans="1:7" x14ac:dyDescent="0.25">
      <c r="A146" s="4">
        <v>16</v>
      </c>
      <c r="B146" s="4">
        <f t="shared" si="6"/>
        <v>1.6</v>
      </c>
      <c r="C146" s="4">
        <f t="shared" si="7"/>
        <v>18</v>
      </c>
      <c r="E146" s="4">
        <v>-581</v>
      </c>
      <c r="F146" s="4">
        <v>0</v>
      </c>
      <c r="G146" s="4">
        <f t="shared" si="8"/>
        <v>-581</v>
      </c>
    </row>
    <row r="147" spans="1:7" x14ac:dyDescent="0.25">
      <c r="A147" s="4">
        <v>17</v>
      </c>
      <c r="B147" s="4">
        <f t="shared" si="6"/>
        <v>1.7000000000000002</v>
      </c>
      <c r="C147" s="4">
        <f t="shared" si="7"/>
        <v>19</v>
      </c>
      <c r="E147" s="4">
        <v>-580</v>
      </c>
      <c r="F147" s="4">
        <v>0</v>
      </c>
      <c r="G147" s="4">
        <f t="shared" si="8"/>
        <v>-580</v>
      </c>
    </row>
    <row r="148" spans="1:7" x14ac:dyDescent="0.25">
      <c r="A148" s="4">
        <v>18</v>
      </c>
      <c r="B148" s="4">
        <f t="shared" si="6"/>
        <v>1.8</v>
      </c>
      <c r="C148" s="4">
        <f t="shared" si="7"/>
        <v>20</v>
      </c>
      <c r="E148" s="4">
        <v>-579</v>
      </c>
      <c r="F148" s="4">
        <v>0</v>
      </c>
      <c r="G148" s="4">
        <f t="shared" si="8"/>
        <v>-579</v>
      </c>
    </row>
    <row r="149" spans="1:7" x14ac:dyDescent="0.25">
      <c r="A149" s="4">
        <v>19</v>
      </c>
      <c r="B149" s="4">
        <f t="shared" si="6"/>
        <v>1.9000000000000001</v>
      </c>
      <c r="C149" s="4">
        <f t="shared" si="7"/>
        <v>21</v>
      </c>
      <c r="E149" s="4">
        <v>-578</v>
      </c>
      <c r="F149" s="4">
        <v>0</v>
      </c>
      <c r="G149" s="4">
        <f t="shared" si="8"/>
        <v>-578</v>
      </c>
    </row>
    <row r="150" spans="1:7" x14ac:dyDescent="0.25">
      <c r="A150" s="4">
        <v>20</v>
      </c>
      <c r="B150" s="4">
        <f t="shared" si="6"/>
        <v>2</v>
      </c>
      <c r="C150" s="4">
        <f t="shared" si="7"/>
        <v>22</v>
      </c>
      <c r="E150" s="4">
        <v>-577</v>
      </c>
      <c r="F150" s="4">
        <v>0</v>
      </c>
      <c r="G150" s="4">
        <f t="shared" si="8"/>
        <v>-577</v>
      </c>
    </row>
    <row r="151" spans="1:7" x14ac:dyDescent="0.25">
      <c r="A151" s="4">
        <v>21</v>
      </c>
      <c r="B151" s="4">
        <f t="shared" si="6"/>
        <v>2.1</v>
      </c>
      <c r="C151" s="4">
        <f t="shared" si="7"/>
        <v>23</v>
      </c>
      <c r="E151" s="4">
        <v>-576</v>
      </c>
      <c r="F151" s="4">
        <v>0</v>
      </c>
      <c r="G151" s="4">
        <f t="shared" si="8"/>
        <v>-576</v>
      </c>
    </row>
    <row r="152" spans="1:7" x14ac:dyDescent="0.25">
      <c r="A152" s="4">
        <v>22</v>
      </c>
      <c r="B152" s="4">
        <f t="shared" si="6"/>
        <v>2.2000000000000002</v>
      </c>
      <c r="C152" s="4">
        <f t="shared" si="7"/>
        <v>24</v>
      </c>
      <c r="E152" s="4">
        <v>-575</v>
      </c>
      <c r="F152" s="4">
        <v>0</v>
      </c>
      <c r="G152" s="4">
        <f t="shared" si="8"/>
        <v>-575</v>
      </c>
    </row>
    <row r="153" spans="1:7" x14ac:dyDescent="0.25">
      <c r="A153" s="4">
        <v>23</v>
      </c>
      <c r="B153" s="4">
        <f t="shared" si="6"/>
        <v>2.3000000000000003</v>
      </c>
      <c r="C153" s="4">
        <f t="shared" si="7"/>
        <v>25</v>
      </c>
      <c r="E153" s="4">
        <v>-574</v>
      </c>
      <c r="F153" s="4">
        <v>0</v>
      </c>
      <c r="G153" s="4">
        <f t="shared" si="8"/>
        <v>-574</v>
      </c>
    </row>
    <row r="154" spans="1:7" x14ac:dyDescent="0.25">
      <c r="A154" s="4">
        <v>24</v>
      </c>
      <c r="B154" s="4">
        <f t="shared" si="6"/>
        <v>2.4000000000000004</v>
      </c>
      <c r="C154" s="4">
        <f t="shared" si="7"/>
        <v>26</v>
      </c>
      <c r="E154" s="4">
        <v>-573</v>
      </c>
      <c r="F154" s="4">
        <v>0</v>
      </c>
      <c r="G154" s="4">
        <f t="shared" si="8"/>
        <v>-573</v>
      </c>
    </row>
    <row r="155" spans="1:7" x14ac:dyDescent="0.25">
      <c r="A155" s="4">
        <v>25</v>
      </c>
      <c r="B155" s="4">
        <f t="shared" si="6"/>
        <v>2.5</v>
      </c>
      <c r="C155" s="4">
        <f t="shared" si="7"/>
        <v>28</v>
      </c>
      <c r="E155" s="4">
        <v>-572</v>
      </c>
      <c r="F155" s="4">
        <v>0</v>
      </c>
      <c r="G155" s="4">
        <f t="shared" si="8"/>
        <v>-572</v>
      </c>
    </row>
    <row r="156" spans="1:7" x14ac:dyDescent="0.25">
      <c r="A156" s="4">
        <v>26</v>
      </c>
      <c r="B156" s="4">
        <f t="shared" si="6"/>
        <v>2.6</v>
      </c>
      <c r="C156" s="4">
        <f t="shared" si="7"/>
        <v>29</v>
      </c>
      <c r="E156" s="4">
        <v>-571</v>
      </c>
      <c r="F156" s="4">
        <v>0</v>
      </c>
      <c r="G156" s="4">
        <f t="shared" si="8"/>
        <v>-571</v>
      </c>
    </row>
    <row r="157" spans="1:7" x14ac:dyDescent="0.25">
      <c r="A157" s="4">
        <v>27</v>
      </c>
      <c r="B157" s="4">
        <f t="shared" si="6"/>
        <v>2.7</v>
      </c>
      <c r="C157" s="4">
        <f t="shared" si="7"/>
        <v>30</v>
      </c>
      <c r="E157" s="4">
        <v>-570</v>
      </c>
      <c r="F157" s="4">
        <v>0</v>
      </c>
      <c r="G157" s="4">
        <f t="shared" si="8"/>
        <v>-570</v>
      </c>
    </row>
    <row r="158" spans="1:7" x14ac:dyDescent="0.25">
      <c r="A158" s="4">
        <v>28</v>
      </c>
      <c r="B158" s="4">
        <f t="shared" si="6"/>
        <v>2.8000000000000003</v>
      </c>
      <c r="C158" s="4">
        <f t="shared" si="7"/>
        <v>31</v>
      </c>
      <c r="E158" s="4">
        <v>-569</v>
      </c>
      <c r="F158" s="4">
        <v>0</v>
      </c>
      <c r="G158" s="4">
        <f t="shared" si="8"/>
        <v>-569</v>
      </c>
    </row>
    <row r="159" spans="1:7" x14ac:dyDescent="0.25">
      <c r="A159" s="4">
        <v>29</v>
      </c>
      <c r="B159" s="4">
        <f t="shared" si="6"/>
        <v>2.9000000000000004</v>
      </c>
      <c r="C159" s="4">
        <f t="shared" si="7"/>
        <v>32</v>
      </c>
      <c r="E159" s="4">
        <v>-568</v>
      </c>
      <c r="F159" s="4">
        <v>0</v>
      </c>
      <c r="G159" s="4">
        <f t="shared" si="8"/>
        <v>-568</v>
      </c>
    </row>
    <row r="160" spans="1:7" x14ac:dyDescent="0.25">
      <c r="A160" s="4">
        <v>30</v>
      </c>
      <c r="B160" s="4">
        <f t="shared" si="6"/>
        <v>3</v>
      </c>
      <c r="C160" s="4">
        <f t="shared" si="7"/>
        <v>33</v>
      </c>
      <c r="E160" s="4">
        <v>-567</v>
      </c>
      <c r="F160" s="4">
        <v>0</v>
      </c>
      <c r="G160" s="4">
        <f t="shared" si="8"/>
        <v>-567</v>
      </c>
    </row>
    <row r="161" spans="1:7" x14ac:dyDescent="0.25">
      <c r="A161" s="4">
        <v>31</v>
      </c>
      <c r="B161" s="4">
        <f t="shared" si="6"/>
        <v>3.1</v>
      </c>
      <c r="C161" s="4">
        <f t="shared" si="7"/>
        <v>34</v>
      </c>
      <c r="E161" s="4">
        <v>-566</v>
      </c>
      <c r="F161" s="4">
        <v>0</v>
      </c>
      <c r="G161" s="4">
        <f t="shared" si="8"/>
        <v>-566</v>
      </c>
    </row>
    <row r="162" spans="1:7" x14ac:dyDescent="0.25">
      <c r="A162" s="4">
        <v>32</v>
      </c>
      <c r="B162" s="4">
        <f t="shared" si="6"/>
        <v>3.2</v>
      </c>
      <c r="C162" s="4">
        <f t="shared" si="7"/>
        <v>35</v>
      </c>
      <c r="E162" s="4">
        <v>-565</v>
      </c>
      <c r="F162" s="4">
        <v>0</v>
      </c>
      <c r="G162" s="4">
        <f t="shared" si="8"/>
        <v>-565</v>
      </c>
    </row>
    <row r="163" spans="1:7" x14ac:dyDescent="0.25">
      <c r="A163" s="4">
        <v>33</v>
      </c>
      <c r="B163" s="4">
        <f t="shared" si="6"/>
        <v>3.3000000000000003</v>
      </c>
      <c r="C163" s="4">
        <f t="shared" si="7"/>
        <v>36</v>
      </c>
      <c r="E163" s="4">
        <v>-564</v>
      </c>
      <c r="F163" s="4">
        <v>0</v>
      </c>
      <c r="G163" s="4">
        <f t="shared" si="8"/>
        <v>-564</v>
      </c>
    </row>
    <row r="164" spans="1:7" x14ac:dyDescent="0.25">
      <c r="A164" s="4">
        <v>34</v>
      </c>
      <c r="B164" s="4">
        <f t="shared" si="6"/>
        <v>3.4000000000000004</v>
      </c>
      <c r="C164" s="4">
        <f t="shared" si="7"/>
        <v>37</v>
      </c>
      <c r="E164" s="4">
        <v>-563</v>
      </c>
      <c r="F164" s="4">
        <v>0</v>
      </c>
      <c r="G164" s="4">
        <f t="shared" si="8"/>
        <v>-563</v>
      </c>
    </row>
    <row r="165" spans="1:7" x14ac:dyDescent="0.25">
      <c r="A165" s="4">
        <v>35</v>
      </c>
      <c r="B165" s="4">
        <f t="shared" si="6"/>
        <v>3.5</v>
      </c>
      <c r="C165" s="4">
        <f t="shared" si="7"/>
        <v>39</v>
      </c>
      <c r="E165" s="4">
        <v>-562</v>
      </c>
      <c r="F165" s="4">
        <v>0</v>
      </c>
      <c r="G165" s="4">
        <f t="shared" si="8"/>
        <v>-562</v>
      </c>
    </row>
    <row r="166" spans="1:7" x14ac:dyDescent="0.25">
      <c r="A166" s="4">
        <v>36</v>
      </c>
      <c r="B166" s="4">
        <f t="shared" si="6"/>
        <v>3.6</v>
      </c>
      <c r="C166" s="4">
        <f t="shared" si="7"/>
        <v>40</v>
      </c>
      <c r="E166" s="4">
        <v>-561</v>
      </c>
      <c r="F166" s="4">
        <v>0</v>
      </c>
      <c r="G166" s="4">
        <f t="shared" si="8"/>
        <v>-561</v>
      </c>
    </row>
    <row r="167" spans="1:7" x14ac:dyDescent="0.25">
      <c r="A167" s="4">
        <v>37</v>
      </c>
      <c r="B167" s="4">
        <f t="shared" si="6"/>
        <v>3.7</v>
      </c>
      <c r="C167" s="4">
        <f t="shared" si="7"/>
        <v>41</v>
      </c>
      <c r="E167" s="4">
        <v>-560</v>
      </c>
      <c r="F167" s="4">
        <v>0</v>
      </c>
      <c r="G167" s="4">
        <f t="shared" si="8"/>
        <v>-560</v>
      </c>
    </row>
    <row r="168" spans="1:7" x14ac:dyDescent="0.25">
      <c r="A168" s="4">
        <v>38</v>
      </c>
      <c r="B168" s="4">
        <f t="shared" si="6"/>
        <v>3.8000000000000003</v>
      </c>
      <c r="C168" s="4">
        <f t="shared" si="7"/>
        <v>42</v>
      </c>
      <c r="E168" s="4">
        <v>-559</v>
      </c>
      <c r="F168" s="4">
        <v>0</v>
      </c>
      <c r="G168" s="4">
        <f t="shared" si="8"/>
        <v>-559</v>
      </c>
    </row>
    <row r="169" spans="1:7" x14ac:dyDescent="0.25">
      <c r="A169" s="4">
        <v>39</v>
      </c>
      <c r="B169" s="4">
        <f t="shared" si="6"/>
        <v>3.9000000000000004</v>
      </c>
      <c r="C169" s="4">
        <f t="shared" si="7"/>
        <v>43</v>
      </c>
      <c r="E169" s="4">
        <v>-558</v>
      </c>
      <c r="F169" s="4">
        <v>0</v>
      </c>
      <c r="G169" s="4">
        <f t="shared" si="8"/>
        <v>-558</v>
      </c>
    </row>
    <row r="170" spans="1:7" x14ac:dyDescent="0.25">
      <c r="A170" s="4">
        <v>40</v>
      </c>
      <c r="B170" s="4">
        <f t="shared" si="6"/>
        <v>4</v>
      </c>
      <c r="C170" s="4">
        <f t="shared" si="7"/>
        <v>44</v>
      </c>
      <c r="E170" s="4">
        <v>-557</v>
      </c>
      <c r="F170" s="4">
        <v>0</v>
      </c>
      <c r="G170" s="4">
        <f t="shared" si="8"/>
        <v>-557</v>
      </c>
    </row>
    <row r="171" spans="1:7" x14ac:dyDescent="0.25">
      <c r="A171" s="4">
        <v>41</v>
      </c>
      <c r="B171" s="4">
        <f t="shared" si="6"/>
        <v>4.1000000000000005</v>
      </c>
      <c r="C171" s="4">
        <f t="shared" si="7"/>
        <v>45</v>
      </c>
      <c r="E171" s="4">
        <v>-556</v>
      </c>
      <c r="F171" s="4">
        <v>0</v>
      </c>
      <c r="G171" s="4">
        <f t="shared" si="8"/>
        <v>-556</v>
      </c>
    </row>
    <row r="172" spans="1:7" x14ac:dyDescent="0.25">
      <c r="A172" s="4">
        <v>42</v>
      </c>
      <c r="B172" s="4">
        <f t="shared" si="6"/>
        <v>4.2</v>
      </c>
      <c r="C172" s="4">
        <f t="shared" si="7"/>
        <v>46</v>
      </c>
      <c r="E172" s="4">
        <v>-555</v>
      </c>
      <c r="F172" s="4">
        <v>0</v>
      </c>
      <c r="G172" s="4">
        <f t="shared" si="8"/>
        <v>-555</v>
      </c>
    </row>
    <row r="173" spans="1:7" x14ac:dyDescent="0.25">
      <c r="A173" s="4">
        <v>43</v>
      </c>
      <c r="B173" s="4">
        <f t="shared" si="6"/>
        <v>4.3</v>
      </c>
      <c r="C173" s="4">
        <f t="shared" si="7"/>
        <v>47</v>
      </c>
      <c r="E173" s="4">
        <v>-554</v>
      </c>
      <c r="F173" s="4">
        <v>0</v>
      </c>
      <c r="G173" s="4">
        <f t="shared" si="8"/>
        <v>-554</v>
      </c>
    </row>
    <row r="174" spans="1:7" x14ac:dyDescent="0.25">
      <c r="A174" s="4">
        <v>44</v>
      </c>
      <c r="B174" s="4">
        <f t="shared" si="6"/>
        <v>4.4000000000000004</v>
      </c>
      <c r="C174" s="4">
        <f t="shared" si="7"/>
        <v>48</v>
      </c>
      <c r="E174" s="4">
        <v>-553</v>
      </c>
      <c r="F174" s="4">
        <v>0</v>
      </c>
      <c r="G174" s="4">
        <f t="shared" si="8"/>
        <v>-553</v>
      </c>
    </row>
    <row r="175" spans="1:7" x14ac:dyDescent="0.25">
      <c r="A175" s="4">
        <v>45</v>
      </c>
      <c r="B175" s="4">
        <f t="shared" si="6"/>
        <v>4.5</v>
      </c>
      <c r="C175" s="4">
        <f t="shared" si="7"/>
        <v>50</v>
      </c>
      <c r="E175" s="4">
        <v>-552</v>
      </c>
      <c r="F175" s="4">
        <v>0</v>
      </c>
      <c r="G175" s="4">
        <f t="shared" si="8"/>
        <v>-552</v>
      </c>
    </row>
    <row r="176" spans="1:7" x14ac:dyDescent="0.25">
      <c r="A176" s="4">
        <v>46</v>
      </c>
      <c r="B176" s="4">
        <f t="shared" si="6"/>
        <v>4.6000000000000005</v>
      </c>
      <c r="C176" s="4">
        <f t="shared" si="7"/>
        <v>51</v>
      </c>
      <c r="E176" s="4">
        <v>-551</v>
      </c>
      <c r="F176" s="4">
        <v>0</v>
      </c>
      <c r="G176" s="4">
        <f t="shared" si="8"/>
        <v>-551</v>
      </c>
    </row>
    <row r="177" spans="1:7" x14ac:dyDescent="0.25">
      <c r="A177" s="4">
        <v>47</v>
      </c>
      <c r="B177" s="4">
        <f t="shared" si="6"/>
        <v>4.7</v>
      </c>
      <c r="C177" s="4">
        <f t="shared" si="7"/>
        <v>52</v>
      </c>
      <c r="E177" s="4">
        <v>-550</v>
      </c>
      <c r="F177" s="4">
        <v>0</v>
      </c>
      <c r="G177" s="4">
        <f t="shared" si="8"/>
        <v>-550</v>
      </c>
    </row>
    <row r="178" spans="1:7" x14ac:dyDescent="0.25">
      <c r="A178" s="4">
        <v>48</v>
      </c>
      <c r="B178" s="4">
        <f t="shared" si="6"/>
        <v>4.8000000000000007</v>
      </c>
      <c r="C178" s="4">
        <f t="shared" si="7"/>
        <v>53</v>
      </c>
      <c r="E178" s="4">
        <v>-549</v>
      </c>
      <c r="F178" s="4">
        <v>0</v>
      </c>
      <c r="G178" s="4">
        <f t="shared" si="8"/>
        <v>-549</v>
      </c>
    </row>
    <row r="179" spans="1:7" x14ac:dyDescent="0.25">
      <c r="A179" s="4">
        <v>49</v>
      </c>
      <c r="B179" s="4">
        <f t="shared" si="6"/>
        <v>4.9000000000000004</v>
      </c>
      <c r="C179" s="4">
        <f t="shared" si="7"/>
        <v>54</v>
      </c>
      <c r="E179" s="4">
        <v>-548</v>
      </c>
      <c r="F179" s="4">
        <v>0</v>
      </c>
      <c r="G179" s="4">
        <f t="shared" si="8"/>
        <v>-548</v>
      </c>
    </row>
    <row r="180" spans="1:7" x14ac:dyDescent="0.25">
      <c r="A180" s="4">
        <v>50</v>
      </c>
      <c r="B180" s="4">
        <f t="shared" si="6"/>
        <v>5</v>
      </c>
      <c r="C180" s="4">
        <f t="shared" si="7"/>
        <v>55</v>
      </c>
      <c r="E180" s="4">
        <v>-547</v>
      </c>
      <c r="F180" s="4">
        <v>0</v>
      </c>
      <c r="G180" s="4">
        <f t="shared" si="8"/>
        <v>-547</v>
      </c>
    </row>
    <row r="181" spans="1:7" x14ac:dyDescent="0.25">
      <c r="A181" s="4">
        <v>51</v>
      </c>
      <c r="B181" s="4">
        <f t="shared" si="6"/>
        <v>5.1000000000000005</v>
      </c>
      <c r="C181" s="4">
        <f t="shared" si="7"/>
        <v>56</v>
      </c>
      <c r="E181" s="4">
        <v>-546</v>
      </c>
      <c r="F181" s="4">
        <v>0</v>
      </c>
      <c r="G181" s="4">
        <f t="shared" si="8"/>
        <v>-546</v>
      </c>
    </row>
    <row r="182" spans="1:7" x14ac:dyDescent="0.25">
      <c r="A182" s="4">
        <v>52</v>
      </c>
      <c r="B182" s="4">
        <f t="shared" si="6"/>
        <v>5.2</v>
      </c>
      <c r="C182" s="4">
        <f t="shared" si="7"/>
        <v>57</v>
      </c>
      <c r="E182" s="4">
        <v>-545</v>
      </c>
      <c r="F182" s="4">
        <v>0</v>
      </c>
      <c r="G182" s="4">
        <f t="shared" si="8"/>
        <v>-545</v>
      </c>
    </row>
    <row r="183" spans="1:7" x14ac:dyDescent="0.25">
      <c r="A183" s="4">
        <v>53</v>
      </c>
      <c r="B183" s="4">
        <f t="shared" si="6"/>
        <v>5.3000000000000007</v>
      </c>
      <c r="C183" s="4">
        <f t="shared" si="7"/>
        <v>58</v>
      </c>
      <c r="E183" s="4">
        <v>-544</v>
      </c>
      <c r="F183" s="4">
        <v>0</v>
      </c>
      <c r="G183" s="4">
        <f t="shared" si="8"/>
        <v>-544</v>
      </c>
    </row>
    <row r="184" spans="1:7" x14ac:dyDescent="0.25">
      <c r="A184" s="4">
        <v>54</v>
      </c>
      <c r="B184" s="4">
        <f t="shared" si="6"/>
        <v>5.4</v>
      </c>
      <c r="C184" s="4">
        <f t="shared" si="7"/>
        <v>59</v>
      </c>
      <c r="E184" s="4">
        <v>-543</v>
      </c>
      <c r="F184" s="4">
        <v>0</v>
      </c>
      <c r="G184" s="4">
        <f t="shared" si="8"/>
        <v>-543</v>
      </c>
    </row>
    <row r="185" spans="1:7" x14ac:dyDescent="0.25">
      <c r="A185" s="4">
        <v>55</v>
      </c>
      <c r="B185" s="4">
        <f t="shared" si="6"/>
        <v>5.5</v>
      </c>
      <c r="C185" s="4">
        <f t="shared" si="7"/>
        <v>61</v>
      </c>
      <c r="E185" s="4">
        <v>-542</v>
      </c>
      <c r="F185" s="4">
        <v>0</v>
      </c>
      <c r="G185" s="4">
        <f t="shared" si="8"/>
        <v>-542</v>
      </c>
    </row>
    <row r="186" spans="1:7" x14ac:dyDescent="0.25">
      <c r="A186" s="4">
        <v>56</v>
      </c>
      <c r="B186" s="4">
        <f t="shared" si="6"/>
        <v>5.6000000000000005</v>
      </c>
      <c r="C186" s="4">
        <f t="shared" si="7"/>
        <v>62</v>
      </c>
      <c r="E186" s="4">
        <v>-541</v>
      </c>
      <c r="F186" s="4">
        <v>0</v>
      </c>
      <c r="G186" s="4">
        <f t="shared" si="8"/>
        <v>-541</v>
      </c>
    </row>
    <row r="187" spans="1:7" x14ac:dyDescent="0.25">
      <c r="A187" s="4">
        <v>57</v>
      </c>
      <c r="B187" s="4">
        <f t="shared" si="6"/>
        <v>5.7</v>
      </c>
      <c r="C187" s="4">
        <f t="shared" si="7"/>
        <v>63</v>
      </c>
      <c r="E187" s="4">
        <v>-540</v>
      </c>
      <c r="F187" s="4">
        <v>0</v>
      </c>
      <c r="G187" s="4">
        <f t="shared" si="8"/>
        <v>-540</v>
      </c>
    </row>
    <row r="188" spans="1:7" x14ac:dyDescent="0.25">
      <c r="A188" s="4">
        <v>58</v>
      </c>
      <c r="B188" s="4">
        <f t="shared" ref="B188:B251" si="9">A188*0.1</f>
        <v>5.8000000000000007</v>
      </c>
      <c r="C188" s="4">
        <f t="shared" si="7"/>
        <v>64</v>
      </c>
      <c r="E188" s="4">
        <v>-539</v>
      </c>
      <c r="F188" s="4">
        <v>0</v>
      </c>
      <c r="G188" s="4">
        <f t="shared" si="8"/>
        <v>-539</v>
      </c>
    </row>
    <row r="189" spans="1:7" x14ac:dyDescent="0.25">
      <c r="A189" s="4">
        <v>59</v>
      </c>
      <c r="B189" s="4">
        <f t="shared" si="9"/>
        <v>5.9</v>
      </c>
      <c r="C189" s="4">
        <f t="shared" si="7"/>
        <v>65</v>
      </c>
      <c r="E189" s="4">
        <v>-538</v>
      </c>
      <c r="F189" s="4">
        <v>0</v>
      </c>
      <c r="G189" s="4">
        <f t="shared" si="8"/>
        <v>-538</v>
      </c>
    </row>
    <row r="190" spans="1:7" x14ac:dyDescent="0.25">
      <c r="A190" s="4">
        <v>60</v>
      </c>
      <c r="B190" s="4">
        <f t="shared" si="9"/>
        <v>6</v>
      </c>
      <c r="C190" s="4">
        <f t="shared" si="7"/>
        <v>66</v>
      </c>
      <c r="E190" s="4">
        <v>-537</v>
      </c>
      <c r="F190" s="4">
        <v>0</v>
      </c>
      <c r="G190" s="4">
        <f t="shared" si="8"/>
        <v>-537</v>
      </c>
    </row>
    <row r="191" spans="1:7" x14ac:dyDescent="0.25">
      <c r="A191" s="4">
        <v>61</v>
      </c>
      <c r="B191" s="4">
        <f t="shared" si="9"/>
        <v>6.1000000000000005</v>
      </c>
      <c r="C191" s="4">
        <f t="shared" si="7"/>
        <v>67</v>
      </c>
      <c r="E191" s="4">
        <v>-536</v>
      </c>
      <c r="F191" s="4">
        <v>0</v>
      </c>
      <c r="G191" s="4">
        <f t="shared" si="8"/>
        <v>-536</v>
      </c>
    </row>
    <row r="192" spans="1:7" x14ac:dyDescent="0.25">
      <c r="A192" s="4">
        <v>62</v>
      </c>
      <c r="B192" s="4">
        <f t="shared" si="9"/>
        <v>6.2</v>
      </c>
      <c r="C192" s="4">
        <f t="shared" si="7"/>
        <v>68</v>
      </c>
      <c r="E192" s="4">
        <v>-535</v>
      </c>
      <c r="F192" s="4">
        <v>0</v>
      </c>
      <c r="G192" s="4">
        <f t="shared" si="8"/>
        <v>-535</v>
      </c>
    </row>
    <row r="193" spans="1:7" x14ac:dyDescent="0.25">
      <c r="A193" s="4">
        <v>63</v>
      </c>
      <c r="B193" s="4">
        <f t="shared" si="9"/>
        <v>6.3000000000000007</v>
      </c>
      <c r="C193" s="4">
        <f t="shared" si="7"/>
        <v>69</v>
      </c>
      <c r="E193" s="4">
        <v>-534</v>
      </c>
      <c r="F193" s="4">
        <v>0</v>
      </c>
      <c r="G193" s="4">
        <f t="shared" si="8"/>
        <v>-534</v>
      </c>
    </row>
    <row r="194" spans="1:7" x14ac:dyDescent="0.25">
      <c r="A194" s="4">
        <v>64</v>
      </c>
      <c r="B194" s="4">
        <f t="shared" si="9"/>
        <v>6.4</v>
      </c>
      <c r="C194" s="4">
        <f t="shared" si="7"/>
        <v>70</v>
      </c>
      <c r="E194" s="4">
        <v>-533</v>
      </c>
      <c r="F194" s="4">
        <v>0</v>
      </c>
      <c r="G194" s="4">
        <f t="shared" si="8"/>
        <v>-533</v>
      </c>
    </row>
    <row r="195" spans="1:7" x14ac:dyDescent="0.25">
      <c r="A195" s="4">
        <v>65</v>
      </c>
      <c r="B195" s="4">
        <f t="shared" si="9"/>
        <v>6.5</v>
      </c>
      <c r="C195" s="4">
        <f t="shared" si="7"/>
        <v>72</v>
      </c>
      <c r="E195" s="4">
        <v>-532</v>
      </c>
      <c r="F195" s="4">
        <v>0</v>
      </c>
      <c r="G195" s="4">
        <f t="shared" si="8"/>
        <v>-532</v>
      </c>
    </row>
    <row r="196" spans="1:7" x14ac:dyDescent="0.25">
      <c r="A196" s="4">
        <v>66</v>
      </c>
      <c r="B196" s="4">
        <f t="shared" si="9"/>
        <v>6.6000000000000005</v>
      </c>
      <c r="C196" s="4">
        <f t="shared" si="7"/>
        <v>73</v>
      </c>
      <c r="E196" s="4">
        <v>-531</v>
      </c>
      <c r="F196" s="4">
        <v>0</v>
      </c>
      <c r="G196" s="4">
        <f t="shared" si="8"/>
        <v>-531</v>
      </c>
    </row>
    <row r="197" spans="1:7" x14ac:dyDescent="0.25">
      <c r="A197" s="4">
        <v>67</v>
      </c>
      <c r="B197" s="4">
        <f t="shared" si="9"/>
        <v>6.7</v>
      </c>
      <c r="C197" s="4">
        <f t="shared" si="7"/>
        <v>74</v>
      </c>
      <c r="E197" s="4">
        <v>-530</v>
      </c>
      <c r="F197" s="4">
        <v>0</v>
      </c>
      <c r="G197" s="4">
        <f t="shared" si="8"/>
        <v>-530</v>
      </c>
    </row>
    <row r="198" spans="1:7" x14ac:dyDescent="0.25">
      <c r="A198" s="4">
        <v>68</v>
      </c>
      <c r="B198" s="4">
        <f t="shared" si="9"/>
        <v>6.8000000000000007</v>
      </c>
      <c r="C198" s="4">
        <f t="shared" si="7"/>
        <v>75</v>
      </c>
      <c r="E198" s="4">
        <v>-529</v>
      </c>
      <c r="F198" s="4">
        <v>0</v>
      </c>
      <c r="G198" s="4">
        <f t="shared" si="8"/>
        <v>-529</v>
      </c>
    </row>
    <row r="199" spans="1:7" x14ac:dyDescent="0.25">
      <c r="A199" s="4">
        <v>69</v>
      </c>
      <c r="B199" s="4">
        <f t="shared" si="9"/>
        <v>6.9</v>
      </c>
      <c r="C199" s="4">
        <f t="shared" si="7"/>
        <v>76</v>
      </c>
      <c r="E199" s="4">
        <v>-528</v>
      </c>
      <c r="F199" s="4">
        <v>0</v>
      </c>
      <c r="G199" s="4">
        <f t="shared" si="8"/>
        <v>-528</v>
      </c>
    </row>
    <row r="200" spans="1:7" x14ac:dyDescent="0.25">
      <c r="A200" s="4">
        <v>70</v>
      </c>
      <c r="B200" s="4">
        <f t="shared" si="9"/>
        <v>7</v>
      </c>
      <c r="C200" s="4">
        <f t="shared" si="7"/>
        <v>77</v>
      </c>
      <c r="E200" s="4">
        <v>-527</v>
      </c>
      <c r="F200" s="4">
        <v>0</v>
      </c>
      <c r="G200" s="4">
        <f t="shared" si="8"/>
        <v>-527</v>
      </c>
    </row>
    <row r="201" spans="1:7" x14ac:dyDescent="0.25">
      <c r="A201" s="4">
        <v>71</v>
      </c>
      <c r="B201" s="4">
        <f t="shared" si="9"/>
        <v>7.1000000000000005</v>
      </c>
      <c r="C201" s="4">
        <f t="shared" ref="C201:C252" si="10">ROUND(A201+B201,0)</f>
        <v>78</v>
      </c>
      <c r="E201" s="4">
        <v>-526</v>
      </c>
      <c r="F201" s="4">
        <v>0</v>
      </c>
      <c r="G201" s="4">
        <f t="shared" ref="G201:G253" si="11">ROUND(E201+F201,0)</f>
        <v>-526</v>
      </c>
    </row>
    <row r="202" spans="1:7" x14ac:dyDescent="0.25">
      <c r="A202" s="4">
        <v>72</v>
      </c>
      <c r="B202" s="4">
        <f t="shared" si="9"/>
        <v>7.2</v>
      </c>
      <c r="C202" s="4">
        <f t="shared" si="10"/>
        <v>79</v>
      </c>
      <c r="E202" s="4">
        <v>-525</v>
      </c>
      <c r="F202" s="4">
        <v>0</v>
      </c>
      <c r="G202" s="4">
        <f t="shared" si="11"/>
        <v>-525</v>
      </c>
    </row>
    <row r="203" spans="1:7" x14ac:dyDescent="0.25">
      <c r="A203" s="4">
        <v>73</v>
      </c>
      <c r="B203" s="4">
        <f t="shared" si="9"/>
        <v>7.3000000000000007</v>
      </c>
      <c r="C203" s="4">
        <f t="shared" si="10"/>
        <v>80</v>
      </c>
      <c r="E203" s="4">
        <v>-524</v>
      </c>
      <c r="F203" s="4">
        <v>0</v>
      </c>
      <c r="G203" s="4">
        <f t="shared" si="11"/>
        <v>-524</v>
      </c>
    </row>
    <row r="204" spans="1:7" x14ac:dyDescent="0.25">
      <c r="A204" s="4">
        <v>74</v>
      </c>
      <c r="B204" s="4">
        <f t="shared" si="9"/>
        <v>7.4</v>
      </c>
      <c r="C204" s="4">
        <f t="shared" si="10"/>
        <v>81</v>
      </c>
      <c r="E204" s="4">
        <v>-523</v>
      </c>
      <c r="F204" s="4">
        <v>0</v>
      </c>
      <c r="G204" s="4">
        <f t="shared" si="11"/>
        <v>-523</v>
      </c>
    </row>
    <row r="205" spans="1:7" x14ac:dyDescent="0.25">
      <c r="A205" s="4">
        <v>75</v>
      </c>
      <c r="B205" s="4">
        <f t="shared" si="9"/>
        <v>7.5</v>
      </c>
      <c r="C205" s="4">
        <f t="shared" si="10"/>
        <v>83</v>
      </c>
      <c r="E205" s="4">
        <v>-522</v>
      </c>
      <c r="F205" s="4">
        <v>0</v>
      </c>
      <c r="G205" s="4">
        <f t="shared" si="11"/>
        <v>-522</v>
      </c>
    </row>
    <row r="206" spans="1:7" x14ac:dyDescent="0.25">
      <c r="A206" s="4">
        <v>76</v>
      </c>
      <c r="B206" s="4">
        <f t="shared" si="9"/>
        <v>7.6000000000000005</v>
      </c>
      <c r="C206" s="4">
        <f t="shared" si="10"/>
        <v>84</v>
      </c>
      <c r="E206" s="4">
        <v>-521</v>
      </c>
      <c r="F206" s="4">
        <v>0</v>
      </c>
      <c r="G206" s="4">
        <f t="shared" si="11"/>
        <v>-521</v>
      </c>
    </row>
    <row r="207" spans="1:7" x14ac:dyDescent="0.25">
      <c r="A207" s="4">
        <v>77</v>
      </c>
      <c r="B207" s="4">
        <f t="shared" si="9"/>
        <v>7.7</v>
      </c>
      <c r="C207" s="4">
        <f t="shared" si="10"/>
        <v>85</v>
      </c>
      <c r="E207" s="4">
        <v>-520</v>
      </c>
      <c r="F207" s="4">
        <v>0</v>
      </c>
      <c r="G207" s="4">
        <f t="shared" si="11"/>
        <v>-520</v>
      </c>
    </row>
    <row r="208" spans="1:7" x14ac:dyDescent="0.25">
      <c r="A208" s="4">
        <v>78</v>
      </c>
      <c r="B208" s="4">
        <f t="shared" si="9"/>
        <v>7.8000000000000007</v>
      </c>
      <c r="C208" s="4">
        <f t="shared" si="10"/>
        <v>86</v>
      </c>
      <c r="E208" s="4">
        <v>-519</v>
      </c>
      <c r="F208" s="4">
        <v>0</v>
      </c>
      <c r="G208" s="4">
        <f t="shared" si="11"/>
        <v>-519</v>
      </c>
    </row>
    <row r="209" spans="1:7" x14ac:dyDescent="0.25">
      <c r="A209" s="4">
        <v>79</v>
      </c>
      <c r="B209" s="4">
        <f t="shared" si="9"/>
        <v>7.9</v>
      </c>
      <c r="C209" s="4">
        <f t="shared" si="10"/>
        <v>87</v>
      </c>
      <c r="E209" s="4">
        <v>-518</v>
      </c>
      <c r="F209" s="4">
        <v>0</v>
      </c>
      <c r="G209" s="4">
        <f t="shared" si="11"/>
        <v>-518</v>
      </c>
    </row>
    <row r="210" spans="1:7" x14ac:dyDescent="0.25">
      <c r="A210" s="4">
        <v>80</v>
      </c>
      <c r="B210" s="4">
        <f t="shared" si="9"/>
        <v>8</v>
      </c>
      <c r="C210" s="4">
        <f t="shared" si="10"/>
        <v>88</v>
      </c>
      <c r="E210" s="4">
        <v>-517</v>
      </c>
      <c r="F210" s="4">
        <v>0</v>
      </c>
      <c r="G210" s="4">
        <f t="shared" si="11"/>
        <v>-517</v>
      </c>
    </row>
    <row r="211" spans="1:7" x14ac:dyDescent="0.25">
      <c r="A211" s="4">
        <v>81</v>
      </c>
      <c r="B211" s="4">
        <f t="shared" si="9"/>
        <v>8.1</v>
      </c>
      <c r="C211" s="4">
        <f t="shared" si="10"/>
        <v>89</v>
      </c>
      <c r="E211" s="4">
        <v>-516</v>
      </c>
      <c r="F211" s="4">
        <v>0</v>
      </c>
      <c r="G211" s="4">
        <f t="shared" si="11"/>
        <v>-516</v>
      </c>
    </row>
    <row r="212" spans="1:7" x14ac:dyDescent="0.25">
      <c r="A212" s="4">
        <v>82</v>
      </c>
      <c r="B212" s="4">
        <f t="shared" si="9"/>
        <v>8.2000000000000011</v>
      </c>
      <c r="C212" s="4">
        <f t="shared" si="10"/>
        <v>90</v>
      </c>
      <c r="E212" s="4">
        <v>-515</v>
      </c>
      <c r="F212" s="4">
        <v>0</v>
      </c>
      <c r="G212" s="4">
        <f t="shared" si="11"/>
        <v>-515</v>
      </c>
    </row>
    <row r="213" spans="1:7" x14ac:dyDescent="0.25">
      <c r="A213" s="4">
        <v>83</v>
      </c>
      <c r="B213" s="4">
        <f t="shared" si="9"/>
        <v>8.3000000000000007</v>
      </c>
      <c r="C213" s="4">
        <f t="shared" si="10"/>
        <v>91</v>
      </c>
      <c r="E213" s="4">
        <v>-514</v>
      </c>
      <c r="F213" s="4">
        <v>0</v>
      </c>
      <c r="G213" s="4">
        <f t="shared" si="11"/>
        <v>-514</v>
      </c>
    </row>
    <row r="214" spans="1:7" x14ac:dyDescent="0.25">
      <c r="A214" s="4">
        <v>84</v>
      </c>
      <c r="B214" s="4">
        <f t="shared" si="9"/>
        <v>8.4</v>
      </c>
      <c r="C214" s="4">
        <f t="shared" si="10"/>
        <v>92</v>
      </c>
      <c r="E214" s="4">
        <v>-513</v>
      </c>
      <c r="F214" s="4">
        <v>0</v>
      </c>
      <c r="G214" s="4">
        <f t="shared" si="11"/>
        <v>-513</v>
      </c>
    </row>
    <row r="215" spans="1:7" x14ac:dyDescent="0.25">
      <c r="A215" s="4">
        <v>85</v>
      </c>
      <c r="B215" s="4">
        <f t="shared" si="9"/>
        <v>8.5</v>
      </c>
      <c r="C215" s="4">
        <f t="shared" si="10"/>
        <v>94</v>
      </c>
      <c r="E215" s="4">
        <v>-512</v>
      </c>
      <c r="F215" s="4">
        <v>0</v>
      </c>
      <c r="G215" s="4">
        <f t="shared" si="11"/>
        <v>-512</v>
      </c>
    </row>
    <row r="216" spans="1:7" x14ac:dyDescent="0.25">
      <c r="A216" s="4">
        <v>86</v>
      </c>
      <c r="B216" s="4">
        <f t="shared" si="9"/>
        <v>8.6</v>
      </c>
      <c r="C216" s="4">
        <f t="shared" si="10"/>
        <v>95</v>
      </c>
      <c r="E216" s="4">
        <v>-511</v>
      </c>
      <c r="F216" s="4">
        <v>0</v>
      </c>
      <c r="G216" s="4">
        <f t="shared" si="11"/>
        <v>-511</v>
      </c>
    </row>
    <row r="217" spans="1:7" x14ac:dyDescent="0.25">
      <c r="A217" s="4">
        <v>87</v>
      </c>
      <c r="B217" s="4">
        <f t="shared" si="9"/>
        <v>8.7000000000000011</v>
      </c>
      <c r="C217" s="4">
        <f t="shared" si="10"/>
        <v>96</v>
      </c>
      <c r="E217" s="4">
        <v>-510</v>
      </c>
      <c r="F217" s="4">
        <v>0</v>
      </c>
      <c r="G217" s="4">
        <f t="shared" si="11"/>
        <v>-510</v>
      </c>
    </row>
    <row r="218" spans="1:7" x14ac:dyDescent="0.25">
      <c r="A218" s="4">
        <v>88</v>
      </c>
      <c r="B218" s="4">
        <f t="shared" si="9"/>
        <v>8.8000000000000007</v>
      </c>
      <c r="C218" s="4">
        <f t="shared" si="10"/>
        <v>97</v>
      </c>
      <c r="E218" s="4">
        <v>-509</v>
      </c>
      <c r="F218" s="4">
        <v>0</v>
      </c>
      <c r="G218" s="4">
        <f t="shared" si="11"/>
        <v>-509</v>
      </c>
    </row>
    <row r="219" spans="1:7" x14ac:dyDescent="0.25">
      <c r="A219" s="4">
        <v>89</v>
      </c>
      <c r="B219" s="4">
        <f t="shared" si="9"/>
        <v>8.9</v>
      </c>
      <c r="C219" s="4">
        <f t="shared" si="10"/>
        <v>98</v>
      </c>
      <c r="E219" s="4">
        <v>-508</v>
      </c>
      <c r="F219" s="4">
        <v>0</v>
      </c>
      <c r="G219" s="4">
        <f t="shared" si="11"/>
        <v>-508</v>
      </c>
    </row>
    <row r="220" spans="1:7" x14ac:dyDescent="0.25">
      <c r="A220" s="4">
        <v>90</v>
      </c>
      <c r="B220" s="4">
        <f t="shared" si="9"/>
        <v>9</v>
      </c>
      <c r="C220" s="4">
        <f t="shared" si="10"/>
        <v>99</v>
      </c>
      <c r="E220" s="4">
        <v>-507</v>
      </c>
      <c r="F220" s="4">
        <v>0</v>
      </c>
      <c r="G220" s="4">
        <f t="shared" si="11"/>
        <v>-507</v>
      </c>
    </row>
    <row r="221" spans="1:7" x14ac:dyDescent="0.25">
      <c r="A221" s="4">
        <v>91</v>
      </c>
      <c r="B221" s="4">
        <f t="shared" si="9"/>
        <v>9.1</v>
      </c>
      <c r="C221" s="4">
        <f t="shared" si="10"/>
        <v>100</v>
      </c>
      <c r="E221" s="4">
        <v>-506</v>
      </c>
      <c r="F221" s="4">
        <v>0</v>
      </c>
      <c r="G221" s="4">
        <f t="shared" si="11"/>
        <v>-506</v>
      </c>
    </row>
    <row r="222" spans="1:7" x14ac:dyDescent="0.25">
      <c r="A222" s="4">
        <v>92</v>
      </c>
      <c r="B222" s="4">
        <f t="shared" si="9"/>
        <v>9.2000000000000011</v>
      </c>
      <c r="C222" s="4">
        <f t="shared" si="10"/>
        <v>101</v>
      </c>
      <c r="E222" s="4">
        <v>-505</v>
      </c>
      <c r="F222" s="4">
        <v>0</v>
      </c>
      <c r="G222" s="4">
        <f t="shared" si="11"/>
        <v>-505</v>
      </c>
    </row>
    <row r="223" spans="1:7" x14ac:dyDescent="0.25">
      <c r="A223" s="4">
        <v>93</v>
      </c>
      <c r="B223" s="4">
        <f t="shared" si="9"/>
        <v>9.3000000000000007</v>
      </c>
      <c r="C223" s="4">
        <f t="shared" si="10"/>
        <v>102</v>
      </c>
      <c r="E223" s="4">
        <v>-504</v>
      </c>
      <c r="F223" s="4">
        <v>0</v>
      </c>
      <c r="G223" s="4">
        <f t="shared" si="11"/>
        <v>-504</v>
      </c>
    </row>
    <row r="224" spans="1:7" x14ac:dyDescent="0.25">
      <c r="A224" s="4">
        <v>94</v>
      </c>
      <c r="B224" s="4">
        <f t="shared" si="9"/>
        <v>9.4</v>
      </c>
      <c r="C224" s="4">
        <f t="shared" si="10"/>
        <v>103</v>
      </c>
      <c r="E224" s="4">
        <v>-503</v>
      </c>
      <c r="F224" s="4">
        <v>0</v>
      </c>
      <c r="G224" s="4">
        <f t="shared" si="11"/>
        <v>-503</v>
      </c>
    </row>
    <row r="225" spans="1:7" x14ac:dyDescent="0.25">
      <c r="A225" s="4">
        <v>95</v>
      </c>
      <c r="B225" s="4">
        <f t="shared" si="9"/>
        <v>9.5</v>
      </c>
      <c r="C225" s="4">
        <f t="shared" si="10"/>
        <v>105</v>
      </c>
      <c r="E225" s="4">
        <v>-502</v>
      </c>
      <c r="F225" s="4">
        <v>0</v>
      </c>
      <c r="G225" s="4">
        <f t="shared" si="11"/>
        <v>-502</v>
      </c>
    </row>
    <row r="226" spans="1:7" x14ac:dyDescent="0.25">
      <c r="A226" s="4">
        <v>96</v>
      </c>
      <c r="B226" s="4">
        <f t="shared" si="9"/>
        <v>9.6000000000000014</v>
      </c>
      <c r="C226" s="4">
        <f t="shared" si="10"/>
        <v>106</v>
      </c>
      <c r="E226" s="4">
        <v>-501</v>
      </c>
      <c r="F226" s="4">
        <v>0</v>
      </c>
      <c r="G226" s="4">
        <f t="shared" si="11"/>
        <v>-501</v>
      </c>
    </row>
    <row r="227" spans="1:7" x14ac:dyDescent="0.25">
      <c r="A227" s="4">
        <v>97</v>
      </c>
      <c r="B227" s="4">
        <f t="shared" si="9"/>
        <v>9.7000000000000011</v>
      </c>
      <c r="C227" s="4">
        <f t="shared" si="10"/>
        <v>107</v>
      </c>
      <c r="E227" s="4">
        <v>-500</v>
      </c>
      <c r="F227" s="4">
        <v>0</v>
      </c>
      <c r="G227" s="4">
        <f t="shared" si="11"/>
        <v>-500</v>
      </c>
    </row>
    <row r="228" spans="1:7" x14ac:dyDescent="0.25">
      <c r="A228" s="4">
        <v>98</v>
      </c>
      <c r="B228" s="4">
        <f t="shared" si="9"/>
        <v>9.8000000000000007</v>
      </c>
      <c r="C228" s="4">
        <f t="shared" si="10"/>
        <v>108</v>
      </c>
      <c r="E228" s="4">
        <v>-499</v>
      </c>
      <c r="F228" s="4">
        <v>0</v>
      </c>
      <c r="G228" s="4">
        <f t="shared" si="11"/>
        <v>-499</v>
      </c>
    </row>
    <row r="229" spans="1:7" x14ac:dyDescent="0.25">
      <c r="A229" s="4">
        <v>99</v>
      </c>
      <c r="B229" s="4">
        <f t="shared" si="9"/>
        <v>9.9</v>
      </c>
      <c r="C229" s="4">
        <f t="shared" si="10"/>
        <v>109</v>
      </c>
      <c r="E229" s="4">
        <v>-498</v>
      </c>
      <c r="F229" s="4">
        <v>0</v>
      </c>
      <c r="G229" s="4">
        <f t="shared" si="11"/>
        <v>-498</v>
      </c>
    </row>
    <row r="230" spans="1:7" x14ac:dyDescent="0.25">
      <c r="A230" s="4">
        <v>100</v>
      </c>
      <c r="B230" s="4">
        <f t="shared" si="9"/>
        <v>10</v>
      </c>
      <c r="C230" s="4">
        <f t="shared" si="10"/>
        <v>110</v>
      </c>
      <c r="E230" s="4">
        <v>-497</v>
      </c>
      <c r="F230" s="4">
        <v>0</v>
      </c>
      <c r="G230" s="4">
        <f t="shared" si="11"/>
        <v>-497</v>
      </c>
    </row>
    <row r="231" spans="1:7" x14ac:dyDescent="0.25">
      <c r="A231" s="4">
        <v>101</v>
      </c>
      <c r="B231" s="4">
        <f t="shared" si="9"/>
        <v>10.100000000000001</v>
      </c>
      <c r="C231" s="4">
        <f t="shared" si="10"/>
        <v>111</v>
      </c>
      <c r="E231" s="4">
        <v>-496</v>
      </c>
      <c r="F231" s="4">
        <v>0</v>
      </c>
      <c r="G231" s="4">
        <f t="shared" si="11"/>
        <v>-496</v>
      </c>
    </row>
    <row r="232" spans="1:7" x14ac:dyDescent="0.25">
      <c r="A232" s="4">
        <v>102</v>
      </c>
      <c r="B232" s="4">
        <f t="shared" si="9"/>
        <v>10.200000000000001</v>
      </c>
      <c r="C232" s="4">
        <f t="shared" si="10"/>
        <v>112</v>
      </c>
      <c r="E232" s="4">
        <v>-495</v>
      </c>
      <c r="F232" s="4">
        <v>0</v>
      </c>
      <c r="G232" s="4">
        <f t="shared" si="11"/>
        <v>-495</v>
      </c>
    </row>
    <row r="233" spans="1:7" x14ac:dyDescent="0.25">
      <c r="A233" s="4">
        <v>103</v>
      </c>
      <c r="B233" s="4">
        <f t="shared" si="9"/>
        <v>10.3</v>
      </c>
      <c r="C233" s="4">
        <f t="shared" si="10"/>
        <v>113</v>
      </c>
      <c r="E233" s="4">
        <v>-494</v>
      </c>
      <c r="F233" s="4">
        <v>0</v>
      </c>
      <c r="G233" s="4">
        <f t="shared" si="11"/>
        <v>-494</v>
      </c>
    </row>
    <row r="234" spans="1:7" x14ac:dyDescent="0.25">
      <c r="A234" s="4">
        <v>104</v>
      </c>
      <c r="B234" s="4">
        <f t="shared" si="9"/>
        <v>10.4</v>
      </c>
      <c r="C234" s="4">
        <f t="shared" si="10"/>
        <v>114</v>
      </c>
      <c r="E234" s="4">
        <v>-493</v>
      </c>
      <c r="F234" s="4">
        <v>0</v>
      </c>
      <c r="G234" s="4">
        <f t="shared" si="11"/>
        <v>-493</v>
      </c>
    </row>
    <row r="235" spans="1:7" x14ac:dyDescent="0.25">
      <c r="A235" s="4">
        <v>105</v>
      </c>
      <c r="B235" s="4">
        <f t="shared" si="9"/>
        <v>10.5</v>
      </c>
      <c r="C235" s="4">
        <f t="shared" si="10"/>
        <v>116</v>
      </c>
      <c r="E235" s="4">
        <v>-492</v>
      </c>
      <c r="F235" s="4">
        <v>0</v>
      </c>
      <c r="G235" s="4">
        <f t="shared" si="11"/>
        <v>-492</v>
      </c>
    </row>
    <row r="236" spans="1:7" x14ac:dyDescent="0.25">
      <c r="A236" s="4">
        <v>106</v>
      </c>
      <c r="B236" s="4">
        <f t="shared" si="9"/>
        <v>10.600000000000001</v>
      </c>
      <c r="C236" s="4">
        <f t="shared" si="10"/>
        <v>117</v>
      </c>
      <c r="E236" s="4">
        <v>-491</v>
      </c>
      <c r="F236" s="4">
        <v>0</v>
      </c>
      <c r="G236" s="4">
        <f t="shared" si="11"/>
        <v>-491</v>
      </c>
    </row>
    <row r="237" spans="1:7" x14ac:dyDescent="0.25">
      <c r="A237" s="4">
        <v>107</v>
      </c>
      <c r="B237" s="4">
        <f t="shared" si="9"/>
        <v>10.700000000000001</v>
      </c>
      <c r="C237" s="4">
        <f t="shared" si="10"/>
        <v>118</v>
      </c>
      <c r="E237" s="4">
        <v>-490</v>
      </c>
      <c r="F237" s="4">
        <v>0</v>
      </c>
      <c r="G237" s="4">
        <f t="shared" si="11"/>
        <v>-490</v>
      </c>
    </row>
    <row r="238" spans="1:7" x14ac:dyDescent="0.25">
      <c r="A238" s="4">
        <v>108</v>
      </c>
      <c r="B238" s="4">
        <f t="shared" si="9"/>
        <v>10.8</v>
      </c>
      <c r="C238" s="4">
        <f t="shared" si="10"/>
        <v>119</v>
      </c>
      <c r="E238" s="4">
        <v>-489</v>
      </c>
      <c r="F238" s="4">
        <v>0</v>
      </c>
      <c r="G238" s="4">
        <f t="shared" si="11"/>
        <v>-489</v>
      </c>
    </row>
    <row r="239" spans="1:7" x14ac:dyDescent="0.25">
      <c r="A239" s="4">
        <v>109</v>
      </c>
      <c r="B239" s="4">
        <f t="shared" si="9"/>
        <v>10.9</v>
      </c>
      <c r="C239" s="4">
        <f t="shared" si="10"/>
        <v>120</v>
      </c>
      <c r="E239" s="4">
        <v>-488</v>
      </c>
      <c r="F239" s="4">
        <v>0</v>
      </c>
      <c r="G239" s="4">
        <f t="shared" si="11"/>
        <v>-488</v>
      </c>
    </row>
    <row r="240" spans="1:7" x14ac:dyDescent="0.25">
      <c r="A240" s="4">
        <v>110</v>
      </c>
      <c r="B240" s="4">
        <f t="shared" si="9"/>
        <v>11</v>
      </c>
      <c r="C240" s="4">
        <f t="shared" si="10"/>
        <v>121</v>
      </c>
      <c r="E240" s="4">
        <v>-487</v>
      </c>
      <c r="F240" s="4">
        <v>0</v>
      </c>
      <c r="G240" s="4">
        <f t="shared" si="11"/>
        <v>-487</v>
      </c>
    </row>
    <row r="241" spans="1:7" x14ac:dyDescent="0.25">
      <c r="A241" s="4">
        <v>111</v>
      </c>
      <c r="B241" s="4">
        <f t="shared" si="9"/>
        <v>11.100000000000001</v>
      </c>
      <c r="C241" s="4">
        <f t="shared" si="10"/>
        <v>122</v>
      </c>
      <c r="E241" s="4">
        <v>-486</v>
      </c>
      <c r="F241" s="4">
        <v>0</v>
      </c>
      <c r="G241" s="4">
        <f t="shared" si="11"/>
        <v>-486</v>
      </c>
    </row>
    <row r="242" spans="1:7" x14ac:dyDescent="0.25">
      <c r="A242" s="4">
        <v>112</v>
      </c>
      <c r="B242" s="4">
        <f t="shared" si="9"/>
        <v>11.200000000000001</v>
      </c>
      <c r="C242" s="4">
        <f t="shared" si="10"/>
        <v>123</v>
      </c>
      <c r="E242" s="4">
        <v>-485</v>
      </c>
      <c r="F242" s="4">
        <v>0</v>
      </c>
      <c r="G242" s="4">
        <f t="shared" si="11"/>
        <v>-485</v>
      </c>
    </row>
    <row r="243" spans="1:7" x14ac:dyDescent="0.25">
      <c r="A243" s="4">
        <v>113</v>
      </c>
      <c r="B243" s="4">
        <f t="shared" si="9"/>
        <v>11.3</v>
      </c>
      <c r="C243" s="4">
        <f t="shared" si="10"/>
        <v>124</v>
      </c>
      <c r="E243" s="4">
        <v>-484</v>
      </c>
      <c r="F243" s="4">
        <v>0</v>
      </c>
      <c r="G243" s="4">
        <f t="shared" si="11"/>
        <v>-484</v>
      </c>
    </row>
    <row r="244" spans="1:7" x14ac:dyDescent="0.25">
      <c r="A244" s="4">
        <v>114</v>
      </c>
      <c r="B244" s="4">
        <f t="shared" si="9"/>
        <v>11.4</v>
      </c>
      <c r="C244" s="4">
        <f t="shared" si="10"/>
        <v>125</v>
      </c>
      <c r="E244" s="4">
        <v>-483</v>
      </c>
      <c r="F244" s="4">
        <v>0</v>
      </c>
      <c r="G244" s="4">
        <f t="shared" si="11"/>
        <v>-483</v>
      </c>
    </row>
    <row r="245" spans="1:7" x14ac:dyDescent="0.25">
      <c r="A245" s="4">
        <v>115</v>
      </c>
      <c r="B245" s="4">
        <f t="shared" si="9"/>
        <v>11.5</v>
      </c>
      <c r="C245" s="4">
        <f t="shared" si="10"/>
        <v>127</v>
      </c>
      <c r="E245" s="4">
        <v>-482</v>
      </c>
      <c r="F245" s="4">
        <v>0</v>
      </c>
      <c r="G245" s="4">
        <f t="shared" si="11"/>
        <v>-482</v>
      </c>
    </row>
    <row r="246" spans="1:7" x14ac:dyDescent="0.25">
      <c r="A246" s="4">
        <v>116</v>
      </c>
      <c r="B246" s="4">
        <f t="shared" si="9"/>
        <v>11.600000000000001</v>
      </c>
      <c r="C246" s="4">
        <f t="shared" si="10"/>
        <v>128</v>
      </c>
      <c r="E246" s="4">
        <v>-481</v>
      </c>
      <c r="F246" s="4">
        <v>0</v>
      </c>
      <c r="G246" s="4">
        <f t="shared" si="11"/>
        <v>-481</v>
      </c>
    </row>
    <row r="247" spans="1:7" x14ac:dyDescent="0.25">
      <c r="A247" s="4">
        <v>117</v>
      </c>
      <c r="B247" s="4">
        <f t="shared" si="9"/>
        <v>11.700000000000001</v>
      </c>
      <c r="C247" s="4">
        <f t="shared" si="10"/>
        <v>129</v>
      </c>
      <c r="E247" s="4">
        <v>-480</v>
      </c>
      <c r="F247" s="4">
        <v>0</v>
      </c>
      <c r="G247" s="4">
        <f t="shared" si="11"/>
        <v>-480</v>
      </c>
    </row>
    <row r="248" spans="1:7" x14ac:dyDescent="0.25">
      <c r="A248" s="4">
        <v>118</v>
      </c>
      <c r="B248" s="4">
        <f t="shared" si="9"/>
        <v>11.8</v>
      </c>
      <c r="C248" s="4">
        <f t="shared" si="10"/>
        <v>130</v>
      </c>
      <c r="E248" s="4">
        <v>-479</v>
      </c>
      <c r="F248" s="4">
        <v>0</v>
      </c>
      <c r="G248" s="4">
        <f t="shared" si="11"/>
        <v>-479</v>
      </c>
    </row>
    <row r="249" spans="1:7" x14ac:dyDescent="0.25">
      <c r="A249" s="4">
        <v>119</v>
      </c>
      <c r="B249" s="4">
        <f t="shared" si="9"/>
        <v>11.9</v>
      </c>
      <c r="C249" s="4">
        <f t="shared" si="10"/>
        <v>131</v>
      </c>
      <c r="E249" s="4">
        <v>-478</v>
      </c>
      <c r="F249" s="4">
        <v>0</v>
      </c>
      <c r="G249" s="4">
        <f t="shared" si="11"/>
        <v>-478</v>
      </c>
    </row>
    <row r="250" spans="1:7" x14ac:dyDescent="0.25">
      <c r="A250" s="4">
        <v>120</v>
      </c>
      <c r="B250" s="4">
        <f t="shared" si="9"/>
        <v>12</v>
      </c>
      <c r="C250" s="4">
        <f t="shared" si="10"/>
        <v>132</v>
      </c>
      <c r="E250" s="4">
        <v>-477</v>
      </c>
      <c r="F250" s="4">
        <v>0</v>
      </c>
      <c r="G250" s="4">
        <f t="shared" si="11"/>
        <v>-477</v>
      </c>
    </row>
    <row r="251" spans="1:7" x14ac:dyDescent="0.25">
      <c r="A251" s="4">
        <v>121</v>
      </c>
      <c r="B251" s="4">
        <f t="shared" si="9"/>
        <v>12.100000000000001</v>
      </c>
      <c r="C251" s="4">
        <f t="shared" si="10"/>
        <v>133</v>
      </c>
      <c r="E251" s="4">
        <v>-476</v>
      </c>
      <c r="F251" s="4">
        <v>0</v>
      </c>
      <c r="G251" s="4">
        <f t="shared" si="11"/>
        <v>-476</v>
      </c>
    </row>
    <row r="252" spans="1:7" x14ac:dyDescent="0.25">
      <c r="A252" s="4">
        <v>122</v>
      </c>
      <c r="B252" s="4">
        <f t="shared" ref="B252:B253" si="12">A252*0.1</f>
        <v>12.200000000000001</v>
      </c>
      <c r="C252" s="4">
        <f t="shared" si="10"/>
        <v>134</v>
      </c>
      <c r="E252" s="4">
        <v>-475</v>
      </c>
      <c r="F252" s="4">
        <v>0</v>
      </c>
      <c r="G252" s="4">
        <f t="shared" si="11"/>
        <v>-475</v>
      </c>
    </row>
    <row r="253" spans="1:7" x14ac:dyDescent="0.25">
      <c r="A253" s="4">
        <v>123</v>
      </c>
      <c r="B253" s="4">
        <f t="shared" si="12"/>
        <v>12.3</v>
      </c>
      <c r="C253" s="4">
        <f t="shared" ref="C253" si="13">ROUND(A253+B253,0)</f>
        <v>135</v>
      </c>
      <c r="E253" s="4">
        <v>-474</v>
      </c>
      <c r="F253" s="4">
        <v>0</v>
      </c>
      <c r="G253" s="4">
        <f t="shared" si="11"/>
        <v>-474</v>
      </c>
    </row>
    <row r="254" spans="1:7" x14ac:dyDescent="0.25">
      <c r="E254" s="4">
        <v>-473</v>
      </c>
      <c r="F254" s="4">
        <v>0</v>
      </c>
      <c r="G254" s="4">
        <f t="shared" ref="G254:G317" si="14">ROUND(E254+F254,0)</f>
        <v>-473</v>
      </c>
    </row>
    <row r="255" spans="1:7" x14ac:dyDescent="0.25">
      <c r="E255" s="4">
        <v>-472</v>
      </c>
      <c r="F255" s="4">
        <v>0</v>
      </c>
      <c r="G255" s="4">
        <f t="shared" si="14"/>
        <v>-472</v>
      </c>
    </row>
    <row r="256" spans="1:7" x14ac:dyDescent="0.25">
      <c r="E256" s="4">
        <v>-471</v>
      </c>
      <c r="F256" s="4">
        <v>0</v>
      </c>
      <c r="G256" s="4">
        <f t="shared" si="14"/>
        <v>-471</v>
      </c>
    </row>
    <row r="257" spans="5:7" x14ac:dyDescent="0.25">
      <c r="E257" s="4">
        <v>-470</v>
      </c>
      <c r="F257" s="4">
        <v>0</v>
      </c>
      <c r="G257" s="4">
        <f t="shared" si="14"/>
        <v>-470</v>
      </c>
    </row>
    <row r="258" spans="5:7" x14ac:dyDescent="0.25">
      <c r="E258" s="4">
        <v>-469</v>
      </c>
      <c r="F258" s="4">
        <v>0</v>
      </c>
      <c r="G258" s="4">
        <f t="shared" si="14"/>
        <v>-469</v>
      </c>
    </row>
    <row r="259" spans="5:7" x14ac:dyDescent="0.25">
      <c r="E259" s="4">
        <v>-468</v>
      </c>
      <c r="F259" s="4">
        <v>0</v>
      </c>
      <c r="G259" s="4">
        <f t="shared" si="14"/>
        <v>-468</v>
      </c>
    </row>
    <row r="260" spans="5:7" x14ac:dyDescent="0.25">
      <c r="E260" s="4">
        <v>-467</v>
      </c>
      <c r="F260" s="4">
        <v>0</v>
      </c>
      <c r="G260" s="4">
        <f t="shared" si="14"/>
        <v>-467</v>
      </c>
    </row>
    <row r="261" spans="5:7" x14ac:dyDescent="0.25">
      <c r="E261" s="4">
        <v>-466</v>
      </c>
      <c r="F261" s="4">
        <v>0</v>
      </c>
      <c r="G261" s="4">
        <f t="shared" si="14"/>
        <v>-466</v>
      </c>
    </row>
    <row r="262" spans="5:7" x14ac:dyDescent="0.25">
      <c r="E262" s="4">
        <v>-465</v>
      </c>
      <c r="F262" s="4">
        <v>0</v>
      </c>
      <c r="G262" s="4">
        <f t="shared" si="14"/>
        <v>-465</v>
      </c>
    </row>
    <row r="263" spans="5:7" x14ac:dyDescent="0.25">
      <c r="E263" s="4">
        <v>-464</v>
      </c>
      <c r="F263" s="4">
        <v>0</v>
      </c>
      <c r="G263" s="4">
        <f t="shared" si="14"/>
        <v>-464</v>
      </c>
    </row>
    <row r="264" spans="5:7" x14ac:dyDescent="0.25">
      <c r="E264" s="4">
        <v>-463</v>
      </c>
      <c r="F264" s="4">
        <v>0</v>
      </c>
      <c r="G264" s="4">
        <f t="shared" si="14"/>
        <v>-463</v>
      </c>
    </row>
    <row r="265" spans="5:7" x14ac:dyDescent="0.25">
      <c r="E265" s="4">
        <v>-462</v>
      </c>
      <c r="F265" s="4">
        <v>0</v>
      </c>
      <c r="G265" s="4">
        <f t="shared" si="14"/>
        <v>-462</v>
      </c>
    </row>
    <row r="266" spans="5:7" x14ac:dyDescent="0.25">
      <c r="E266" s="4">
        <v>-461</v>
      </c>
      <c r="F266" s="4">
        <v>0</v>
      </c>
      <c r="G266" s="4">
        <f t="shared" si="14"/>
        <v>-461</v>
      </c>
    </row>
    <row r="267" spans="5:7" x14ac:dyDescent="0.25">
      <c r="E267" s="4">
        <v>-460</v>
      </c>
      <c r="F267" s="4">
        <v>0</v>
      </c>
      <c r="G267" s="4">
        <f t="shared" si="14"/>
        <v>-460</v>
      </c>
    </row>
    <row r="268" spans="5:7" x14ac:dyDescent="0.25">
      <c r="E268" s="4">
        <v>-459</v>
      </c>
      <c r="F268" s="4">
        <v>0</v>
      </c>
      <c r="G268" s="4">
        <f t="shared" si="14"/>
        <v>-459</v>
      </c>
    </row>
    <row r="269" spans="5:7" x14ac:dyDescent="0.25">
      <c r="E269" s="4">
        <v>-458</v>
      </c>
      <c r="F269" s="4">
        <v>0</v>
      </c>
      <c r="G269" s="4">
        <f t="shared" si="14"/>
        <v>-458</v>
      </c>
    </row>
    <row r="270" spans="5:7" x14ac:dyDescent="0.25">
      <c r="E270" s="4">
        <v>-457</v>
      </c>
      <c r="F270" s="4">
        <v>0</v>
      </c>
      <c r="G270" s="4">
        <f t="shared" si="14"/>
        <v>-457</v>
      </c>
    </row>
    <row r="271" spans="5:7" x14ac:dyDescent="0.25">
      <c r="E271" s="4">
        <v>-456</v>
      </c>
      <c r="F271" s="4">
        <v>0</v>
      </c>
      <c r="G271" s="4">
        <f t="shared" si="14"/>
        <v>-456</v>
      </c>
    </row>
    <row r="272" spans="5:7" x14ac:dyDescent="0.25">
      <c r="E272" s="4">
        <v>-455</v>
      </c>
      <c r="F272" s="4">
        <v>0</v>
      </c>
      <c r="G272" s="4">
        <f t="shared" si="14"/>
        <v>-455</v>
      </c>
    </row>
    <row r="273" spans="5:7" x14ac:dyDescent="0.25">
      <c r="E273" s="4">
        <v>-454</v>
      </c>
      <c r="F273" s="4">
        <v>0</v>
      </c>
      <c r="G273" s="4">
        <f t="shared" si="14"/>
        <v>-454</v>
      </c>
    </row>
    <row r="274" spans="5:7" x14ac:dyDescent="0.25">
      <c r="E274" s="4">
        <v>-453</v>
      </c>
      <c r="F274" s="4">
        <v>0</v>
      </c>
      <c r="G274" s="4">
        <f t="shared" si="14"/>
        <v>-453</v>
      </c>
    </row>
    <row r="275" spans="5:7" x14ac:dyDescent="0.25">
      <c r="E275" s="4">
        <v>-452</v>
      </c>
      <c r="F275" s="4">
        <v>0</v>
      </c>
      <c r="G275" s="4">
        <f t="shared" si="14"/>
        <v>-452</v>
      </c>
    </row>
    <row r="276" spans="5:7" x14ac:dyDescent="0.25">
      <c r="E276" s="4">
        <v>-451</v>
      </c>
      <c r="F276" s="4">
        <v>0</v>
      </c>
      <c r="G276" s="4">
        <f t="shared" si="14"/>
        <v>-451</v>
      </c>
    </row>
    <row r="277" spans="5:7" x14ac:dyDescent="0.25">
      <c r="E277" s="4">
        <v>-450</v>
      </c>
      <c r="F277" s="4">
        <v>0</v>
      </c>
      <c r="G277" s="4">
        <f t="shared" si="14"/>
        <v>-450</v>
      </c>
    </row>
    <row r="278" spans="5:7" x14ac:dyDescent="0.25">
      <c r="E278" s="4">
        <v>-449</v>
      </c>
      <c r="F278" s="4">
        <v>0</v>
      </c>
      <c r="G278" s="4">
        <f t="shared" si="14"/>
        <v>-449</v>
      </c>
    </row>
    <row r="279" spans="5:7" x14ac:dyDescent="0.25">
      <c r="E279" s="4">
        <v>-448</v>
      </c>
      <c r="F279" s="4">
        <v>0</v>
      </c>
      <c r="G279" s="4">
        <f t="shared" si="14"/>
        <v>-448</v>
      </c>
    </row>
    <row r="280" spans="5:7" x14ac:dyDescent="0.25">
      <c r="E280" s="4">
        <v>-447</v>
      </c>
      <c r="F280" s="4">
        <v>0</v>
      </c>
      <c r="G280" s="4">
        <f t="shared" si="14"/>
        <v>-447</v>
      </c>
    </row>
    <row r="281" spans="5:7" x14ac:dyDescent="0.25">
      <c r="E281" s="4">
        <v>-446</v>
      </c>
      <c r="F281" s="4">
        <v>0</v>
      </c>
      <c r="G281" s="4">
        <f t="shared" si="14"/>
        <v>-446</v>
      </c>
    </row>
    <row r="282" spans="5:7" x14ac:dyDescent="0.25">
      <c r="E282" s="4">
        <v>-445</v>
      </c>
      <c r="F282" s="4">
        <v>0</v>
      </c>
      <c r="G282" s="4">
        <f t="shared" si="14"/>
        <v>-445</v>
      </c>
    </row>
    <row r="283" spans="5:7" x14ac:dyDescent="0.25">
      <c r="E283" s="4">
        <v>-444</v>
      </c>
      <c r="F283" s="4">
        <v>0</v>
      </c>
      <c r="G283" s="4">
        <f t="shared" si="14"/>
        <v>-444</v>
      </c>
    </row>
    <row r="284" spans="5:7" x14ac:dyDescent="0.25">
      <c r="E284" s="4">
        <v>-443</v>
      </c>
      <c r="F284" s="4">
        <v>0</v>
      </c>
      <c r="G284" s="4">
        <f t="shared" si="14"/>
        <v>-443</v>
      </c>
    </row>
    <row r="285" spans="5:7" x14ac:dyDescent="0.25">
      <c r="E285" s="4">
        <v>-442</v>
      </c>
      <c r="F285" s="4">
        <v>0</v>
      </c>
      <c r="G285" s="4">
        <f t="shared" si="14"/>
        <v>-442</v>
      </c>
    </row>
    <row r="286" spans="5:7" x14ac:dyDescent="0.25">
      <c r="E286" s="4">
        <v>-441</v>
      </c>
      <c r="F286" s="4">
        <v>0</v>
      </c>
      <c r="G286" s="4">
        <f t="shared" si="14"/>
        <v>-441</v>
      </c>
    </row>
    <row r="287" spans="5:7" x14ac:dyDescent="0.25">
      <c r="E287" s="4">
        <v>-440</v>
      </c>
      <c r="F287" s="4">
        <v>0</v>
      </c>
      <c r="G287" s="4">
        <f t="shared" si="14"/>
        <v>-440</v>
      </c>
    </row>
    <row r="288" spans="5:7" x14ac:dyDescent="0.25">
      <c r="E288" s="4">
        <v>-439</v>
      </c>
      <c r="F288" s="4">
        <v>0</v>
      </c>
      <c r="G288" s="4">
        <f t="shared" si="14"/>
        <v>-439</v>
      </c>
    </row>
    <row r="289" spans="5:7" x14ac:dyDescent="0.25">
      <c r="E289" s="4">
        <v>-438</v>
      </c>
      <c r="F289" s="4">
        <v>0</v>
      </c>
      <c r="G289" s="4">
        <f t="shared" si="14"/>
        <v>-438</v>
      </c>
    </row>
    <row r="290" spans="5:7" x14ac:dyDescent="0.25">
      <c r="E290" s="4">
        <v>-437</v>
      </c>
      <c r="F290" s="4">
        <v>0</v>
      </c>
      <c r="G290" s="4">
        <f t="shared" si="14"/>
        <v>-437</v>
      </c>
    </row>
    <row r="291" spans="5:7" x14ac:dyDescent="0.25">
      <c r="E291" s="4">
        <v>-436</v>
      </c>
      <c r="F291" s="4">
        <v>0</v>
      </c>
      <c r="G291" s="4">
        <f t="shared" si="14"/>
        <v>-436</v>
      </c>
    </row>
    <row r="292" spans="5:7" x14ac:dyDescent="0.25">
      <c r="E292" s="4">
        <v>-435</v>
      </c>
      <c r="F292" s="4">
        <v>0</v>
      </c>
      <c r="G292" s="4">
        <f t="shared" si="14"/>
        <v>-435</v>
      </c>
    </row>
    <row r="293" spans="5:7" x14ac:dyDescent="0.25">
      <c r="E293" s="4">
        <v>-434</v>
      </c>
      <c r="F293" s="4">
        <v>0</v>
      </c>
      <c r="G293" s="4">
        <f t="shared" si="14"/>
        <v>-434</v>
      </c>
    </row>
    <row r="294" spans="5:7" x14ac:dyDescent="0.25">
      <c r="E294" s="4">
        <v>-433</v>
      </c>
      <c r="F294" s="4">
        <v>0</v>
      </c>
      <c r="G294" s="4">
        <f t="shared" si="14"/>
        <v>-433</v>
      </c>
    </row>
    <row r="295" spans="5:7" x14ac:dyDescent="0.25">
      <c r="E295" s="4">
        <v>-432</v>
      </c>
      <c r="F295" s="4">
        <v>0</v>
      </c>
      <c r="G295" s="4">
        <f t="shared" si="14"/>
        <v>-432</v>
      </c>
    </row>
    <row r="296" spans="5:7" x14ac:dyDescent="0.25">
      <c r="E296" s="4">
        <v>-431</v>
      </c>
      <c r="F296" s="4">
        <v>0</v>
      </c>
      <c r="G296" s="4">
        <f t="shared" si="14"/>
        <v>-431</v>
      </c>
    </row>
    <row r="297" spans="5:7" x14ac:dyDescent="0.25">
      <c r="E297" s="4">
        <v>-430</v>
      </c>
      <c r="F297" s="4">
        <v>0</v>
      </c>
      <c r="G297" s="4">
        <f t="shared" si="14"/>
        <v>-430</v>
      </c>
    </row>
    <row r="298" spans="5:7" x14ac:dyDescent="0.25">
      <c r="E298" s="4">
        <v>-429</v>
      </c>
      <c r="F298" s="4">
        <v>0</v>
      </c>
      <c r="G298" s="4">
        <f t="shared" si="14"/>
        <v>-429</v>
      </c>
    </row>
    <row r="299" spans="5:7" x14ac:dyDescent="0.25">
      <c r="E299" s="4">
        <v>-428</v>
      </c>
      <c r="F299" s="4">
        <v>0</v>
      </c>
      <c r="G299" s="4">
        <f t="shared" si="14"/>
        <v>-428</v>
      </c>
    </row>
    <row r="300" spans="5:7" x14ac:dyDescent="0.25">
      <c r="E300" s="4">
        <v>-427</v>
      </c>
      <c r="F300" s="4">
        <v>0</v>
      </c>
      <c r="G300" s="4">
        <f t="shared" si="14"/>
        <v>-427</v>
      </c>
    </row>
    <row r="301" spans="5:7" x14ac:dyDescent="0.25">
      <c r="E301" s="4">
        <v>-426</v>
      </c>
      <c r="F301" s="4">
        <v>0</v>
      </c>
      <c r="G301" s="4">
        <f t="shared" si="14"/>
        <v>-426</v>
      </c>
    </row>
    <row r="302" spans="5:7" x14ac:dyDescent="0.25">
      <c r="E302" s="4">
        <v>-425</v>
      </c>
      <c r="F302" s="4">
        <v>0</v>
      </c>
      <c r="G302" s="4">
        <f t="shared" si="14"/>
        <v>-425</v>
      </c>
    </row>
    <row r="303" spans="5:7" x14ac:dyDescent="0.25">
      <c r="E303" s="4">
        <v>-424</v>
      </c>
      <c r="F303" s="4">
        <v>0</v>
      </c>
      <c r="G303" s="4">
        <f t="shared" si="14"/>
        <v>-424</v>
      </c>
    </row>
    <row r="304" spans="5:7" x14ac:dyDescent="0.25">
      <c r="E304" s="4">
        <v>-423</v>
      </c>
      <c r="F304" s="4">
        <v>0</v>
      </c>
      <c r="G304" s="4">
        <f t="shared" si="14"/>
        <v>-423</v>
      </c>
    </row>
    <row r="305" spans="5:7" x14ac:dyDescent="0.25">
      <c r="E305" s="4">
        <v>-422</v>
      </c>
      <c r="F305" s="4">
        <v>0</v>
      </c>
      <c r="G305" s="4">
        <f t="shared" si="14"/>
        <v>-422</v>
      </c>
    </row>
    <row r="306" spans="5:7" x14ac:dyDescent="0.25">
      <c r="E306" s="4">
        <v>-421</v>
      </c>
      <c r="F306" s="4">
        <v>0</v>
      </c>
      <c r="G306" s="4">
        <f t="shared" si="14"/>
        <v>-421</v>
      </c>
    </row>
    <row r="307" spans="5:7" x14ac:dyDescent="0.25">
      <c r="E307" s="4">
        <v>-420</v>
      </c>
      <c r="F307" s="4">
        <v>0</v>
      </c>
      <c r="G307" s="4">
        <f t="shared" si="14"/>
        <v>-420</v>
      </c>
    </row>
    <row r="308" spans="5:7" x14ac:dyDescent="0.25">
      <c r="E308" s="4">
        <v>-419</v>
      </c>
      <c r="F308" s="4">
        <v>0</v>
      </c>
      <c r="G308" s="4">
        <f t="shared" si="14"/>
        <v>-419</v>
      </c>
    </row>
    <row r="309" spans="5:7" x14ac:dyDescent="0.25">
      <c r="E309" s="4">
        <v>-418</v>
      </c>
      <c r="F309" s="4">
        <v>0</v>
      </c>
      <c r="G309" s="4">
        <f t="shared" si="14"/>
        <v>-418</v>
      </c>
    </row>
    <row r="310" spans="5:7" x14ac:dyDescent="0.25">
      <c r="E310" s="4">
        <v>-417</v>
      </c>
      <c r="F310" s="4">
        <v>0</v>
      </c>
      <c r="G310" s="4">
        <f t="shared" si="14"/>
        <v>-417</v>
      </c>
    </row>
    <row r="311" spans="5:7" x14ac:dyDescent="0.25">
      <c r="E311" s="4">
        <v>-416</v>
      </c>
      <c r="F311" s="4">
        <v>0</v>
      </c>
      <c r="G311" s="4">
        <f t="shared" si="14"/>
        <v>-416</v>
      </c>
    </row>
    <row r="312" spans="5:7" x14ac:dyDescent="0.25">
      <c r="E312" s="4">
        <v>-415</v>
      </c>
      <c r="F312" s="4">
        <v>0</v>
      </c>
      <c r="G312" s="4">
        <f t="shared" si="14"/>
        <v>-415</v>
      </c>
    </row>
    <row r="313" spans="5:7" x14ac:dyDescent="0.25">
      <c r="E313" s="4">
        <v>-414</v>
      </c>
      <c r="F313" s="4">
        <v>0</v>
      </c>
      <c r="G313" s="4">
        <f t="shared" si="14"/>
        <v>-414</v>
      </c>
    </row>
    <row r="314" spans="5:7" x14ac:dyDescent="0.25">
      <c r="E314" s="4">
        <v>-413</v>
      </c>
      <c r="F314" s="4">
        <v>0</v>
      </c>
      <c r="G314" s="4">
        <f t="shared" si="14"/>
        <v>-413</v>
      </c>
    </row>
    <row r="315" spans="5:7" x14ac:dyDescent="0.25">
      <c r="E315" s="4">
        <v>-412</v>
      </c>
      <c r="F315" s="4">
        <v>0</v>
      </c>
      <c r="G315" s="4">
        <f t="shared" si="14"/>
        <v>-412</v>
      </c>
    </row>
    <row r="316" spans="5:7" x14ac:dyDescent="0.25">
      <c r="E316" s="4">
        <v>-411</v>
      </c>
      <c r="F316" s="4">
        <v>0</v>
      </c>
      <c r="G316" s="4">
        <f t="shared" si="14"/>
        <v>-411</v>
      </c>
    </row>
    <row r="317" spans="5:7" x14ac:dyDescent="0.25">
      <c r="E317" s="4">
        <v>-410</v>
      </c>
      <c r="F317" s="4">
        <v>0</v>
      </c>
      <c r="G317" s="4">
        <f t="shared" si="14"/>
        <v>-410</v>
      </c>
    </row>
    <row r="318" spans="5:7" x14ac:dyDescent="0.25">
      <c r="E318" s="4">
        <v>-409</v>
      </c>
      <c r="F318" s="4">
        <v>0</v>
      </c>
      <c r="G318" s="4">
        <f t="shared" ref="G318:G381" si="15">ROUND(E318+F318,0)</f>
        <v>-409</v>
      </c>
    </row>
    <row r="319" spans="5:7" x14ac:dyDescent="0.25">
      <c r="E319" s="4">
        <v>-408</v>
      </c>
      <c r="F319" s="4">
        <v>0</v>
      </c>
      <c r="G319" s="4">
        <f t="shared" si="15"/>
        <v>-408</v>
      </c>
    </row>
    <row r="320" spans="5:7" x14ac:dyDescent="0.25">
      <c r="E320" s="4">
        <v>-407</v>
      </c>
      <c r="F320" s="4">
        <v>0</v>
      </c>
      <c r="G320" s="4">
        <f t="shared" si="15"/>
        <v>-407</v>
      </c>
    </row>
    <row r="321" spans="5:7" x14ac:dyDescent="0.25">
      <c r="E321" s="4">
        <v>-406</v>
      </c>
      <c r="F321" s="4">
        <v>0</v>
      </c>
      <c r="G321" s="4">
        <f t="shared" si="15"/>
        <v>-406</v>
      </c>
    </row>
    <row r="322" spans="5:7" x14ac:dyDescent="0.25">
      <c r="E322" s="4">
        <v>-405</v>
      </c>
      <c r="F322" s="4">
        <v>0</v>
      </c>
      <c r="G322" s="4">
        <f t="shared" si="15"/>
        <v>-405</v>
      </c>
    </row>
    <row r="323" spans="5:7" x14ac:dyDescent="0.25">
      <c r="E323" s="4">
        <v>-404</v>
      </c>
      <c r="F323" s="4">
        <v>0</v>
      </c>
      <c r="G323" s="4">
        <f t="shared" si="15"/>
        <v>-404</v>
      </c>
    </row>
    <row r="324" spans="5:7" x14ac:dyDescent="0.25">
      <c r="E324" s="4">
        <v>-403</v>
      </c>
      <c r="F324" s="4">
        <v>0</v>
      </c>
      <c r="G324" s="4">
        <f t="shared" si="15"/>
        <v>-403</v>
      </c>
    </row>
    <row r="325" spans="5:7" x14ac:dyDescent="0.25">
      <c r="E325" s="4">
        <v>-402</v>
      </c>
      <c r="F325" s="4">
        <v>0</v>
      </c>
      <c r="G325" s="4">
        <f t="shared" si="15"/>
        <v>-402</v>
      </c>
    </row>
    <row r="326" spans="5:7" x14ac:dyDescent="0.25">
      <c r="E326" s="4">
        <v>-401</v>
      </c>
      <c r="F326" s="4">
        <v>0</v>
      </c>
      <c r="G326" s="4">
        <f t="shared" si="15"/>
        <v>-401</v>
      </c>
    </row>
    <row r="327" spans="5:7" x14ac:dyDescent="0.25">
      <c r="E327" s="4">
        <v>-400</v>
      </c>
      <c r="F327" s="4">
        <v>0</v>
      </c>
      <c r="G327" s="4">
        <f t="shared" si="15"/>
        <v>-400</v>
      </c>
    </row>
    <row r="328" spans="5:7" x14ac:dyDescent="0.25">
      <c r="E328" s="4">
        <v>-399</v>
      </c>
      <c r="F328" s="4">
        <v>0</v>
      </c>
      <c r="G328" s="4">
        <f t="shared" si="15"/>
        <v>-399</v>
      </c>
    </row>
    <row r="329" spans="5:7" x14ac:dyDescent="0.25">
      <c r="E329" s="4">
        <v>-398</v>
      </c>
      <c r="F329" s="4">
        <v>0</v>
      </c>
      <c r="G329" s="4">
        <f t="shared" si="15"/>
        <v>-398</v>
      </c>
    </row>
    <row r="330" spans="5:7" x14ac:dyDescent="0.25">
      <c r="E330" s="4">
        <v>-397</v>
      </c>
      <c r="F330" s="4">
        <v>0</v>
      </c>
      <c r="G330" s="4">
        <f t="shared" si="15"/>
        <v>-397</v>
      </c>
    </row>
    <row r="331" spans="5:7" x14ac:dyDescent="0.25">
      <c r="E331" s="4">
        <v>-396</v>
      </c>
      <c r="F331" s="4">
        <v>0</v>
      </c>
      <c r="G331" s="4">
        <f t="shared" si="15"/>
        <v>-396</v>
      </c>
    </row>
    <row r="332" spans="5:7" x14ac:dyDescent="0.25">
      <c r="E332" s="4">
        <v>-395</v>
      </c>
      <c r="F332" s="4">
        <v>0</v>
      </c>
      <c r="G332" s="4">
        <f t="shared" si="15"/>
        <v>-395</v>
      </c>
    </row>
    <row r="333" spans="5:7" x14ac:dyDescent="0.25">
      <c r="E333" s="4">
        <v>-394</v>
      </c>
      <c r="F333" s="4">
        <v>0</v>
      </c>
      <c r="G333" s="4">
        <f t="shared" si="15"/>
        <v>-394</v>
      </c>
    </row>
    <row r="334" spans="5:7" x14ac:dyDescent="0.25">
      <c r="E334" s="4">
        <v>-393</v>
      </c>
      <c r="F334" s="4">
        <v>0</v>
      </c>
      <c r="G334" s="4">
        <f t="shared" si="15"/>
        <v>-393</v>
      </c>
    </row>
    <row r="335" spans="5:7" x14ac:dyDescent="0.25">
      <c r="E335" s="4">
        <v>-392</v>
      </c>
      <c r="F335" s="4">
        <v>0</v>
      </c>
      <c r="G335" s="4">
        <f t="shared" si="15"/>
        <v>-392</v>
      </c>
    </row>
    <row r="336" spans="5:7" x14ac:dyDescent="0.25">
      <c r="E336" s="4">
        <v>-391</v>
      </c>
      <c r="F336" s="4">
        <v>0</v>
      </c>
      <c r="G336" s="4">
        <f t="shared" si="15"/>
        <v>-391</v>
      </c>
    </row>
    <row r="337" spans="5:7" x14ac:dyDescent="0.25">
      <c r="E337" s="4">
        <v>-390</v>
      </c>
      <c r="F337" s="4">
        <v>0</v>
      </c>
      <c r="G337" s="4">
        <f t="shared" si="15"/>
        <v>-390</v>
      </c>
    </row>
    <row r="338" spans="5:7" x14ac:dyDescent="0.25">
      <c r="E338" s="4">
        <v>-389</v>
      </c>
      <c r="F338" s="4">
        <v>0</v>
      </c>
      <c r="G338" s="4">
        <f t="shared" si="15"/>
        <v>-389</v>
      </c>
    </row>
    <row r="339" spans="5:7" x14ac:dyDescent="0.25">
      <c r="E339" s="4">
        <v>-388</v>
      </c>
      <c r="F339" s="4">
        <v>0</v>
      </c>
      <c r="G339" s="4">
        <f t="shared" si="15"/>
        <v>-388</v>
      </c>
    </row>
    <row r="340" spans="5:7" x14ac:dyDescent="0.25">
      <c r="E340" s="4">
        <v>-387</v>
      </c>
      <c r="F340" s="4">
        <v>0</v>
      </c>
      <c r="G340" s="4">
        <f t="shared" si="15"/>
        <v>-387</v>
      </c>
    </row>
    <row r="341" spans="5:7" x14ac:dyDescent="0.25">
      <c r="E341" s="4">
        <v>-386</v>
      </c>
      <c r="F341" s="4">
        <v>0</v>
      </c>
      <c r="G341" s="4">
        <f t="shared" si="15"/>
        <v>-386</v>
      </c>
    </row>
    <row r="342" spans="5:7" x14ac:dyDescent="0.25">
      <c r="E342" s="4">
        <v>-385</v>
      </c>
      <c r="F342" s="4">
        <v>0</v>
      </c>
      <c r="G342" s="4">
        <f t="shared" si="15"/>
        <v>-385</v>
      </c>
    </row>
    <row r="343" spans="5:7" x14ac:dyDescent="0.25">
      <c r="E343" s="4">
        <v>-384</v>
      </c>
      <c r="F343" s="4">
        <v>0</v>
      </c>
      <c r="G343" s="4">
        <f t="shared" si="15"/>
        <v>-384</v>
      </c>
    </row>
    <row r="344" spans="5:7" x14ac:dyDescent="0.25">
      <c r="E344" s="4">
        <v>-383</v>
      </c>
      <c r="F344" s="4">
        <v>0</v>
      </c>
      <c r="G344" s="4">
        <f t="shared" si="15"/>
        <v>-383</v>
      </c>
    </row>
    <row r="345" spans="5:7" x14ac:dyDescent="0.25">
      <c r="E345" s="4">
        <v>-382</v>
      </c>
      <c r="F345" s="4">
        <v>0</v>
      </c>
      <c r="G345" s="4">
        <f t="shared" si="15"/>
        <v>-382</v>
      </c>
    </row>
    <row r="346" spans="5:7" x14ac:dyDescent="0.25">
      <c r="E346" s="4">
        <v>-381</v>
      </c>
      <c r="F346" s="4">
        <v>0</v>
      </c>
      <c r="G346" s="4">
        <f t="shared" si="15"/>
        <v>-381</v>
      </c>
    </row>
    <row r="347" spans="5:7" x14ac:dyDescent="0.25">
      <c r="E347" s="4">
        <v>-380</v>
      </c>
      <c r="F347" s="4">
        <v>0</v>
      </c>
      <c r="G347" s="4">
        <f t="shared" si="15"/>
        <v>-380</v>
      </c>
    </row>
    <row r="348" spans="5:7" x14ac:dyDescent="0.25">
      <c r="E348" s="4">
        <v>-379</v>
      </c>
      <c r="F348" s="4">
        <v>0</v>
      </c>
      <c r="G348" s="4">
        <f t="shared" si="15"/>
        <v>-379</v>
      </c>
    </row>
    <row r="349" spans="5:7" x14ac:dyDescent="0.25">
      <c r="E349" s="4">
        <v>-378</v>
      </c>
      <c r="F349" s="4">
        <v>0</v>
      </c>
      <c r="G349" s="4">
        <f t="shared" si="15"/>
        <v>-378</v>
      </c>
    </row>
    <row r="350" spans="5:7" x14ac:dyDescent="0.25">
      <c r="E350" s="4">
        <v>-377</v>
      </c>
      <c r="F350" s="4">
        <v>0</v>
      </c>
      <c r="G350" s="4">
        <f t="shared" si="15"/>
        <v>-377</v>
      </c>
    </row>
    <row r="351" spans="5:7" x14ac:dyDescent="0.25">
      <c r="E351" s="4">
        <v>-376</v>
      </c>
      <c r="F351" s="4">
        <v>0</v>
      </c>
      <c r="G351" s="4">
        <f t="shared" si="15"/>
        <v>-376</v>
      </c>
    </row>
    <row r="352" spans="5:7" x14ac:dyDescent="0.25">
      <c r="E352" s="4">
        <v>-375</v>
      </c>
      <c r="F352" s="4">
        <v>0</v>
      </c>
      <c r="G352" s="4">
        <f t="shared" si="15"/>
        <v>-375</v>
      </c>
    </row>
    <row r="353" spans="5:7" x14ac:dyDescent="0.25">
      <c r="E353" s="4">
        <v>-374</v>
      </c>
      <c r="F353" s="4">
        <v>0</v>
      </c>
      <c r="G353" s="4">
        <f t="shared" si="15"/>
        <v>-374</v>
      </c>
    </row>
    <row r="354" spans="5:7" x14ac:dyDescent="0.25">
      <c r="E354" s="4">
        <v>-373</v>
      </c>
      <c r="F354" s="4">
        <v>0</v>
      </c>
      <c r="G354" s="4">
        <f t="shared" si="15"/>
        <v>-373</v>
      </c>
    </row>
    <row r="355" spans="5:7" x14ac:dyDescent="0.25">
      <c r="E355" s="4">
        <v>-372</v>
      </c>
      <c r="F355" s="4">
        <v>0</v>
      </c>
      <c r="G355" s="4">
        <f t="shared" si="15"/>
        <v>-372</v>
      </c>
    </row>
    <row r="356" spans="5:7" x14ac:dyDescent="0.25">
      <c r="E356" s="4">
        <v>-371</v>
      </c>
      <c r="F356" s="4">
        <v>0</v>
      </c>
      <c r="G356" s="4">
        <f t="shared" si="15"/>
        <v>-371</v>
      </c>
    </row>
    <row r="357" spans="5:7" x14ac:dyDescent="0.25">
      <c r="E357" s="4">
        <v>-370</v>
      </c>
      <c r="F357" s="4">
        <v>0</v>
      </c>
      <c r="G357" s="4">
        <f t="shared" si="15"/>
        <v>-370</v>
      </c>
    </row>
    <row r="358" spans="5:7" x14ac:dyDescent="0.25">
      <c r="E358" s="4">
        <v>-369</v>
      </c>
      <c r="F358" s="4">
        <v>0</v>
      </c>
      <c r="G358" s="4">
        <f t="shared" si="15"/>
        <v>-369</v>
      </c>
    </row>
    <row r="359" spans="5:7" x14ac:dyDescent="0.25">
      <c r="E359" s="4">
        <v>-368</v>
      </c>
      <c r="F359" s="4">
        <v>0</v>
      </c>
      <c r="G359" s="4">
        <f t="shared" si="15"/>
        <v>-368</v>
      </c>
    </row>
    <row r="360" spans="5:7" x14ac:dyDescent="0.25">
      <c r="E360" s="4">
        <v>-367</v>
      </c>
      <c r="F360" s="4">
        <v>0</v>
      </c>
      <c r="G360" s="4">
        <f t="shared" si="15"/>
        <v>-367</v>
      </c>
    </row>
    <row r="361" spans="5:7" x14ac:dyDescent="0.25">
      <c r="E361" s="4">
        <v>-366</v>
      </c>
      <c r="F361" s="4">
        <v>0</v>
      </c>
      <c r="G361" s="4">
        <f t="shared" si="15"/>
        <v>-366</v>
      </c>
    </row>
    <row r="362" spans="5:7" x14ac:dyDescent="0.25">
      <c r="E362" s="4">
        <v>-365</v>
      </c>
      <c r="F362" s="4">
        <v>0</v>
      </c>
      <c r="G362" s="4">
        <f t="shared" si="15"/>
        <v>-365</v>
      </c>
    </row>
    <row r="363" spans="5:7" x14ac:dyDescent="0.25">
      <c r="E363" s="4">
        <v>-364</v>
      </c>
      <c r="F363" s="4">
        <v>0</v>
      </c>
      <c r="G363" s="4">
        <f t="shared" si="15"/>
        <v>-364</v>
      </c>
    </row>
    <row r="364" spans="5:7" x14ac:dyDescent="0.25">
      <c r="E364" s="4">
        <v>-363</v>
      </c>
      <c r="F364" s="4">
        <v>0</v>
      </c>
      <c r="G364" s="4">
        <f t="shared" si="15"/>
        <v>-363</v>
      </c>
    </row>
    <row r="365" spans="5:7" x14ac:dyDescent="0.25">
      <c r="E365" s="4">
        <v>-362</v>
      </c>
      <c r="F365" s="4">
        <v>0</v>
      </c>
      <c r="G365" s="4">
        <f t="shared" si="15"/>
        <v>-362</v>
      </c>
    </row>
    <row r="366" spans="5:7" x14ac:dyDescent="0.25">
      <c r="E366" s="4">
        <v>-361</v>
      </c>
      <c r="F366" s="4">
        <v>0</v>
      </c>
      <c r="G366" s="4">
        <f t="shared" si="15"/>
        <v>-361</v>
      </c>
    </row>
    <row r="367" spans="5:7" x14ac:dyDescent="0.25">
      <c r="E367" s="4">
        <v>-360</v>
      </c>
      <c r="F367" s="4">
        <v>0</v>
      </c>
      <c r="G367" s="4">
        <f t="shared" si="15"/>
        <v>-360</v>
      </c>
    </row>
    <row r="368" spans="5:7" x14ac:dyDescent="0.25">
      <c r="E368" s="4">
        <v>-359</v>
      </c>
      <c r="F368" s="4">
        <v>0</v>
      </c>
      <c r="G368" s="4">
        <f t="shared" si="15"/>
        <v>-359</v>
      </c>
    </row>
    <row r="369" spans="5:7" x14ac:dyDescent="0.25">
      <c r="E369" s="4">
        <v>-358</v>
      </c>
      <c r="F369" s="4">
        <v>0</v>
      </c>
      <c r="G369" s="4">
        <f t="shared" si="15"/>
        <v>-358</v>
      </c>
    </row>
    <row r="370" spans="5:7" x14ac:dyDescent="0.25">
      <c r="E370" s="4">
        <v>-357</v>
      </c>
      <c r="F370" s="4">
        <v>0</v>
      </c>
      <c r="G370" s="4">
        <f t="shared" si="15"/>
        <v>-357</v>
      </c>
    </row>
    <row r="371" spans="5:7" x14ac:dyDescent="0.25">
      <c r="E371" s="4">
        <v>-356</v>
      </c>
      <c r="F371" s="4">
        <v>0</v>
      </c>
      <c r="G371" s="4">
        <f t="shared" si="15"/>
        <v>-356</v>
      </c>
    </row>
    <row r="372" spans="5:7" x14ac:dyDescent="0.25">
      <c r="E372" s="4">
        <v>-355</v>
      </c>
      <c r="F372" s="4">
        <v>0</v>
      </c>
      <c r="G372" s="4">
        <f t="shared" si="15"/>
        <v>-355</v>
      </c>
    </row>
    <row r="373" spans="5:7" x14ac:dyDescent="0.25">
      <c r="E373" s="4">
        <v>-354</v>
      </c>
      <c r="F373" s="4">
        <v>0</v>
      </c>
      <c r="G373" s="4">
        <f t="shared" si="15"/>
        <v>-354</v>
      </c>
    </row>
    <row r="374" spans="5:7" x14ac:dyDescent="0.25">
      <c r="E374" s="4">
        <v>-353</v>
      </c>
      <c r="F374" s="4">
        <v>0</v>
      </c>
      <c r="G374" s="4">
        <f t="shared" si="15"/>
        <v>-353</v>
      </c>
    </row>
    <row r="375" spans="5:7" x14ac:dyDescent="0.25">
      <c r="E375" s="4">
        <v>-352</v>
      </c>
      <c r="F375" s="4">
        <v>0</v>
      </c>
      <c r="G375" s="4">
        <f t="shared" si="15"/>
        <v>-352</v>
      </c>
    </row>
    <row r="376" spans="5:7" x14ac:dyDescent="0.25">
      <c r="E376" s="4">
        <v>-351</v>
      </c>
      <c r="F376" s="4">
        <v>0</v>
      </c>
      <c r="G376" s="4">
        <f t="shared" si="15"/>
        <v>-351</v>
      </c>
    </row>
    <row r="377" spans="5:7" x14ac:dyDescent="0.25">
      <c r="E377" s="4">
        <v>-350</v>
      </c>
      <c r="F377" s="4">
        <v>0</v>
      </c>
      <c r="G377" s="4">
        <f t="shared" si="15"/>
        <v>-350</v>
      </c>
    </row>
    <row r="378" spans="5:7" x14ac:dyDescent="0.25">
      <c r="E378" s="4">
        <v>-349</v>
      </c>
      <c r="F378" s="4">
        <v>0</v>
      </c>
      <c r="G378" s="4">
        <f t="shared" si="15"/>
        <v>-349</v>
      </c>
    </row>
    <row r="379" spans="5:7" x14ac:dyDescent="0.25">
      <c r="E379" s="4">
        <v>-348</v>
      </c>
      <c r="F379" s="4">
        <v>0</v>
      </c>
      <c r="G379" s="4">
        <f t="shared" si="15"/>
        <v>-348</v>
      </c>
    </row>
    <row r="380" spans="5:7" x14ac:dyDescent="0.25">
      <c r="E380" s="4">
        <v>-347</v>
      </c>
      <c r="F380" s="4">
        <v>0</v>
      </c>
      <c r="G380" s="4">
        <f t="shared" si="15"/>
        <v>-347</v>
      </c>
    </row>
    <row r="381" spans="5:7" x14ac:dyDescent="0.25">
      <c r="E381" s="4">
        <v>-346</v>
      </c>
      <c r="F381" s="4">
        <v>0</v>
      </c>
      <c r="G381" s="4">
        <f t="shared" si="15"/>
        <v>-346</v>
      </c>
    </row>
    <row r="382" spans="5:7" x14ac:dyDescent="0.25">
      <c r="E382" s="4">
        <v>-345</v>
      </c>
      <c r="F382" s="4">
        <v>0</v>
      </c>
      <c r="G382" s="4">
        <f t="shared" ref="G382:G445" si="16">ROUND(E382+F382,0)</f>
        <v>-345</v>
      </c>
    </row>
    <row r="383" spans="5:7" x14ac:dyDescent="0.25">
      <c r="E383" s="4">
        <v>-344</v>
      </c>
      <c r="F383" s="4">
        <v>0</v>
      </c>
      <c r="G383" s="4">
        <f t="shared" si="16"/>
        <v>-344</v>
      </c>
    </row>
    <row r="384" spans="5:7" x14ac:dyDescent="0.25">
      <c r="E384" s="4">
        <v>-343</v>
      </c>
      <c r="F384" s="4">
        <v>0</v>
      </c>
      <c r="G384" s="4">
        <f t="shared" si="16"/>
        <v>-343</v>
      </c>
    </row>
    <row r="385" spans="5:7" x14ac:dyDescent="0.25">
      <c r="E385" s="4">
        <v>-342</v>
      </c>
      <c r="F385" s="4">
        <v>0</v>
      </c>
      <c r="G385" s="4">
        <f t="shared" si="16"/>
        <v>-342</v>
      </c>
    </row>
    <row r="386" spans="5:7" x14ac:dyDescent="0.25">
      <c r="E386" s="4">
        <v>-341</v>
      </c>
      <c r="F386" s="4">
        <v>0</v>
      </c>
      <c r="G386" s="4">
        <f t="shared" si="16"/>
        <v>-341</v>
      </c>
    </row>
    <row r="387" spans="5:7" x14ac:dyDescent="0.25">
      <c r="E387" s="4">
        <v>-340</v>
      </c>
      <c r="F387" s="4">
        <v>0</v>
      </c>
      <c r="G387" s="4">
        <f t="shared" si="16"/>
        <v>-340</v>
      </c>
    </row>
    <row r="388" spans="5:7" x14ac:dyDescent="0.25">
      <c r="E388" s="4">
        <v>-339</v>
      </c>
      <c r="F388" s="4">
        <v>0</v>
      </c>
      <c r="G388" s="4">
        <f t="shared" si="16"/>
        <v>-339</v>
      </c>
    </row>
    <row r="389" spans="5:7" x14ac:dyDescent="0.25">
      <c r="E389" s="4">
        <v>-338</v>
      </c>
      <c r="F389" s="4">
        <v>0</v>
      </c>
      <c r="G389" s="4">
        <f t="shared" si="16"/>
        <v>-338</v>
      </c>
    </row>
    <row r="390" spans="5:7" x14ac:dyDescent="0.25">
      <c r="E390" s="4">
        <v>-337</v>
      </c>
      <c r="F390" s="4">
        <v>0</v>
      </c>
      <c r="G390" s="4">
        <f t="shared" si="16"/>
        <v>-337</v>
      </c>
    </row>
    <row r="391" spans="5:7" x14ac:dyDescent="0.25">
      <c r="E391" s="4">
        <v>-336</v>
      </c>
      <c r="F391" s="4">
        <v>0</v>
      </c>
      <c r="G391" s="4">
        <f t="shared" si="16"/>
        <v>-336</v>
      </c>
    </row>
    <row r="392" spans="5:7" x14ac:dyDescent="0.25">
      <c r="E392" s="4">
        <v>-335</v>
      </c>
      <c r="F392" s="4">
        <v>0</v>
      </c>
      <c r="G392" s="4">
        <f t="shared" si="16"/>
        <v>-335</v>
      </c>
    </row>
    <row r="393" spans="5:7" x14ac:dyDescent="0.25">
      <c r="E393" s="4">
        <v>-334</v>
      </c>
      <c r="F393" s="4">
        <v>0</v>
      </c>
      <c r="G393" s="4">
        <f t="shared" si="16"/>
        <v>-334</v>
      </c>
    </row>
    <row r="394" spans="5:7" x14ac:dyDescent="0.25">
      <c r="E394" s="4">
        <v>-333</v>
      </c>
      <c r="F394" s="4">
        <v>0</v>
      </c>
      <c r="G394" s="4">
        <f t="shared" si="16"/>
        <v>-333</v>
      </c>
    </row>
    <row r="395" spans="5:7" x14ac:dyDescent="0.25">
      <c r="E395" s="4">
        <v>-332</v>
      </c>
      <c r="F395" s="4">
        <v>0</v>
      </c>
      <c r="G395" s="4">
        <f t="shared" si="16"/>
        <v>-332</v>
      </c>
    </row>
    <row r="396" spans="5:7" x14ac:dyDescent="0.25">
      <c r="E396" s="4">
        <v>-331</v>
      </c>
      <c r="F396" s="4">
        <v>0</v>
      </c>
      <c r="G396" s="4">
        <f t="shared" si="16"/>
        <v>-331</v>
      </c>
    </row>
    <row r="397" spans="5:7" x14ac:dyDescent="0.25">
      <c r="E397" s="4">
        <v>-330</v>
      </c>
      <c r="F397" s="4">
        <v>0</v>
      </c>
      <c r="G397" s="4">
        <f t="shared" si="16"/>
        <v>-330</v>
      </c>
    </row>
    <row r="398" spans="5:7" x14ac:dyDescent="0.25">
      <c r="E398" s="4">
        <v>-329</v>
      </c>
      <c r="F398" s="4">
        <v>0</v>
      </c>
      <c r="G398" s="4">
        <f t="shared" si="16"/>
        <v>-329</v>
      </c>
    </row>
    <row r="399" spans="5:7" x14ac:dyDescent="0.25">
      <c r="E399" s="4">
        <v>-328</v>
      </c>
      <c r="F399" s="4">
        <v>0</v>
      </c>
      <c r="G399" s="4">
        <f t="shared" si="16"/>
        <v>-328</v>
      </c>
    </row>
    <row r="400" spans="5:7" x14ac:dyDescent="0.25">
      <c r="E400" s="4">
        <v>-327</v>
      </c>
      <c r="F400" s="4">
        <v>0</v>
      </c>
      <c r="G400" s="4">
        <f t="shared" si="16"/>
        <v>-327</v>
      </c>
    </row>
    <row r="401" spans="5:7" x14ac:dyDescent="0.25">
      <c r="E401" s="4">
        <v>-326</v>
      </c>
      <c r="F401" s="4">
        <v>0</v>
      </c>
      <c r="G401" s="4">
        <f t="shared" si="16"/>
        <v>-326</v>
      </c>
    </row>
    <row r="402" spans="5:7" x14ac:dyDescent="0.25">
      <c r="E402" s="4">
        <v>-325</v>
      </c>
      <c r="F402" s="4">
        <v>0</v>
      </c>
      <c r="G402" s="4">
        <f t="shared" si="16"/>
        <v>-325</v>
      </c>
    </row>
    <row r="403" spans="5:7" x14ac:dyDescent="0.25">
      <c r="E403" s="4">
        <v>-324</v>
      </c>
      <c r="F403" s="4">
        <v>0</v>
      </c>
      <c r="G403" s="4">
        <f t="shared" si="16"/>
        <v>-324</v>
      </c>
    </row>
    <row r="404" spans="5:7" x14ac:dyDescent="0.25">
      <c r="E404" s="4">
        <v>-323</v>
      </c>
      <c r="F404" s="4">
        <v>0</v>
      </c>
      <c r="G404" s="4">
        <f t="shared" si="16"/>
        <v>-323</v>
      </c>
    </row>
    <row r="405" spans="5:7" x14ac:dyDescent="0.25">
      <c r="E405" s="4">
        <v>-322</v>
      </c>
      <c r="F405" s="4">
        <v>0</v>
      </c>
      <c r="G405" s="4">
        <f t="shared" si="16"/>
        <v>-322</v>
      </c>
    </row>
    <row r="406" spans="5:7" x14ac:dyDescent="0.25">
      <c r="E406" s="4">
        <v>-321</v>
      </c>
      <c r="F406" s="4">
        <v>0</v>
      </c>
      <c r="G406" s="4">
        <f t="shared" si="16"/>
        <v>-321</v>
      </c>
    </row>
    <row r="407" spans="5:7" x14ac:dyDescent="0.25">
      <c r="E407" s="4">
        <v>-320</v>
      </c>
      <c r="F407" s="4">
        <v>0</v>
      </c>
      <c r="G407" s="4">
        <f t="shared" si="16"/>
        <v>-320</v>
      </c>
    </row>
    <row r="408" spans="5:7" x14ac:dyDescent="0.25">
      <c r="E408" s="4">
        <v>-319</v>
      </c>
      <c r="F408" s="4">
        <v>0</v>
      </c>
      <c r="G408" s="4">
        <f t="shared" si="16"/>
        <v>-319</v>
      </c>
    </row>
    <row r="409" spans="5:7" x14ac:dyDescent="0.25">
      <c r="E409" s="4">
        <v>-318</v>
      </c>
      <c r="F409" s="4">
        <v>0</v>
      </c>
      <c r="G409" s="4">
        <f t="shared" si="16"/>
        <v>-318</v>
      </c>
    </row>
    <row r="410" spans="5:7" x14ac:dyDescent="0.25">
      <c r="E410" s="4">
        <v>-317</v>
      </c>
      <c r="F410" s="4">
        <v>0</v>
      </c>
      <c r="G410" s="4">
        <f t="shared" si="16"/>
        <v>-317</v>
      </c>
    </row>
    <row r="411" spans="5:7" x14ac:dyDescent="0.25">
      <c r="E411" s="4">
        <v>-316</v>
      </c>
      <c r="F411" s="4">
        <v>0</v>
      </c>
      <c r="G411" s="4">
        <f t="shared" si="16"/>
        <v>-316</v>
      </c>
    </row>
    <row r="412" spans="5:7" x14ac:dyDescent="0.25">
      <c r="E412" s="4">
        <v>-315</v>
      </c>
      <c r="F412" s="4">
        <v>0</v>
      </c>
      <c r="G412" s="4">
        <f t="shared" si="16"/>
        <v>-315</v>
      </c>
    </row>
    <row r="413" spans="5:7" x14ac:dyDescent="0.25">
      <c r="E413" s="4">
        <v>-314</v>
      </c>
      <c r="F413" s="4">
        <v>0</v>
      </c>
      <c r="G413" s="4">
        <f t="shared" si="16"/>
        <v>-314</v>
      </c>
    </row>
    <row r="414" spans="5:7" x14ac:dyDescent="0.25">
      <c r="E414" s="4">
        <v>-313</v>
      </c>
      <c r="F414" s="4">
        <v>0</v>
      </c>
      <c r="G414" s="4">
        <f t="shared" si="16"/>
        <v>-313</v>
      </c>
    </row>
    <row r="415" spans="5:7" x14ac:dyDescent="0.25">
      <c r="E415" s="4">
        <v>-312</v>
      </c>
      <c r="F415" s="4">
        <v>0</v>
      </c>
      <c r="G415" s="4">
        <f t="shared" si="16"/>
        <v>-312</v>
      </c>
    </row>
    <row r="416" spans="5:7" x14ac:dyDescent="0.25">
      <c r="E416" s="4">
        <v>-311</v>
      </c>
      <c r="F416" s="4">
        <v>0</v>
      </c>
      <c r="G416" s="4">
        <f t="shared" si="16"/>
        <v>-311</v>
      </c>
    </row>
    <row r="417" spans="5:7" x14ac:dyDescent="0.25">
      <c r="E417" s="4">
        <v>-310</v>
      </c>
      <c r="F417" s="4">
        <v>0</v>
      </c>
      <c r="G417" s="4">
        <f t="shared" si="16"/>
        <v>-310</v>
      </c>
    </row>
    <row r="418" spans="5:7" x14ac:dyDescent="0.25">
      <c r="E418" s="4">
        <v>-309</v>
      </c>
      <c r="F418" s="4">
        <v>0</v>
      </c>
      <c r="G418" s="4">
        <f t="shared" si="16"/>
        <v>-309</v>
      </c>
    </row>
    <row r="419" spans="5:7" x14ac:dyDescent="0.25">
      <c r="E419" s="4">
        <v>-308</v>
      </c>
      <c r="F419" s="4">
        <v>0</v>
      </c>
      <c r="G419" s="4">
        <f t="shared" si="16"/>
        <v>-308</v>
      </c>
    </row>
    <row r="420" spans="5:7" x14ac:dyDescent="0.25">
      <c r="E420" s="4">
        <v>-307</v>
      </c>
      <c r="F420" s="4">
        <v>0</v>
      </c>
      <c r="G420" s="4">
        <f t="shared" si="16"/>
        <v>-307</v>
      </c>
    </row>
    <row r="421" spans="5:7" x14ac:dyDescent="0.25">
      <c r="E421" s="4">
        <v>-306</v>
      </c>
      <c r="F421" s="4">
        <v>0</v>
      </c>
      <c r="G421" s="4">
        <f t="shared" si="16"/>
        <v>-306</v>
      </c>
    </row>
    <row r="422" spans="5:7" x14ac:dyDescent="0.25">
      <c r="E422" s="4">
        <v>-305</v>
      </c>
      <c r="F422" s="4">
        <v>0</v>
      </c>
      <c r="G422" s="4">
        <f t="shared" si="16"/>
        <v>-305</v>
      </c>
    </row>
    <row r="423" spans="5:7" x14ac:dyDescent="0.25">
      <c r="E423" s="4">
        <v>-304</v>
      </c>
      <c r="F423" s="4">
        <v>0</v>
      </c>
      <c r="G423" s="4">
        <f t="shared" si="16"/>
        <v>-304</v>
      </c>
    </row>
    <row r="424" spans="5:7" x14ac:dyDescent="0.25">
      <c r="E424" s="4">
        <v>-303</v>
      </c>
      <c r="F424" s="4">
        <v>0</v>
      </c>
      <c r="G424" s="4">
        <f t="shared" si="16"/>
        <v>-303</v>
      </c>
    </row>
    <row r="425" spans="5:7" x14ac:dyDescent="0.25">
      <c r="E425" s="4">
        <v>-302</v>
      </c>
      <c r="F425" s="4">
        <v>0</v>
      </c>
      <c r="G425" s="4">
        <f t="shared" si="16"/>
        <v>-302</v>
      </c>
    </row>
    <row r="426" spans="5:7" x14ac:dyDescent="0.25">
      <c r="E426" s="4">
        <v>-301</v>
      </c>
      <c r="F426" s="4">
        <v>0</v>
      </c>
      <c r="G426" s="4">
        <f t="shared" si="16"/>
        <v>-301</v>
      </c>
    </row>
    <row r="427" spans="5:7" x14ac:dyDescent="0.25">
      <c r="E427" s="4">
        <v>-300</v>
      </c>
      <c r="F427" s="4">
        <v>0</v>
      </c>
      <c r="G427" s="4">
        <f t="shared" si="16"/>
        <v>-300</v>
      </c>
    </row>
    <row r="428" spans="5:7" x14ac:dyDescent="0.25">
      <c r="E428" s="4">
        <v>-299</v>
      </c>
      <c r="F428" s="4">
        <v>0</v>
      </c>
      <c r="G428" s="4">
        <f t="shared" si="16"/>
        <v>-299</v>
      </c>
    </row>
    <row r="429" spans="5:7" x14ac:dyDescent="0.25">
      <c r="E429" s="4">
        <v>-298</v>
      </c>
      <c r="F429" s="4">
        <v>0</v>
      </c>
      <c r="G429" s="4">
        <f t="shared" si="16"/>
        <v>-298</v>
      </c>
    </row>
    <row r="430" spans="5:7" x14ac:dyDescent="0.25">
      <c r="E430" s="4">
        <v>-297</v>
      </c>
      <c r="F430" s="4">
        <v>0</v>
      </c>
      <c r="G430" s="4">
        <f t="shared" si="16"/>
        <v>-297</v>
      </c>
    </row>
    <row r="431" spans="5:7" x14ac:dyDescent="0.25">
      <c r="E431" s="4">
        <v>-296</v>
      </c>
      <c r="F431" s="4">
        <v>0</v>
      </c>
      <c r="G431" s="4">
        <f t="shared" si="16"/>
        <v>-296</v>
      </c>
    </row>
    <row r="432" spans="5:7" x14ac:dyDescent="0.25">
      <c r="E432" s="4">
        <v>-295</v>
      </c>
      <c r="F432" s="4">
        <v>0</v>
      </c>
      <c r="G432" s="4">
        <f t="shared" si="16"/>
        <v>-295</v>
      </c>
    </row>
    <row r="433" spans="5:7" x14ac:dyDescent="0.25">
      <c r="E433" s="4">
        <v>-294</v>
      </c>
      <c r="F433" s="4">
        <v>0</v>
      </c>
      <c r="G433" s="4">
        <f t="shared" si="16"/>
        <v>-294</v>
      </c>
    </row>
    <row r="434" spans="5:7" x14ac:dyDescent="0.25">
      <c r="E434" s="4">
        <v>-293</v>
      </c>
      <c r="F434" s="4">
        <v>0</v>
      </c>
      <c r="G434" s="4">
        <f t="shared" si="16"/>
        <v>-293</v>
      </c>
    </row>
    <row r="435" spans="5:7" x14ac:dyDescent="0.25">
      <c r="E435" s="4">
        <v>-292</v>
      </c>
      <c r="F435" s="4">
        <v>0</v>
      </c>
      <c r="G435" s="4">
        <f t="shared" si="16"/>
        <v>-292</v>
      </c>
    </row>
    <row r="436" spans="5:7" x14ac:dyDescent="0.25">
      <c r="E436" s="4">
        <v>-291</v>
      </c>
      <c r="F436" s="4">
        <v>0</v>
      </c>
      <c r="G436" s="4">
        <f t="shared" si="16"/>
        <v>-291</v>
      </c>
    </row>
    <row r="437" spans="5:7" x14ac:dyDescent="0.25">
      <c r="E437" s="4">
        <v>-290</v>
      </c>
      <c r="F437" s="4">
        <v>0</v>
      </c>
      <c r="G437" s="4">
        <f t="shared" si="16"/>
        <v>-290</v>
      </c>
    </row>
    <row r="438" spans="5:7" x14ac:dyDescent="0.25">
      <c r="E438" s="4">
        <v>-289</v>
      </c>
      <c r="F438" s="4">
        <v>0</v>
      </c>
      <c r="G438" s="4">
        <f t="shared" si="16"/>
        <v>-289</v>
      </c>
    </row>
    <row r="439" spans="5:7" x14ac:dyDescent="0.25">
      <c r="E439" s="4">
        <v>-288</v>
      </c>
      <c r="F439" s="4">
        <v>0</v>
      </c>
      <c r="G439" s="4">
        <f t="shared" si="16"/>
        <v>-288</v>
      </c>
    </row>
    <row r="440" spans="5:7" x14ac:dyDescent="0.25">
      <c r="E440" s="4">
        <v>-287</v>
      </c>
      <c r="F440" s="4">
        <v>0</v>
      </c>
      <c r="G440" s="4">
        <f t="shared" si="16"/>
        <v>-287</v>
      </c>
    </row>
    <row r="441" spans="5:7" x14ac:dyDescent="0.25">
      <c r="E441" s="4">
        <v>-286</v>
      </c>
      <c r="F441" s="4">
        <v>0</v>
      </c>
      <c r="G441" s="4">
        <f t="shared" si="16"/>
        <v>-286</v>
      </c>
    </row>
    <row r="442" spans="5:7" x14ac:dyDescent="0.25">
      <c r="E442" s="4">
        <v>-285</v>
      </c>
      <c r="F442" s="4">
        <v>0</v>
      </c>
      <c r="G442" s="4">
        <f t="shared" si="16"/>
        <v>-285</v>
      </c>
    </row>
    <row r="443" spans="5:7" x14ac:dyDescent="0.25">
      <c r="E443" s="4">
        <v>-284</v>
      </c>
      <c r="F443" s="4">
        <v>0</v>
      </c>
      <c r="G443" s="4">
        <f t="shared" si="16"/>
        <v>-284</v>
      </c>
    </row>
    <row r="444" spans="5:7" x14ac:dyDescent="0.25">
      <c r="E444" s="4">
        <v>-283</v>
      </c>
      <c r="F444" s="4">
        <v>0</v>
      </c>
      <c r="G444" s="4">
        <f t="shared" si="16"/>
        <v>-283</v>
      </c>
    </row>
    <row r="445" spans="5:7" x14ac:dyDescent="0.25">
      <c r="E445" s="4">
        <v>-282</v>
      </c>
      <c r="F445" s="4">
        <v>0</v>
      </c>
      <c r="G445" s="4">
        <f t="shared" si="16"/>
        <v>-282</v>
      </c>
    </row>
    <row r="446" spans="5:7" x14ac:dyDescent="0.25">
      <c r="E446" s="4">
        <v>-281</v>
      </c>
      <c r="F446" s="4">
        <v>0</v>
      </c>
      <c r="G446" s="4">
        <f t="shared" ref="G446:G509" si="17">ROUND(E446+F446,0)</f>
        <v>-281</v>
      </c>
    </row>
    <row r="447" spans="5:7" x14ac:dyDescent="0.25">
      <c r="E447" s="4">
        <v>-280</v>
      </c>
      <c r="F447" s="4">
        <v>0</v>
      </c>
      <c r="G447" s="4">
        <f t="shared" si="17"/>
        <v>-280</v>
      </c>
    </row>
    <row r="448" spans="5:7" x14ac:dyDescent="0.25">
      <c r="E448" s="4">
        <v>-279</v>
      </c>
      <c r="F448" s="4">
        <v>0</v>
      </c>
      <c r="G448" s="4">
        <f t="shared" si="17"/>
        <v>-279</v>
      </c>
    </row>
    <row r="449" spans="5:7" x14ac:dyDescent="0.25">
      <c r="E449" s="4">
        <v>-278</v>
      </c>
      <c r="F449" s="4">
        <v>0</v>
      </c>
      <c r="G449" s="4">
        <f t="shared" si="17"/>
        <v>-278</v>
      </c>
    </row>
    <row r="450" spans="5:7" x14ac:dyDescent="0.25">
      <c r="E450" s="4">
        <v>-277</v>
      </c>
      <c r="F450" s="4">
        <v>0</v>
      </c>
      <c r="G450" s="4">
        <f t="shared" si="17"/>
        <v>-277</v>
      </c>
    </row>
    <row r="451" spans="5:7" x14ac:dyDescent="0.25">
      <c r="E451" s="4">
        <v>-276</v>
      </c>
      <c r="F451" s="4">
        <v>0</v>
      </c>
      <c r="G451" s="4">
        <f t="shared" si="17"/>
        <v>-276</v>
      </c>
    </row>
    <row r="452" spans="5:7" x14ac:dyDescent="0.25">
      <c r="E452" s="4">
        <v>-275</v>
      </c>
      <c r="F452" s="4">
        <v>0</v>
      </c>
      <c r="G452" s="4">
        <f t="shared" si="17"/>
        <v>-275</v>
      </c>
    </row>
    <row r="453" spans="5:7" x14ac:dyDescent="0.25">
      <c r="E453" s="4">
        <v>-274</v>
      </c>
      <c r="F453" s="4">
        <v>0</v>
      </c>
      <c r="G453" s="4">
        <f t="shared" si="17"/>
        <v>-274</v>
      </c>
    </row>
    <row r="454" spans="5:7" x14ac:dyDescent="0.25">
      <c r="E454" s="4">
        <v>-273</v>
      </c>
      <c r="F454" s="4">
        <v>0</v>
      </c>
      <c r="G454" s="4">
        <f t="shared" si="17"/>
        <v>-273</v>
      </c>
    </row>
    <row r="455" spans="5:7" x14ac:dyDescent="0.25">
      <c r="E455" s="4">
        <v>-272</v>
      </c>
      <c r="F455" s="4">
        <v>0</v>
      </c>
      <c r="G455" s="4">
        <f t="shared" si="17"/>
        <v>-272</v>
      </c>
    </row>
    <row r="456" spans="5:7" x14ac:dyDescent="0.25">
      <c r="E456" s="4">
        <v>-271</v>
      </c>
      <c r="F456" s="4">
        <v>0</v>
      </c>
      <c r="G456" s="4">
        <f t="shared" si="17"/>
        <v>-271</v>
      </c>
    </row>
    <row r="457" spans="5:7" x14ac:dyDescent="0.25">
      <c r="E457" s="4">
        <v>-270</v>
      </c>
      <c r="F457" s="4">
        <v>0</v>
      </c>
      <c r="G457" s="4">
        <f t="shared" si="17"/>
        <v>-270</v>
      </c>
    </row>
    <row r="458" spans="5:7" x14ac:dyDescent="0.25">
      <c r="E458" s="4">
        <v>-269</v>
      </c>
      <c r="F458" s="4">
        <v>0</v>
      </c>
      <c r="G458" s="4">
        <f t="shared" si="17"/>
        <v>-269</v>
      </c>
    </row>
    <row r="459" spans="5:7" x14ac:dyDescent="0.25">
      <c r="E459" s="4">
        <v>-268</v>
      </c>
      <c r="F459" s="4">
        <v>0</v>
      </c>
      <c r="G459" s="4">
        <f t="shared" si="17"/>
        <v>-268</v>
      </c>
    </row>
    <row r="460" spans="5:7" x14ac:dyDescent="0.25">
      <c r="E460" s="4">
        <v>-267</v>
      </c>
      <c r="F460" s="4">
        <v>0</v>
      </c>
      <c r="G460" s="4">
        <f t="shared" si="17"/>
        <v>-267</v>
      </c>
    </row>
    <row r="461" spans="5:7" x14ac:dyDescent="0.25">
      <c r="E461" s="4">
        <v>-266</v>
      </c>
      <c r="F461" s="4">
        <v>0</v>
      </c>
      <c r="G461" s="4">
        <f t="shared" si="17"/>
        <v>-266</v>
      </c>
    </row>
    <row r="462" spans="5:7" x14ac:dyDescent="0.25">
      <c r="E462" s="4">
        <v>-265</v>
      </c>
      <c r="F462" s="4">
        <v>0</v>
      </c>
      <c r="G462" s="4">
        <f t="shared" si="17"/>
        <v>-265</v>
      </c>
    </row>
    <row r="463" spans="5:7" x14ac:dyDescent="0.25">
      <c r="E463" s="4">
        <v>-264</v>
      </c>
      <c r="F463" s="4">
        <v>0</v>
      </c>
      <c r="G463" s="4">
        <f t="shared" si="17"/>
        <v>-264</v>
      </c>
    </row>
    <row r="464" spans="5:7" x14ac:dyDescent="0.25">
      <c r="E464" s="4">
        <v>-263</v>
      </c>
      <c r="F464" s="4">
        <v>0</v>
      </c>
      <c r="G464" s="4">
        <f t="shared" si="17"/>
        <v>-263</v>
      </c>
    </row>
    <row r="465" spans="5:7" x14ac:dyDescent="0.25">
      <c r="E465" s="4">
        <v>-262</v>
      </c>
      <c r="F465" s="4">
        <v>0</v>
      </c>
      <c r="G465" s="4">
        <f t="shared" si="17"/>
        <v>-262</v>
      </c>
    </row>
    <row r="466" spans="5:7" x14ac:dyDescent="0.25">
      <c r="E466" s="4">
        <v>-261</v>
      </c>
      <c r="F466" s="4">
        <v>0</v>
      </c>
      <c r="G466" s="4">
        <f t="shared" si="17"/>
        <v>-261</v>
      </c>
    </row>
    <row r="467" spans="5:7" x14ac:dyDescent="0.25">
      <c r="E467" s="4">
        <v>-260</v>
      </c>
      <c r="F467" s="4">
        <v>0</v>
      </c>
      <c r="G467" s="4">
        <f t="shared" si="17"/>
        <v>-260</v>
      </c>
    </row>
    <row r="468" spans="5:7" x14ac:dyDescent="0.25">
      <c r="E468" s="4">
        <v>-259</v>
      </c>
      <c r="F468" s="4">
        <v>0</v>
      </c>
      <c r="G468" s="4">
        <f t="shared" si="17"/>
        <v>-259</v>
      </c>
    </row>
    <row r="469" spans="5:7" x14ac:dyDescent="0.25">
      <c r="E469" s="4">
        <v>-258</v>
      </c>
      <c r="F469" s="4">
        <v>0</v>
      </c>
      <c r="G469" s="4">
        <f t="shared" si="17"/>
        <v>-258</v>
      </c>
    </row>
    <row r="470" spans="5:7" x14ac:dyDescent="0.25">
      <c r="E470" s="4">
        <v>-257</v>
      </c>
      <c r="F470" s="4">
        <v>0</v>
      </c>
      <c r="G470" s="4">
        <f t="shared" si="17"/>
        <v>-257</v>
      </c>
    </row>
    <row r="471" spans="5:7" x14ac:dyDescent="0.25">
      <c r="E471" s="4">
        <v>-256</v>
      </c>
      <c r="F471" s="4">
        <v>0</v>
      </c>
      <c r="G471" s="4">
        <f t="shared" si="17"/>
        <v>-256</v>
      </c>
    </row>
    <row r="472" spans="5:7" x14ac:dyDescent="0.25">
      <c r="E472" s="4">
        <v>-255</v>
      </c>
      <c r="F472" s="4">
        <v>0</v>
      </c>
      <c r="G472" s="4">
        <f t="shared" si="17"/>
        <v>-255</v>
      </c>
    </row>
    <row r="473" spans="5:7" x14ac:dyDescent="0.25">
      <c r="E473" s="4">
        <v>-254</v>
      </c>
      <c r="F473" s="4">
        <v>0</v>
      </c>
      <c r="G473" s="4">
        <f t="shared" si="17"/>
        <v>-254</v>
      </c>
    </row>
    <row r="474" spans="5:7" x14ac:dyDescent="0.25">
      <c r="E474" s="4">
        <v>-253</v>
      </c>
      <c r="F474" s="4">
        <v>0</v>
      </c>
      <c r="G474" s="4">
        <f t="shared" si="17"/>
        <v>-253</v>
      </c>
    </row>
    <row r="475" spans="5:7" x14ac:dyDescent="0.25">
      <c r="E475" s="4">
        <v>-252</v>
      </c>
      <c r="F475" s="4">
        <v>0</v>
      </c>
      <c r="G475" s="4">
        <f t="shared" si="17"/>
        <v>-252</v>
      </c>
    </row>
    <row r="476" spans="5:7" x14ac:dyDescent="0.25">
      <c r="E476" s="4">
        <v>-251</v>
      </c>
      <c r="F476" s="4">
        <v>0</v>
      </c>
      <c r="G476" s="4">
        <f t="shared" si="17"/>
        <v>-251</v>
      </c>
    </row>
    <row r="477" spans="5:7" x14ac:dyDescent="0.25">
      <c r="E477" s="4">
        <v>-250</v>
      </c>
      <c r="F477" s="4">
        <v>0</v>
      </c>
      <c r="G477" s="4">
        <f t="shared" si="17"/>
        <v>-250</v>
      </c>
    </row>
    <row r="478" spans="5:7" x14ac:dyDescent="0.25">
      <c r="E478" s="4">
        <v>-249</v>
      </c>
      <c r="F478" s="4">
        <v>0</v>
      </c>
      <c r="G478" s="4">
        <f t="shared" si="17"/>
        <v>-249</v>
      </c>
    </row>
    <row r="479" spans="5:7" x14ac:dyDescent="0.25">
      <c r="E479" s="4">
        <v>-248</v>
      </c>
      <c r="F479" s="4">
        <v>0</v>
      </c>
      <c r="G479" s="4">
        <f t="shared" si="17"/>
        <v>-248</v>
      </c>
    </row>
    <row r="480" spans="5:7" x14ac:dyDescent="0.25">
      <c r="E480" s="4">
        <v>-247</v>
      </c>
      <c r="F480" s="4">
        <v>0</v>
      </c>
      <c r="G480" s="4">
        <f t="shared" si="17"/>
        <v>-247</v>
      </c>
    </row>
    <row r="481" spans="5:7" x14ac:dyDescent="0.25">
      <c r="E481" s="4">
        <v>-246</v>
      </c>
      <c r="F481" s="4">
        <v>0</v>
      </c>
      <c r="G481" s="4">
        <f t="shared" si="17"/>
        <v>-246</v>
      </c>
    </row>
    <row r="482" spans="5:7" x14ac:dyDescent="0.25">
      <c r="E482" s="4">
        <v>-245</v>
      </c>
      <c r="F482" s="4">
        <v>0</v>
      </c>
      <c r="G482" s="4">
        <f t="shared" si="17"/>
        <v>-245</v>
      </c>
    </row>
    <row r="483" spans="5:7" x14ac:dyDescent="0.25">
      <c r="E483" s="4">
        <v>-244</v>
      </c>
      <c r="F483" s="4">
        <v>0</v>
      </c>
      <c r="G483" s="4">
        <f t="shared" si="17"/>
        <v>-244</v>
      </c>
    </row>
    <row r="484" spans="5:7" x14ac:dyDescent="0.25">
      <c r="E484" s="4">
        <v>-243</v>
      </c>
      <c r="F484" s="4">
        <v>0</v>
      </c>
      <c r="G484" s="4">
        <f t="shared" si="17"/>
        <v>-243</v>
      </c>
    </row>
    <row r="485" spans="5:7" x14ac:dyDescent="0.25">
      <c r="E485" s="4">
        <v>-242</v>
      </c>
      <c r="F485" s="4">
        <v>0</v>
      </c>
      <c r="G485" s="4">
        <f t="shared" si="17"/>
        <v>-242</v>
      </c>
    </row>
    <row r="486" spans="5:7" x14ac:dyDescent="0.25">
      <c r="E486" s="4">
        <v>-241</v>
      </c>
      <c r="F486" s="4">
        <v>0</v>
      </c>
      <c r="G486" s="4">
        <f t="shared" si="17"/>
        <v>-241</v>
      </c>
    </row>
    <row r="487" spans="5:7" x14ac:dyDescent="0.25">
      <c r="E487" s="4">
        <v>-240</v>
      </c>
      <c r="F487" s="4">
        <v>0</v>
      </c>
      <c r="G487" s="4">
        <f t="shared" si="17"/>
        <v>-240</v>
      </c>
    </row>
    <row r="488" spans="5:7" x14ac:dyDescent="0.25">
      <c r="E488" s="4">
        <v>-239</v>
      </c>
      <c r="F488" s="4">
        <v>0</v>
      </c>
      <c r="G488" s="4">
        <f t="shared" si="17"/>
        <v>-239</v>
      </c>
    </row>
    <row r="489" spans="5:7" x14ac:dyDescent="0.25">
      <c r="E489" s="4">
        <v>-238</v>
      </c>
      <c r="F489" s="4">
        <v>0</v>
      </c>
      <c r="G489" s="4">
        <f t="shared" si="17"/>
        <v>-238</v>
      </c>
    </row>
    <row r="490" spans="5:7" x14ac:dyDescent="0.25">
      <c r="E490" s="4">
        <v>-237</v>
      </c>
      <c r="F490" s="4">
        <v>0</v>
      </c>
      <c r="G490" s="4">
        <f t="shared" si="17"/>
        <v>-237</v>
      </c>
    </row>
    <row r="491" spans="5:7" x14ac:dyDescent="0.25">
      <c r="E491" s="4">
        <v>-236</v>
      </c>
      <c r="F491" s="4">
        <v>0</v>
      </c>
      <c r="G491" s="4">
        <f t="shared" si="17"/>
        <v>-236</v>
      </c>
    </row>
    <row r="492" spans="5:7" x14ac:dyDescent="0.25">
      <c r="E492" s="4">
        <v>-235</v>
      </c>
      <c r="F492" s="4">
        <v>0</v>
      </c>
      <c r="G492" s="4">
        <f t="shared" si="17"/>
        <v>-235</v>
      </c>
    </row>
    <row r="493" spans="5:7" x14ac:dyDescent="0.25">
      <c r="E493" s="4">
        <v>-234</v>
      </c>
      <c r="F493" s="4">
        <v>0</v>
      </c>
      <c r="G493" s="4">
        <f t="shared" si="17"/>
        <v>-234</v>
      </c>
    </row>
    <row r="494" spans="5:7" x14ac:dyDescent="0.25">
      <c r="E494" s="4">
        <v>-233</v>
      </c>
      <c r="F494" s="4">
        <v>0</v>
      </c>
      <c r="G494" s="4">
        <f t="shared" si="17"/>
        <v>-233</v>
      </c>
    </row>
    <row r="495" spans="5:7" x14ac:dyDescent="0.25">
      <c r="E495" s="4">
        <v>-232</v>
      </c>
      <c r="F495" s="4">
        <v>0</v>
      </c>
      <c r="G495" s="4">
        <f t="shared" si="17"/>
        <v>-232</v>
      </c>
    </row>
    <row r="496" spans="5:7" x14ac:dyDescent="0.25">
      <c r="E496" s="4">
        <v>-231</v>
      </c>
      <c r="F496" s="4">
        <v>0</v>
      </c>
      <c r="G496" s="4">
        <f t="shared" si="17"/>
        <v>-231</v>
      </c>
    </row>
    <row r="497" spans="5:7" x14ac:dyDescent="0.25">
      <c r="E497" s="4">
        <v>-230</v>
      </c>
      <c r="F497" s="4">
        <v>0</v>
      </c>
      <c r="G497" s="4">
        <f t="shared" si="17"/>
        <v>-230</v>
      </c>
    </row>
    <row r="498" spans="5:7" x14ac:dyDescent="0.25">
      <c r="E498" s="4">
        <v>-229</v>
      </c>
      <c r="F498" s="4">
        <v>0</v>
      </c>
      <c r="G498" s="4">
        <f t="shared" si="17"/>
        <v>-229</v>
      </c>
    </row>
    <row r="499" spans="5:7" x14ac:dyDescent="0.25">
      <c r="E499" s="4">
        <v>-228</v>
      </c>
      <c r="F499" s="4">
        <v>0</v>
      </c>
      <c r="G499" s="4">
        <f t="shared" si="17"/>
        <v>-228</v>
      </c>
    </row>
    <row r="500" spans="5:7" x14ac:dyDescent="0.25">
      <c r="E500" s="4">
        <v>-227</v>
      </c>
      <c r="F500" s="4">
        <v>0</v>
      </c>
      <c r="G500" s="4">
        <f t="shared" si="17"/>
        <v>-227</v>
      </c>
    </row>
    <row r="501" spans="5:7" x14ac:dyDescent="0.25">
      <c r="E501" s="4">
        <v>-226</v>
      </c>
      <c r="F501" s="4">
        <v>0</v>
      </c>
      <c r="G501" s="4">
        <f t="shared" si="17"/>
        <v>-226</v>
      </c>
    </row>
    <row r="502" spans="5:7" x14ac:dyDescent="0.25">
      <c r="E502" s="4">
        <v>-225</v>
      </c>
      <c r="F502" s="4">
        <v>0</v>
      </c>
      <c r="G502" s="4">
        <f t="shared" si="17"/>
        <v>-225</v>
      </c>
    </row>
    <row r="503" spans="5:7" x14ac:dyDescent="0.25">
      <c r="E503" s="4">
        <v>-224</v>
      </c>
      <c r="F503" s="4">
        <v>0</v>
      </c>
      <c r="G503" s="4">
        <f t="shared" si="17"/>
        <v>-224</v>
      </c>
    </row>
    <row r="504" spans="5:7" x14ac:dyDescent="0.25">
      <c r="E504" s="4">
        <v>-223</v>
      </c>
      <c r="F504" s="4">
        <v>0</v>
      </c>
      <c r="G504" s="4">
        <f t="shared" si="17"/>
        <v>-223</v>
      </c>
    </row>
    <row r="505" spans="5:7" x14ac:dyDescent="0.25">
      <c r="E505" s="4">
        <v>-222</v>
      </c>
      <c r="F505" s="4">
        <v>0</v>
      </c>
      <c r="G505" s="4">
        <f t="shared" si="17"/>
        <v>-222</v>
      </c>
    </row>
    <row r="506" spans="5:7" x14ac:dyDescent="0.25">
      <c r="E506" s="4">
        <v>-221</v>
      </c>
      <c r="F506" s="4">
        <v>0</v>
      </c>
      <c r="G506" s="4">
        <f t="shared" si="17"/>
        <v>-221</v>
      </c>
    </row>
    <row r="507" spans="5:7" x14ac:dyDescent="0.25">
      <c r="E507" s="4">
        <v>-220</v>
      </c>
      <c r="F507" s="4">
        <v>0</v>
      </c>
      <c r="G507" s="4">
        <f t="shared" si="17"/>
        <v>-220</v>
      </c>
    </row>
    <row r="508" spans="5:7" x14ac:dyDescent="0.25">
      <c r="E508" s="4">
        <v>-219</v>
      </c>
      <c r="F508" s="4">
        <v>0</v>
      </c>
      <c r="G508" s="4">
        <f t="shared" si="17"/>
        <v>-219</v>
      </c>
    </row>
    <row r="509" spans="5:7" x14ac:dyDescent="0.25">
      <c r="E509" s="4">
        <v>-218</v>
      </c>
      <c r="F509" s="4">
        <v>0</v>
      </c>
      <c r="G509" s="4">
        <f t="shared" si="17"/>
        <v>-218</v>
      </c>
    </row>
    <row r="510" spans="5:7" x14ac:dyDescent="0.25">
      <c r="E510" s="4">
        <v>-217</v>
      </c>
      <c r="F510" s="4">
        <v>0</v>
      </c>
      <c r="G510" s="4">
        <f t="shared" ref="G510:G573" si="18">ROUND(E510+F510,0)</f>
        <v>-217</v>
      </c>
    </row>
    <row r="511" spans="5:7" x14ac:dyDescent="0.25">
      <c r="E511" s="4">
        <v>-216</v>
      </c>
      <c r="F511" s="4">
        <v>0</v>
      </c>
      <c r="G511" s="4">
        <f t="shared" si="18"/>
        <v>-216</v>
      </c>
    </row>
    <row r="512" spans="5:7" x14ac:dyDescent="0.25">
      <c r="E512" s="4">
        <v>-215</v>
      </c>
      <c r="F512" s="4">
        <v>0</v>
      </c>
      <c r="G512" s="4">
        <f t="shared" si="18"/>
        <v>-215</v>
      </c>
    </row>
    <row r="513" spans="5:7" x14ac:dyDescent="0.25">
      <c r="E513" s="4">
        <v>-214</v>
      </c>
      <c r="F513" s="4">
        <v>0</v>
      </c>
      <c r="G513" s="4">
        <f t="shared" si="18"/>
        <v>-214</v>
      </c>
    </row>
    <row r="514" spans="5:7" x14ac:dyDescent="0.25">
      <c r="E514" s="4">
        <v>-213</v>
      </c>
      <c r="F514" s="4">
        <v>0</v>
      </c>
      <c r="G514" s="4">
        <f t="shared" si="18"/>
        <v>-213</v>
      </c>
    </row>
    <row r="515" spans="5:7" x14ac:dyDescent="0.25">
      <c r="E515" s="4">
        <v>-212</v>
      </c>
      <c r="F515" s="4">
        <v>0</v>
      </c>
      <c r="G515" s="4">
        <f t="shared" si="18"/>
        <v>-212</v>
      </c>
    </row>
    <row r="516" spans="5:7" x14ac:dyDescent="0.25">
      <c r="E516" s="4">
        <v>-211</v>
      </c>
      <c r="F516" s="4">
        <v>0</v>
      </c>
      <c r="G516" s="4">
        <f t="shared" si="18"/>
        <v>-211</v>
      </c>
    </row>
    <row r="517" spans="5:7" x14ac:dyDescent="0.25">
      <c r="E517" s="4">
        <v>-210</v>
      </c>
      <c r="F517" s="4">
        <v>0</v>
      </c>
      <c r="G517" s="4">
        <f t="shared" si="18"/>
        <v>-210</v>
      </c>
    </row>
    <row r="518" spans="5:7" x14ac:dyDescent="0.25">
      <c r="E518" s="4">
        <v>-209</v>
      </c>
      <c r="F518" s="4">
        <v>0</v>
      </c>
      <c r="G518" s="4">
        <f t="shared" si="18"/>
        <v>-209</v>
      </c>
    </row>
    <row r="519" spans="5:7" x14ac:dyDescent="0.25">
      <c r="E519" s="4">
        <v>-208</v>
      </c>
      <c r="F519" s="4">
        <v>0</v>
      </c>
      <c r="G519" s="4">
        <f t="shared" si="18"/>
        <v>-208</v>
      </c>
    </row>
    <row r="520" spans="5:7" x14ac:dyDescent="0.25">
      <c r="E520" s="4">
        <v>-207</v>
      </c>
      <c r="F520" s="4">
        <v>0</v>
      </c>
      <c r="G520" s="4">
        <f t="shared" si="18"/>
        <v>-207</v>
      </c>
    </row>
    <row r="521" spans="5:7" x14ac:dyDescent="0.25">
      <c r="E521" s="4">
        <v>-206</v>
      </c>
      <c r="F521" s="4">
        <v>0</v>
      </c>
      <c r="G521" s="4">
        <f t="shared" si="18"/>
        <v>-206</v>
      </c>
    </row>
    <row r="522" spans="5:7" x14ac:dyDescent="0.25">
      <c r="E522" s="4">
        <v>-205</v>
      </c>
      <c r="F522" s="4">
        <v>0</v>
      </c>
      <c r="G522" s="4">
        <f t="shared" si="18"/>
        <v>-205</v>
      </c>
    </row>
    <row r="523" spans="5:7" x14ac:dyDescent="0.25">
      <c r="E523" s="4">
        <v>-204</v>
      </c>
      <c r="F523" s="4">
        <v>0</v>
      </c>
      <c r="G523" s="4">
        <f t="shared" si="18"/>
        <v>-204</v>
      </c>
    </row>
    <row r="524" spans="5:7" x14ac:dyDescent="0.25">
      <c r="E524" s="4">
        <v>-203</v>
      </c>
      <c r="F524" s="4">
        <v>0</v>
      </c>
      <c r="G524" s="4">
        <f t="shared" si="18"/>
        <v>-203</v>
      </c>
    </row>
    <row r="525" spans="5:7" x14ac:dyDescent="0.25">
      <c r="E525" s="4">
        <v>-202</v>
      </c>
      <c r="F525" s="4">
        <v>0</v>
      </c>
      <c r="G525" s="4">
        <f t="shared" si="18"/>
        <v>-202</v>
      </c>
    </row>
    <row r="526" spans="5:7" x14ac:dyDescent="0.25">
      <c r="E526" s="4">
        <v>-201</v>
      </c>
      <c r="F526" s="4">
        <v>0</v>
      </c>
      <c r="G526" s="4">
        <f t="shared" si="18"/>
        <v>-201</v>
      </c>
    </row>
    <row r="527" spans="5:7" x14ac:dyDescent="0.25">
      <c r="E527" s="4">
        <v>-200</v>
      </c>
      <c r="F527" s="4">
        <v>0</v>
      </c>
      <c r="G527" s="4">
        <f t="shared" si="18"/>
        <v>-200</v>
      </c>
    </row>
    <row r="528" spans="5:7" x14ac:dyDescent="0.25">
      <c r="E528" s="4">
        <v>-199</v>
      </c>
      <c r="F528" s="4">
        <v>0</v>
      </c>
      <c r="G528" s="4">
        <f t="shared" si="18"/>
        <v>-199</v>
      </c>
    </row>
    <row r="529" spans="5:7" x14ac:dyDescent="0.25">
      <c r="E529" s="4">
        <v>-198</v>
      </c>
      <c r="F529" s="4">
        <v>0</v>
      </c>
      <c r="G529" s="4">
        <f t="shared" si="18"/>
        <v>-198</v>
      </c>
    </row>
    <row r="530" spans="5:7" x14ac:dyDescent="0.25">
      <c r="E530" s="4">
        <v>-197</v>
      </c>
      <c r="F530" s="4">
        <v>0</v>
      </c>
      <c r="G530" s="4">
        <f t="shared" si="18"/>
        <v>-197</v>
      </c>
    </row>
    <row r="531" spans="5:7" x14ac:dyDescent="0.25">
      <c r="E531" s="4">
        <v>-196</v>
      </c>
      <c r="F531" s="4">
        <v>0</v>
      </c>
      <c r="G531" s="4">
        <f t="shared" si="18"/>
        <v>-196</v>
      </c>
    </row>
    <row r="532" spans="5:7" x14ac:dyDescent="0.25">
      <c r="E532" s="4">
        <v>-195</v>
      </c>
      <c r="F532" s="4">
        <v>0</v>
      </c>
      <c r="G532" s="4">
        <f t="shared" si="18"/>
        <v>-195</v>
      </c>
    </row>
    <row r="533" spans="5:7" x14ac:dyDescent="0.25">
      <c r="E533" s="4">
        <v>-194</v>
      </c>
      <c r="F533" s="4">
        <v>0</v>
      </c>
      <c r="G533" s="4">
        <f t="shared" si="18"/>
        <v>-194</v>
      </c>
    </row>
    <row r="534" spans="5:7" x14ac:dyDescent="0.25">
      <c r="E534" s="4">
        <v>-193</v>
      </c>
      <c r="F534" s="4">
        <v>0</v>
      </c>
      <c r="G534" s="4">
        <f t="shared" si="18"/>
        <v>-193</v>
      </c>
    </row>
    <row r="535" spans="5:7" x14ac:dyDescent="0.25">
      <c r="E535" s="4">
        <v>-192</v>
      </c>
      <c r="F535" s="4">
        <v>0</v>
      </c>
      <c r="G535" s="4">
        <f t="shared" si="18"/>
        <v>-192</v>
      </c>
    </row>
    <row r="536" spans="5:7" x14ac:dyDescent="0.25">
      <c r="E536" s="4">
        <v>-191</v>
      </c>
      <c r="F536" s="4">
        <v>0</v>
      </c>
      <c r="G536" s="4">
        <f t="shared" si="18"/>
        <v>-191</v>
      </c>
    </row>
    <row r="537" spans="5:7" x14ac:dyDescent="0.25">
      <c r="E537" s="4">
        <v>-190</v>
      </c>
      <c r="F537" s="4">
        <v>0</v>
      </c>
      <c r="G537" s="4">
        <f t="shared" si="18"/>
        <v>-190</v>
      </c>
    </row>
    <row r="538" spans="5:7" x14ac:dyDescent="0.25">
      <c r="E538" s="4">
        <v>-189</v>
      </c>
      <c r="F538" s="4">
        <v>0</v>
      </c>
      <c r="G538" s="4">
        <f t="shared" si="18"/>
        <v>-189</v>
      </c>
    </row>
    <row r="539" spans="5:7" x14ac:dyDescent="0.25">
      <c r="E539" s="4">
        <v>-188</v>
      </c>
      <c r="F539" s="4">
        <v>0</v>
      </c>
      <c r="G539" s="4">
        <f t="shared" si="18"/>
        <v>-188</v>
      </c>
    </row>
    <row r="540" spans="5:7" x14ac:dyDescent="0.25">
      <c r="E540" s="4">
        <v>-187</v>
      </c>
      <c r="F540" s="4">
        <v>0</v>
      </c>
      <c r="G540" s="4">
        <f t="shared" si="18"/>
        <v>-187</v>
      </c>
    </row>
    <row r="541" spans="5:7" x14ac:dyDescent="0.25">
      <c r="E541" s="4">
        <v>-186</v>
      </c>
      <c r="F541" s="4">
        <v>0</v>
      </c>
      <c r="G541" s="4">
        <f t="shared" si="18"/>
        <v>-186</v>
      </c>
    </row>
    <row r="542" spans="5:7" x14ac:dyDescent="0.25">
      <c r="E542" s="4">
        <v>-185</v>
      </c>
      <c r="F542" s="4">
        <v>0</v>
      </c>
      <c r="G542" s="4">
        <f t="shared" si="18"/>
        <v>-185</v>
      </c>
    </row>
    <row r="543" spans="5:7" x14ac:dyDescent="0.25">
      <c r="E543" s="4">
        <v>-184</v>
      </c>
      <c r="F543" s="4">
        <v>0</v>
      </c>
      <c r="G543" s="4">
        <f t="shared" si="18"/>
        <v>-184</v>
      </c>
    </row>
    <row r="544" spans="5:7" x14ac:dyDescent="0.25">
      <c r="E544" s="4">
        <v>-183</v>
      </c>
      <c r="F544" s="4">
        <v>0</v>
      </c>
      <c r="G544" s="4">
        <f t="shared" si="18"/>
        <v>-183</v>
      </c>
    </row>
    <row r="545" spans="5:7" x14ac:dyDescent="0.25">
      <c r="E545" s="4">
        <v>-182</v>
      </c>
      <c r="F545" s="4">
        <v>0</v>
      </c>
      <c r="G545" s="4">
        <f t="shared" si="18"/>
        <v>-182</v>
      </c>
    </row>
    <row r="546" spans="5:7" x14ac:dyDescent="0.25">
      <c r="E546" s="4">
        <v>-181</v>
      </c>
      <c r="F546" s="4">
        <v>0</v>
      </c>
      <c r="G546" s="4">
        <f t="shared" si="18"/>
        <v>-181</v>
      </c>
    </row>
    <row r="547" spans="5:7" x14ac:dyDescent="0.25">
      <c r="E547" s="4">
        <v>-180</v>
      </c>
      <c r="F547" s="4">
        <v>0</v>
      </c>
      <c r="G547" s="4">
        <f t="shared" si="18"/>
        <v>-180</v>
      </c>
    </row>
    <row r="548" spans="5:7" x14ac:dyDescent="0.25">
      <c r="E548" s="4">
        <v>-179</v>
      </c>
      <c r="F548" s="4">
        <v>0</v>
      </c>
      <c r="G548" s="4">
        <f t="shared" si="18"/>
        <v>-179</v>
      </c>
    </row>
    <row r="549" spans="5:7" x14ac:dyDescent="0.25">
      <c r="E549" s="4">
        <v>-178</v>
      </c>
      <c r="F549" s="4">
        <v>0</v>
      </c>
      <c r="G549" s="4">
        <f t="shared" si="18"/>
        <v>-178</v>
      </c>
    </row>
    <row r="550" spans="5:7" x14ac:dyDescent="0.25">
      <c r="E550" s="4">
        <v>-177</v>
      </c>
      <c r="F550" s="4">
        <v>0</v>
      </c>
      <c r="G550" s="4">
        <f t="shared" si="18"/>
        <v>-177</v>
      </c>
    </row>
    <row r="551" spans="5:7" x14ac:dyDescent="0.25">
      <c r="E551" s="4">
        <v>-176</v>
      </c>
      <c r="F551" s="4">
        <v>0</v>
      </c>
      <c r="G551" s="4">
        <f t="shared" si="18"/>
        <v>-176</v>
      </c>
    </row>
    <row r="552" spans="5:7" x14ac:dyDescent="0.25">
      <c r="E552" s="4">
        <v>-175</v>
      </c>
      <c r="F552" s="4">
        <v>0</v>
      </c>
      <c r="G552" s="4">
        <f t="shared" si="18"/>
        <v>-175</v>
      </c>
    </row>
    <row r="553" spans="5:7" x14ac:dyDescent="0.25">
      <c r="E553" s="4">
        <v>-174</v>
      </c>
      <c r="F553" s="4">
        <v>0</v>
      </c>
      <c r="G553" s="4">
        <f t="shared" si="18"/>
        <v>-174</v>
      </c>
    </row>
    <row r="554" spans="5:7" x14ac:dyDescent="0.25">
      <c r="E554" s="4">
        <v>-173</v>
      </c>
      <c r="F554" s="4">
        <v>0</v>
      </c>
      <c r="G554" s="4">
        <f t="shared" si="18"/>
        <v>-173</v>
      </c>
    </row>
    <row r="555" spans="5:7" x14ac:dyDescent="0.25">
      <c r="E555" s="4">
        <v>-172</v>
      </c>
      <c r="F555" s="4">
        <v>0</v>
      </c>
      <c r="G555" s="4">
        <f t="shared" si="18"/>
        <v>-172</v>
      </c>
    </row>
    <row r="556" spans="5:7" x14ac:dyDescent="0.25">
      <c r="E556" s="4">
        <v>-171</v>
      </c>
      <c r="F556" s="4">
        <v>0</v>
      </c>
      <c r="G556" s="4">
        <f t="shared" si="18"/>
        <v>-171</v>
      </c>
    </row>
    <row r="557" spans="5:7" x14ac:dyDescent="0.25">
      <c r="E557" s="4">
        <v>-170</v>
      </c>
      <c r="F557" s="4">
        <v>0</v>
      </c>
      <c r="G557" s="4">
        <f t="shared" si="18"/>
        <v>-170</v>
      </c>
    </row>
    <row r="558" spans="5:7" x14ac:dyDescent="0.25">
      <c r="E558" s="4">
        <v>-169</v>
      </c>
      <c r="F558" s="4">
        <v>0</v>
      </c>
      <c r="G558" s="4">
        <f t="shared" si="18"/>
        <v>-169</v>
      </c>
    </row>
    <row r="559" spans="5:7" x14ac:dyDescent="0.25">
      <c r="E559" s="4">
        <v>-168</v>
      </c>
      <c r="F559" s="4">
        <v>0</v>
      </c>
      <c r="G559" s="4">
        <f t="shared" si="18"/>
        <v>-168</v>
      </c>
    </row>
    <row r="560" spans="5:7" x14ac:dyDescent="0.25">
      <c r="E560" s="4">
        <v>-167</v>
      </c>
      <c r="F560" s="4">
        <v>0</v>
      </c>
      <c r="G560" s="4">
        <f t="shared" si="18"/>
        <v>-167</v>
      </c>
    </row>
    <row r="561" spans="5:7" x14ac:dyDescent="0.25">
      <c r="E561" s="4">
        <v>-166</v>
      </c>
      <c r="F561" s="4">
        <v>0</v>
      </c>
      <c r="G561" s="4">
        <f t="shared" si="18"/>
        <v>-166</v>
      </c>
    </row>
    <row r="562" spans="5:7" x14ac:dyDescent="0.25">
      <c r="E562" s="4">
        <v>-165</v>
      </c>
      <c r="F562" s="4">
        <v>0</v>
      </c>
      <c r="G562" s="4">
        <f t="shared" si="18"/>
        <v>-165</v>
      </c>
    </row>
    <row r="563" spans="5:7" x14ac:dyDescent="0.25">
      <c r="E563" s="4">
        <v>-164</v>
      </c>
      <c r="F563" s="4">
        <v>0</v>
      </c>
      <c r="G563" s="4">
        <f t="shared" si="18"/>
        <v>-164</v>
      </c>
    </row>
    <row r="564" spans="5:7" x14ac:dyDescent="0.25">
      <c r="E564" s="4">
        <v>-163</v>
      </c>
      <c r="F564" s="4">
        <v>0</v>
      </c>
      <c r="G564" s="4">
        <f t="shared" si="18"/>
        <v>-163</v>
      </c>
    </row>
    <row r="565" spans="5:7" x14ac:dyDescent="0.25">
      <c r="E565" s="4">
        <v>-162</v>
      </c>
      <c r="F565" s="4">
        <v>0</v>
      </c>
      <c r="G565" s="4">
        <f t="shared" si="18"/>
        <v>-162</v>
      </c>
    </row>
    <row r="566" spans="5:7" x14ac:dyDescent="0.25">
      <c r="E566" s="4">
        <v>-161</v>
      </c>
      <c r="F566" s="4">
        <v>0</v>
      </c>
      <c r="G566" s="4">
        <f t="shared" si="18"/>
        <v>-161</v>
      </c>
    </row>
    <row r="567" spans="5:7" x14ac:dyDescent="0.25">
      <c r="E567" s="4">
        <v>-160</v>
      </c>
      <c r="F567" s="4">
        <v>0</v>
      </c>
      <c r="G567" s="4">
        <f t="shared" si="18"/>
        <v>-160</v>
      </c>
    </row>
    <row r="568" spans="5:7" x14ac:dyDescent="0.25">
      <c r="E568" s="4">
        <v>-159</v>
      </c>
      <c r="F568" s="4">
        <v>0</v>
      </c>
      <c r="G568" s="4">
        <f t="shared" si="18"/>
        <v>-159</v>
      </c>
    </row>
    <row r="569" spans="5:7" x14ac:dyDescent="0.25">
      <c r="E569" s="4">
        <v>-158</v>
      </c>
      <c r="F569" s="4">
        <v>0</v>
      </c>
      <c r="G569" s="4">
        <f t="shared" si="18"/>
        <v>-158</v>
      </c>
    </row>
    <row r="570" spans="5:7" x14ac:dyDescent="0.25">
      <c r="E570" s="4">
        <v>-157</v>
      </c>
      <c r="F570" s="4">
        <v>0</v>
      </c>
      <c r="G570" s="4">
        <f t="shared" si="18"/>
        <v>-157</v>
      </c>
    </row>
    <row r="571" spans="5:7" x14ac:dyDescent="0.25">
      <c r="E571" s="4">
        <v>-156</v>
      </c>
      <c r="F571" s="4">
        <v>0</v>
      </c>
      <c r="G571" s="4">
        <f t="shared" si="18"/>
        <v>-156</v>
      </c>
    </row>
    <row r="572" spans="5:7" x14ac:dyDescent="0.25">
      <c r="E572" s="4">
        <v>-155</v>
      </c>
      <c r="F572" s="4">
        <v>0</v>
      </c>
      <c r="G572" s="4">
        <f t="shared" si="18"/>
        <v>-155</v>
      </c>
    </row>
    <row r="573" spans="5:7" x14ac:dyDescent="0.25">
      <c r="E573" s="4">
        <v>-154</v>
      </c>
      <c r="F573" s="4">
        <v>0</v>
      </c>
      <c r="G573" s="4">
        <f t="shared" si="18"/>
        <v>-154</v>
      </c>
    </row>
    <row r="574" spans="5:7" x14ac:dyDescent="0.25">
      <c r="E574" s="4">
        <v>-153</v>
      </c>
      <c r="F574" s="4">
        <v>0</v>
      </c>
      <c r="G574" s="4">
        <f t="shared" ref="G574:G637" si="19">ROUND(E574+F574,0)</f>
        <v>-153</v>
      </c>
    </row>
    <row r="575" spans="5:7" x14ac:dyDescent="0.25">
      <c r="E575" s="4">
        <v>-152</v>
      </c>
      <c r="F575" s="4">
        <v>0</v>
      </c>
      <c r="G575" s="4">
        <f t="shared" si="19"/>
        <v>-152</v>
      </c>
    </row>
    <row r="576" spans="5:7" x14ac:dyDescent="0.25">
      <c r="E576" s="4">
        <v>-151</v>
      </c>
      <c r="F576" s="4">
        <v>0</v>
      </c>
      <c r="G576" s="4">
        <f t="shared" si="19"/>
        <v>-151</v>
      </c>
    </row>
    <row r="577" spans="5:7" x14ac:dyDescent="0.25">
      <c r="E577" s="4">
        <v>-150</v>
      </c>
      <c r="F577" s="4">
        <v>0</v>
      </c>
      <c r="G577" s="4">
        <f t="shared" si="19"/>
        <v>-150</v>
      </c>
    </row>
    <row r="578" spans="5:7" x14ac:dyDescent="0.25">
      <c r="E578" s="4">
        <v>-149</v>
      </c>
      <c r="F578" s="4">
        <v>0</v>
      </c>
      <c r="G578" s="4">
        <f t="shared" si="19"/>
        <v>-149</v>
      </c>
    </row>
    <row r="579" spans="5:7" x14ac:dyDescent="0.25">
      <c r="E579" s="4">
        <v>-148</v>
      </c>
      <c r="F579" s="4">
        <v>0</v>
      </c>
      <c r="G579" s="4">
        <f t="shared" si="19"/>
        <v>-148</v>
      </c>
    </row>
    <row r="580" spans="5:7" x14ac:dyDescent="0.25">
      <c r="E580" s="4">
        <v>-147</v>
      </c>
      <c r="F580" s="4">
        <v>0</v>
      </c>
      <c r="G580" s="4">
        <f t="shared" si="19"/>
        <v>-147</v>
      </c>
    </row>
    <row r="581" spans="5:7" x14ac:dyDescent="0.25">
      <c r="E581" s="4">
        <v>-146</v>
      </c>
      <c r="F581" s="4">
        <v>0</v>
      </c>
      <c r="G581" s="4">
        <f t="shared" si="19"/>
        <v>-146</v>
      </c>
    </row>
    <row r="582" spans="5:7" x14ac:dyDescent="0.25">
      <c r="E582" s="4">
        <v>-145</v>
      </c>
      <c r="F582" s="4">
        <v>0</v>
      </c>
      <c r="G582" s="4">
        <f t="shared" si="19"/>
        <v>-145</v>
      </c>
    </row>
    <row r="583" spans="5:7" x14ac:dyDescent="0.25">
      <c r="E583" s="4">
        <v>-144</v>
      </c>
      <c r="F583" s="4">
        <v>0</v>
      </c>
      <c r="G583" s="4">
        <f t="shared" si="19"/>
        <v>-144</v>
      </c>
    </row>
    <row r="584" spans="5:7" x14ac:dyDescent="0.25">
      <c r="E584" s="4">
        <v>-143</v>
      </c>
      <c r="F584" s="4">
        <v>0</v>
      </c>
      <c r="G584" s="4">
        <f t="shared" si="19"/>
        <v>-143</v>
      </c>
    </row>
    <row r="585" spans="5:7" x14ac:dyDescent="0.25">
      <c r="E585" s="4">
        <v>-142</v>
      </c>
      <c r="F585" s="4">
        <v>0</v>
      </c>
      <c r="G585" s="4">
        <f t="shared" si="19"/>
        <v>-142</v>
      </c>
    </row>
    <row r="586" spans="5:7" x14ac:dyDescent="0.25">
      <c r="E586" s="4">
        <v>-141</v>
      </c>
      <c r="F586" s="4">
        <v>0</v>
      </c>
      <c r="G586" s="4">
        <f t="shared" si="19"/>
        <v>-141</v>
      </c>
    </row>
    <row r="587" spans="5:7" x14ac:dyDescent="0.25">
      <c r="E587" s="4">
        <v>-140</v>
      </c>
      <c r="F587" s="4">
        <v>0</v>
      </c>
      <c r="G587" s="4">
        <f t="shared" si="19"/>
        <v>-140</v>
      </c>
    </row>
    <row r="588" spans="5:7" x14ac:dyDescent="0.25">
      <c r="E588" s="4">
        <v>-139</v>
      </c>
      <c r="F588" s="4">
        <v>0</v>
      </c>
      <c r="G588" s="4">
        <f t="shared" si="19"/>
        <v>-139</v>
      </c>
    </row>
    <row r="589" spans="5:7" x14ac:dyDescent="0.25">
      <c r="E589" s="4">
        <v>-138</v>
      </c>
      <c r="F589" s="4">
        <v>0</v>
      </c>
      <c r="G589" s="4">
        <f t="shared" si="19"/>
        <v>-138</v>
      </c>
    </row>
    <row r="590" spans="5:7" x14ac:dyDescent="0.25">
      <c r="E590" s="4">
        <v>-137</v>
      </c>
      <c r="F590" s="4">
        <v>0</v>
      </c>
      <c r="G590" s="4">
        <f t="shared" si="19"/>
        <v>-137</v>
      </c>
    </row>
    <row r="591" spans="5:7" x14ac:dyDescent="0.25">
      <c r="E591" s="4">
        <v>-136</v>
      </c>
      <c r="F591" s="4">
        <v>0</v>
      </c>
      <c r="G591" s="4">
        <f t="shared" si="19"/>
        <v>-136</v>
      </c>
    </row>
    <row r="592" spans="5:7" x14ac:dyDescent="0.25">
      <c r="E592" s="4">
        <v>-135</v>
      </c>
      <c r="F592" s="4">
        <v>0</v>
      </c>
      <c r="G592" s="4">
        <f t="shared" si="19"/>
        <v>-135</v>
      </c>
    </row>
    <row r="593" spans="5:7" x14ac:dyDescent="0.25">
      <c r="E593" s="4">
        <v>-134</v>
      </c>
      <c r="F593" s="4">
        <v>0</v>
      </c>
      <c r="G593" s="4">
        <f t="shared" si="19"/>
        <v>-134</v>
      </c>
    </row>
    <row r="594" spans="5:7" x14ac:dyDescent="0.25">
      <c r="E594" s="4">
        <v>-133</v>
      </c>
      <c r="F594" s="4">
        <v>0</v>
      </c>
      <c r="G594" s="4">
        <f t="shared" si="19"/>
        <v>-133</v>
      </c>
    </row>
    <row r="595" spans="5:7" x14ac:dyDescent="0.25">
      <c r="E595" s="4">
        <v>-132</v>
      </c>
      <c r="F595" s="4">
        <v>0</v>
      </c>
      <c r="G595" s="4">
        <f t="shared" si="19"/>
        <v>-132</v>
      </c>
    </row>
    <row r="596" spans="5:7" x14ac:dyDescent="0.25">
      <c r="E596" s="4">
        <v>-131</v>
      </c>
      <c r="F596" s="4">
        <v>0</v>
      </c>
      <c r="G596" s="4">
        <f t="shared" si="19"/>
        <v>-131</v>
      </c>
    </row>
    <row r="597" spans="5:7" x14ac:dyDescent="0.25">
      <c r="E597" s="4">
        <v>-130</v>
      </c>
      <c r="F597" s="4">
        <v>0</v>
      </c>
      <c r="G597" s="4">
        <f t="shared" si="19"/>
        <v>-130</v>
      </c>
    </row>
    <row r="598" spans="5:7" x14ac:dyDescent="0.25">
      <c r="E598" s="4">
        <v>-129</v>
      </c>
      <c r="F598" s="4">
        <v>0</v>
      </c>
      <c r="G598" s="4">
        <f t="shared" si="19"/>
        <v>-129</v>
      </c>
    </row>
    <row r="599" spans="5:7" x14ac:dyDescent="0.25">
      <c r="E599" s="4">
        <v>-128</v>
      </c>
      <c r="F599" s="4">
        <v>0</v>
      </c>
      <c r="G599" s="4">
        <f t="shared" si="19"/>
        <v>-128</v>
      </c>
    </row>
    <row r="600" spans="5:7" x14ac:dyDescent="0.25">
      <c r="E600" s="4">
        <v>-127</v>
      </c>
      <c r="F600" s="4">
        <v>0</v>
      </c>
      <c r="G600" s="4">
        <f t="shared" si="19"/>
        <v>-127</v>
      </c>
    </row>
    <row r="601" spans="5:7" x14ac:dyDescent="0.25">
      <c r="E601" s="4">
        <v>-126</v>
      </c>
      <c r="F601" s="4">
        <v>0</v>
      </c>
      <c r="G601" s="4">
        <f t="shared" si="19"/>
        <v>-126</v>
      </c>
    </row>
    <row r="602" spans="5:7" x14ac:dyDescent="0.25">
      <c r="E602" s="4">
        <v>-125</v>
      </c>
      <c r="F602" s="4">
        <v>0</v>
      </c>
      <c r="G602" s="4">
        <f t="shared" si="19"/>
        <v>-125</v>
      </c>
    </row>
    <row r="603" spans="5:7" x14ac:dyDescent="0.25">
      <c r="E603" s="4">
        <v>-124</v>
      </c>
      <c r="F603" s="4">
        <v>0</v>
      </c>
      <c r="G603" s="4">
        <f t="shared" si="19"/>
        <v>-124</v>
      </c>
    </row>
    <row r="604" spans="5:7" x14ac:dyDescent="0.25">
      <c r="E604" s="4">
        <v>-123</v>
      </c>
      <c r="F604" s="4">
        <v>0</v>
      </c>
      <c r="G604" s="4">
        <f t="shared" si="19"/>
        <v>-123</v>
      </c>
    </row>
    <row r="605" spans="5:7" x14ac:dyDescent="0.25">
      <c r="E605" s="4">
        <v>-122</v>
      </c>
      <c r="F605" s="4">
        <v>0</v>
      </c>
      <c r="G605" s="4">
        <f t="shared" si="19"/>
        <v>-122</v>
      </c>
    </row>
    <row r="606" spans="5:7" x14ac:dyDescent="0.25">
      <c r="E606" s="4">
        <v>-121</v>
      </c>
      <c r="F606" s="4">
        <v>0</v>
      </c>
      <c r="G606" s="4">
        <f t="shared" si="19"/>
        <v>-121</v>
      </c>
    </row>
    <row r="607" spans="5:7" x14ac:dyDescent="0.25">
      <c r="E607" s="4">
        <v>-120</v>
      </c>
      <c r="F607" s="4">
        <v>0</v>
      </c>
      <c r="G607" s="4">
        <f t="shared" si="19"/>
        <v>-120</v>
      </c>
    </row>
    <row r="608" spans="5:7" x14ac:dyDescent="0.25">
      <c r="E608" s="4">
        <v>-119</v>
      </c>
      <c r="F608" s="4">
        <v>0</v>
      </c>
      <c r="G608" s="4">
        <f t="shared" si="19"/>
        <v>-119</v>
      </c>
    </row>
    <row r="609" spans="5:7" x14ac:dyDescent="0.25">
      <c r="E609" s="4">
        <v>-118</v>
      </c>
      <c r="F609" s="4">
        <v>0</v>
      </c>
      <c r="G609" s="4">
        <f t="shared" si="19"/>
        <v>-118</v>
      </c>
    </row>
    <row r="610" spans="5:7" x14ac:dyDescent="0.25">
      <c r="E610" s="4">
        <v>-117</v>
      </c>
      <c r="F610" s="4">
        <v>0</v>
      </c>
      <c r="G610" s="4">
        <f t="shared" si="19"/>
        <v>-117</v>
      </c>
    </row>
    <row r="611" spans="5:7" x14ac:dyDescent="0.25">
      <c r="E611" s="4">
        <v>-116</v>
      </c>
      <c r="F611" s="4">
        <v>0</v>
      </c>
      <c r="G611" s="4">
        <f t="shared" si="19"/>
        <v>-116</v>
      </c>
    </row>
    <row r="612" spans="5:7" x14ac:dyDescent="0.25">
      <c r="E612" s="4">
        <v>-115</v>
      </c>
      <c r="F612" s="4">
        <v>0</v>
      </c>
      <c r="G612" s="4">
        <f t="shared" si="19"/>
        <v>-115</v>
      </c>
    </row>
    <row r="613" spans="5:7" x14ac:dyDescent="0.25">
      <c r="E613" s="4">
        <v>-114</v>
      </c>
      <c r="F613" s="4">
        <v>0</v>
      </c>
      <c r="G613" s="4">
        <f t="shared" si="19"/>
        <v>-114</v>
      </c>
    </row>
    <row r="614" spans="5:7" x14ac:dyDescent="0.25">
      <c r="E614" s="4">
        <v>-113</v>
      </c>
      <c r="F614" s="4">
        <v>0</v>
      </c>
      <c r="G614" s="4">
        <f t="shared" si="19"/>
        <v>-113</v>
      </c>
    </row>
    <row r="615" spans="5:7" x14ac:dyDescent="0.25">
      <c r="E615" s="4">
        <v>-112</v>
      </c>
      <c r="F615" s="4">
        <v>0</v>
      </c>
      <c r="G615" s="4">
        <f t="shared" si="19"/>
        <v>-112</v>
      </c>
    </row>
    <row r="616" spans="5:7" x14ac:dyDescent="0.25">
      <c r="E616" s="4">
        <v>-111</v>
      </c>
      <c r="F616" s="4">
        <v>0</v>
      </c>
      <c r="G616" s="4">
        <f t="shared" si="19"/>
        <v>-111</v>
      </c>
    </row>
    <row r="617" spans="5:7" x14ac:dyDescent="0.25">
      <c r="E617" s="4">
        <v>-110</v>
      </c>
      <c r="F617" s="4">
        <v>0</v>
      </c>
      <c r="G617" s="4">
        <f t="shared" si="19"/>
        <v>-110</v>
      </c>
    </row>
    <row r="618" spans="5:7" x14ac:dyDescent="0.25">
      <c r="E618" s="4">
        <v>-109</v>
      </c>
      <c r="F618" s="4">
        <v>0</v>
      </c>
      <c r="G618" s="4">
        <f t="shared" si="19"/>
        <v>-109</v>
      </c>
    </row>
    <row r="619" spans="5:7" x14ac:dyDescent="0.25">
      <c r="E619" s="4">
        <v>-108</v>
      </c>
      <c r="F619" s="4">
        <v>0</v>
      </c>
      <c r="G619" s="4">
        <f t="shared" si="19"/>
        <v>-108</v>
      </c>
    </row>
    <row r="620" spans="5:7" x14ac:dyDescent="0.25">
      <c r="E620" s="4">
        <v>-107</v>
      </c>
      <c r="F620" s="4">
        <v>0</v>
      </c>
      <c r="G620" s="4">
        <f t="shared" si="19"/>
        <v>-107</v>
      </c>
    </row>
    <row r="621" spans="5:7" x14ac:dyDescent="0.25">
      <c r="E621" s="4">
        <v>-106</v>
      </c>
      <c r="F621" s="4">
        <v>0</v>
      </c>
      <c r="G621" s="4">
        <f t="shared" si="19"/>
        <v>-106</v>
      </c>
    </row>
    <row r="622" spans="5:7" x14ac:dyDescent="0.25">
      <c r="E622" s="4">
        <v>-105</v>
      </c>
      <c r="F622" s="4">
        <v>0</v>
      </c>
      <c r="G622" s="4">
        <f t="shared" si="19"/>
        <v>-105</v>
      </c>
    </row>
    <row r="623" spans="5:7" x14ac:dyDescent="0.25">
      <c r="E623" s="4">
        <v>-104</v>
      </c>
      <c r="F623" s="4">
        <v>0</v>
      </c>
      <c r="G623" s="4">
        <f t="shared" si="19"/>
        <v>-104</v>
      </c>
    </row>
    <row r="624" spans="5:7" x14ac:dyDescent="0.25">
      <c r="E624" s="4">
        <v>-103</v>
      </c>
      <c r="F624" s="4">
        <v>0</v>
      </c>
      <c r="G624" s="4">
        <f t="shared" si="19"/>
        <v>-103</v>
      </c>
    </row>
    <row r="625" spans="5:7" x14ac:dyDescent="0.25">
      <c r="E625" s="4">
        <v>-102</v>
      </c>
      <c r="F625" s="4">
        <v>0</v>
      </c>
      <c r="G625" s="4">
        <f t="shared" si="19"/>
        <v>-102</v>
      </c>
    </row>
    <row r="626" spans="5:7" x14ac:dyDescent="0.25">
      <c r="E626" s="4">
        <v>-101</v>
      </c>
      <c r="F626" s="4">
        <v>0</v>
      </c>
      <c r="G626" s="4">
        <f t="shared" si="19"/>
        <v>-101</v>
      </c>
    </row>
    <row r="627" spans="5:7" x14ac:dyDescent="0.25">
      <c r="E627" s="4">
        <v>-100</v>
      </c>
      <c r="F627" s="4">
        <v>0</v>
      </c>
      <c r="G627" s="4">
        <f t="shared" si="19"/>
        <v>-100</v>
      </c>
    </row>
    <row r="628" spans="5:7" x14ac:dyDescent="0.25">
      <c r="E628" s="4">
        <v>-99</v>
      </c>
      <c r="F628" s="4">
        <v>0</v>
      </c>
      <c r="G628" s="4">
        <f t="shared" si="19"/>
        <v>-99</v>
      </c>
    </row>
    <row r="629" spans="5:7" x14ac:dyDescent="0.25">
      <c r="E629" s="4">
        <v>-98</v>
      </c>
      <c r="F629" s="4">
        <v>0</v>
      </c>
      <c r="G629" s="4">
        <f t="shared" si="19"/>
        <v>-98</v>
      </c>
    </row>
    <row r="630" spans="5:7" x14ac:dyDescent="0.25">
      <c r="E630" s="4">
        <v>-97</v>
      </c>
      <c r="F630" s="4">
        <v>0</v>
      </c>
      <c r="G630" s="4">
        <f t="shared" si="19"/>
        <v>-97</v>
      </c>
    </row>
    <row r="631" spans="5:7" x14ac:dyDescent="0.25">
      <c r="E631" s="4">
        <v>-96</v>
      </c>
      <c r="F631" s="4">
        <v>0</v>
      </c>
      <c r="G631" s="4">
        <f t="shared" si="19"/>
        <v>-96</v>
      </c>
    </row>
    <row r="632" spans="5:7" x14ac:dyDescent="0.25">
      <c r="E632" s="4">
        <v>-95</v>
      </c>
      <c r="F632" s="4">
        <v>0</v>
      </c>
      <c r="G632" s="4">
        <f t="shared" si="19"/>
        <v>-95</v>
      </c>
    </row>
    <row r="633" spans="5:7" x14ac:dyDescent="0.25">
      <c r="E633" s="4">
        <v>-94</v>
      </c>
      <c r="F633" s="4">
        <v>0</v>
      </c>
      <c r="G633" s="4">
        <f t="shared" si="19"/>
        <v>-94</v>
      </c>
    </row>
    <row r="634" spans="5:7" x14ac:dyDescent="0.25">
      <c r="E634" s="4">
        <v>-93</v>
      </c>
      <c r="F634" s="4">
        <v>0</v>
      </c>
      <c r="G634" s="4">
        <f t="shared" si="19"/>
        <v>-93</v>
      </c>
    </row>
    <row r="635" spans="5:7" x14ac:dyDescent="0.25">
      <c r="E635" s="4">
        <v>-92</v>
      </c>
      <c r="F635" s="4">
        <v>0</v>
      </c>
      <c r="G635" s="4">
        <f t="shared" si="19"/>
        <v>-92</v>
      </c>
    </row>
    <row r="636" spans="5:7" x14ac:dyDescent="0.25">
      <c r="E636" s="4">
        <v>-91</v>
      </c>
      <c r="F636" s="4">
        <v>0</v>
      </c>
      <c r="G636" s="4">
        <f t="shared" si="19"/>
        <v>-91</v>
      </c>
    </row>
    <row r="637" spans="5:7" x14ac:dyDescent="0.25">
      <c r="E637" s="4">
        <v>-90</v>
      </c>
      <c r="F637" s="4">
        <v>0</v>
      </c>
      <c r="G637" s="4">
        <f t="shared" si="19"/>
        <v>-90</v>
      </c>
    </row>
    <row r="638" spans="5:7" x14ac:dyDescent="0.25">
      <c r="E638" s="4">
        <v>-89</v>
      </c>
      <c r="F638" s="4">
        <v>0</v>
      </c>
      <c r="G638" s="4">
        <f t="shared" ref="G638:G701" si="20">ROUND(E638+F638,0)</f>
        <v>-89</v>
      </c>
    </row>
    <row r="639" spans="5:7" x14ac:dyDescent="0.25">
      <c r="E639" s="4">
        <v>-88</v>
      </c>
      <c r="F639" s="4">
        <v>0</v>
      </c>
      <c r="G639" s="4">
        <f t="shared" si="20"/>
        <v>-88</v>
      </c>
    </row>
    <row r="640" spans="5:7" x14ac:dyDescent="0.25">
      <c r="E640" s="4">
        <v>-87</v>
      </c>
      <c r="F640" s="4">
        <v>0</v>
      </c>
      <c r="G640" s="4">
        <f t="shared" si="20"/>
        <v>-87</v>
      </c>
    </row>
    <row r="641" spans="5:7" x14ac:dyDescent="0.25">
      <c r="E641" s="4">
        <v>-86</v>
      </c>
      <c r="F641" s="4">
        <v>0</v>
      </c>
      <c r="G641" s="4">
        <f t="shared" si="20"/>
        <v>-86</v>
      </c>
    </row>
    <row r="642" spans="5:7" x14ac:dyDescent="0.25">
      <c r="E642" s="4">
        <v>-85</v>
      </c>
      <c r="F642" s="4">
        <v>0</v>
      </c>
      <c r="G642" s="4">
        <f t="shared" si="20"/>
        <v>-85</v>
      </c>
    </row>
    <row r="643" spans="5:7" x14ac:dyDescent="0.25">
      <c r="E643" s="4">
        <v>-84</v>
      </c>
      <c r="F643" s="4">
        <v>0</v>
      </c>
      <c r="G643" s="4">
        <f t="shared" si="20"/>
        <v>-84</v>
      </c>
    </row>
    <row r="644" spans="5:7" x14ac:dyDescent="0.25">
      <c r="E644" s="4">
        <v>-83</v>
      </c>
      <c r="F644" s="4">
        <v>0</v>
      </c>
      <c r="G644" s="4">
        <f t="shared" si="20"/>
        <v>-83</v>
      </c>
    </row>
    <row r="645" spans="5:7" x14ac:dyDescent="0.25">
      <c r="E645" s="4">
        <v>-82</v>
      </c>
      <c r="F645" s="4">
        <v>0</v>
      </c>
      <c r="G645" s="4">
        <f t="shared" si="20"/>
        <v>-82</v>
      </c>
    </row>
    <row r="646" spans="5:7" x14ac:dyDescent="0.25">
      <c r="E646" s="4">
        <v>-81</v>
      </c>
      <c r="F646" s="4">
        <v>0</v>
      </c>
      <c r="G646" s="4">
        <f t="shared" si="20"/>
        <v>-81</v>
      </c>
    </row>
    <row r="647" spans="5:7" x14ac:dyDescent="0.25">
      <c r="E647" s="4">
        <v>-80</v>
      </c>
      <c r="F647" s="4">
        <v>0</v>
      </c>
      <c r="G647" s="4">
        <f t="shared" si="20"/>
        <v>-80</v>
      </c>
    </row>
    <row r="648" spans="5:7" x14ac:dyDescent="0.25">
      <c r="E648" s="4">
        <v>-79</v>
      </c>
      <c r="F648" s="4">
        <v>0</v>
      </c>
      <c r="G648" s="4">
        <f t="shared" si="20"/>
        <v>-79</v>
      </c>
    </row>
    <row r="649" spans="5:7" x14ac:dyDescent="0.25">
      <c r="E649" s="4">
        <v>-78</v>
      </c>
      <c r="F649" s="4">
        <v>0</v>
      </c>
      <c r="G649" s="4">
        <f t="shared" si="20"/>
        <v>-78</v>
      </c>
    </row>
    <row r="650" spans="5:7" x14ac:dyDescent="0.25">
      <c r="E650" s="4">
        <v>-77</v>
      </c>
      <c r="F650" s="4">
        <v>0</v>
      </c>
      <c r="G650" s="4">
        <f t="shared" si="20"/>
        <v>-77</v>
      </c>
    </row>
    <row r="651" spans="5:7" x14ac:dyDescent="0.25">
      <c r="E651" s="4">
        <v>-76</v>
      </c>
      <c r="F651" s="4">
        <v>0</v>
      </c>
      <c r="G651" s="4">
        <f t="shared" si="20"/>
        <v>-76</v>
      </c>
    </row>
    <row r="652" spans="5:7" x14ac:dyDescent="0.25">
      <c r="E652" s="4">
        <v>-75</v>
      </c>
      <c r="F652" s="4">
        <v>0</v>
      </c>
      <c r="G652" s="4">
        <f t="shared" si="20"/>
        <v>-75</v>
      </c>
    </row>
    <row r="653" spans="5:7" x14ac:dyDescent="0.25">
      <c r="E653" s="4">
        <v>-74</v>
      </c>
      <c r="F653" s="4">
        <v>0</v>
      </c>
      <c r="G653" s="4">
        <f t="shared" si="20"/>
        <v>-74</v>
      </c>
    </row>
    <row r="654" spans="5:7" x14ac:dyDescent="0.25">
      <c r="E654" s="4">
        <v>-73</v>
      </c>
      <c r="F654" s="4">
        <v>0</v>
      </c>
      <c r="G654" s="4">
        <f t="shared" si="20"/>
        <v>-73</v>
      </c>
    </row>
    <row r="655" spans="5:7" x14ac:dyDescent="0.25">
      <c r="E655" s="4">
        <v>-72</v>
      </c>
      <c r="F655" s="4">
        <v>0</v>
      </c>
      <c r="G655" s="4">
        <f t="shared" si="20"/>
        <v>-72</v>
      </c>
    </row>
    <row r="656" spans="5:7" x14ac:dyDescent="0.25">
      <c r="E656" s="4">
        <v>-71</v>
      </c>
      <c r="F656" s="4">
        <v>0</v>
      </c>
      <c r="G656" s="4">
        <f t="shared" si="20"/>
        <v>-71</v>
      </c>
    </row>
    <row r="657" spans="5:7" x14ac:dyDescent="0.25">
      <c r="E657" s="4">
        <v>-70</v>
      </c>
      <c r="F657" s="4">
        <v>0</v>
      </c>
      <c r="G657" s="4">
        <f t="shared" si="20"/>
        <v>-70</v>
      </c>
    </row>
    <row r="658" spans="5:7" x14ac:dyDescent="0.25">
      <c r="E658" s="4">
        <v>-69</v>
      </c>
      <c r="F658" s="4">
        <v>0</v>
      </c>
      <c r="G658" s="4">
        <f t="shared" si="20"/>
        <v>-69</v>
      </c>
    </row>
    <row r="659" spans="5:7" x14ac:dyDescent="0.25">
      <c r="E659" s="4">
        <v>-68</v>
      </c>
      <c r="F659" s="4">
        <v>0</v>
      </c>
      <c r="G659" s="4">
        <f t="shared" si="20"/>
        <v>-68</v>
      </c>
    </row>
    <row r="660" spans="5:7" x14ac:dyDescent="0.25">
      <c r="E660" s="4">
        <v>-67</v>
      </c>
      <c r="F660" s="4">
        <v>0</v>
      </c>
      <c r="G660" s="4">
        <f t="shared" si="20"/>
        <v>-67</v>
      </c>
    </row>
    <row r="661" spans="5:7" x14ac:dyDescent="0.25">
      <c r="E661" s="4">
        <v>-66</v>
      </c>
      <c r="F661" s="4">
        <v>0</v>
      </c>
      <c r="G661" s="4">
        <f t="shared" si="20"/>
        <v>-66</v>
      </c>
    </row>
    <row r="662" spans="5:7" x14ac:dyDescent="0.25">
      <c r="E662" s="4">
        <v>-65</v>
      </c>
      <c r="F662" s="4">
        <v>0</v>
      </c>
      <c r="G662" s="4">
        <f t="shared" si="20"/>
        <v>-65</v>
      </c>
    </row>
    <row r="663" spans="5:7" x14ac:dyDescent="0.25">
      <c r="E663" s="4">
        <v>-64</v>
      </c>
      <c r="F663" s="4">
        <v>0</v>
      </c>
      <c r="G663" s="4">
        <f t="shared" si="20"/>
        <v>-64</v>
      </c>
    </row>
    <row r="664" spans="5:7" x14ac:dyDescent="0.25">
      <c r="E664" s="4">
        <v>-63</v>
      </c>
      <c r="F664" s="4">
        <v>0</v>
      </c>
      <c r="G664" s="4">
        <f t="shared" si="20"/>
        <v>-63</v>
      </c>
    </row>
    <row r="665" spans="5:7" x14ac:dyDescent="0.25">
      <c r="E665" s="4">
        <v>-62</v>
      </c>
      <c r="F665" s="4">
        <v>0</v>
      </c>
      <c r="G665" s="4">
        <f t="shared" si="20"/>
        <v>-62</v>
      </c>
    </row>
    <row r="666" spans="5:7" x14ac:dyDescent="0.25">
      <c r="E666" s="4">
        <v>-61</v>
      </c>
      <c r="F666" s="4">
        <v>0</v>
      </c>
      <c r="G666" s="4">
        <f t="shared" si="20"/>
        <v>-61</v>
      </c>
    </row>
    <row r="667" spans="5:7" x14ac:dyDescent="0.25">
      <c r="E667" s="4">
        <v>-60</v>
      </c>
      <c r="F667" s="4">
        <v>0</v>
      </c>
      <c r="G667" s="4">
        <f t="shared" si="20"/>
        <v>-60</v>
      </c>
    </row>
    <row r="668" spans="5:7" x14ac:dyDescent="0.25">
      <c r="E668" s="4">
        <v>-59</v>
      </c>
      <c r="F668" s="4">
        <v>0</v>
      </c>
      <c r="G668" s="4">
        <f t="shared" si="20"/>
        <v>-59</v>
      </c>
    </row>
    <row r="669" spans="5:7" x14ac:dyDescent="0.25">
      <c r="E669" s="4">
        <v>-58</v>
      </c>
      <c r="F669" s="4">
        <v>0</v>
      </c>
      <c r="G669" s="4">
        <f t="shared" si="20"/>
        <v>-58</v>
      </c>
    </row>
    <row r="670" spans="5:7" x14ac:dyDescent="0.25">
      <c r="E670" s="4">
        <v>-57</v>
      </c>
      <c r="F670" s="4">
        <v>0</v>
      </c>
      <c r="G670" s="4">
        <f t="shared" si="20"/>
        <v>-57</v>
      </c>
    </row>
    <row r="671" spans="5:7" x14ac:dyDescent="0.25">
      <c r="E671" s="4">
        <v>-56</v>
      </c>
      <c r="F671" s="4">
        <v>0</v>
      </c>
      <c r="G671" s="4">
        <f t="shared" si="20"/>
        <v>-56</v>
      </c>
    </row>
    <row r="672" spans="5:7" x14ac:dyDescent="0.25">
      <c r="E672" s="4">
        <v>-55</v>
      </c>
      <c r="F672" s="4">
        <v>0</v>
      </c>
      <c r="G672" s="4">
        <f t="shared" si="20"/>
        <v>-55</v>
      </c>
    </row>
    <row r="673" spans="5:7" x14ac:dyDescent="0.25">
      <c r="E673" s="4">
        <v>-54</v>
      </c>
      <c r="F673" s="4">
        <v>0</v>
      </c>
      <c r="G673" s="4">
        <f t="shared" si="20"/>
        <v>-54</v>
      </c>
    </row>
    <row r="674" spans="5:7" x14ac:dyDescent="0.25">
      <c r="E674" s="4">
        <v>-53</v>
      </c>
      <c r="F674" s="4">
        <v>0</v>
      </c>
      <c r="G674" s="4">
        <f t="shared" si="20"/>
        <v>-53</v>
      </c>
    </row>
    <row r="675" spans="5:7" x14ac:dyDescent="0.25">
      <c r="E675" s="4">
        <v>-52</v>
      </c>
      <c r="F675" s="4">
        <v>0</v>
      </c>
      <c r="G675" s="4">
        <f t="shared" si="20"/>
        <v>-52</v>
      </c>
    </row>
    <row r="676" spans="5:7" x14ac:dyDescent="0.25">
      <c r="E676" s="4">
        <v>-51</v>
      </c>
      <c r="F676" s="4">
        <v>0</v>
      </c>
      <c r="G676" s="4">
        <f t="shared" si="20"/>
        <v>-51</v>
      </c>
    </row>
    <row r="677" spans="5:7" x14ac:dyDescent="0.25">
      <c r="E677" s="4">
        <v>-50</v>
      </c>
      <c r="F677" s="4">
        <v>0</v>
      </c>
      <c r="G677" s="4">
        <f t="shared" si="20"/>
        <v>-50</v>
      </c>
    </row>
    <row r="678" spans="5:7" x14ac:dyDescent="0.25">
      <c r="E678" s="4">
        <v>-49</v>
      </c>
      <c r="F678" s="4">
        <v>0</v>
      </c>
      <c r="G678" s="4">
        <f t="shared" si="20"/>
        <v>-49</v>
      </c>
    </row>
    <row r="679" spans="5:7" x14ac:dyDescent="0.25">
      <c r="E679" s="4">
        <v>-48</v>
      </c>
      <c r="F679" s="4">
        <v>0</v>
      </c>
      <c r="G679" s="4">
        <f t="shared" si="20"/>
        <v>-48</v>
      </c>
    </row>
    <row r="680" spans="5:7" x14ac:dyDescent="0.25">
      <c r="E680" s="4">
        <v>-47</v>
      </c>
      <c r="F680" s="4">
        <v>0</v>
      </c>
      <c r="G680" s="4">
        <f t="shared" si="20"/>
        <v>-47</v>
      </c>
    </row>
    <row r="681" spans="5:7" x14ac:dyDescent="0.25">
      <c r="E681" s="4">
        <v>-46</v>
      </c>
      <c r="F681" s="4">
        <v>0</v>
      </c>
      <c r="G681" s="4">
        <f t="shared" si="20"/>
        <v>-46</v>
      </c>
    </row>
    <row r="682" spans="5:7" x14ac:dyDescent="0.25">
      <c r="E682" s="4">
        <v>-45</v>
      </c>
      <c r="F682" s="4">
        <v>0</v>
      </c>
      <c r="G682" s="4">
        <f t="shared" si="20"/>
        <v>-45</v>
      </c>
    </row>
    <row r="683" spans="5:7" x14ac:dyDescent="0.25">
      <c r="E683" s="4">
        <v>-44</v>
      </c>
      <c r="F683" s="4">
        <v>0</v>
      </c>
      <c r="G683" s="4">
        <f t="shared" si="20"/>
        <v>-44</v>
      </c>
    </row>
    <row r="684" spans="5:7" x14ac:dyDescent="0.25">
      <c r="E684" s="4">
        <v>-43</v>
      </c>
      <c r="F684" s="4">
        <v>0</v>
      </c>
      <c r="G684" s="4">
        <f t="shared" si="20"/>
        <v>-43</v>
      </c>
    </row>
    <row r="685" spans="5:7" x14ac:dyDescent="0.25">
      <c r="E685" s="4">
        <v>-42</v>
      </c>
      <c r="F685" s="4">
        <v>0</v>
      </c>
      <c r="G685" s="4">
        <f t="shared" si="20"/>
        <v>-42</v>
      </c>
    </row>
    <row r="686" spans="5:7" x14ac:dyDescent="0.25">
      <c r="E686" s="4">
        <v>-41</v>
      </c>
      <c r="F686" s="4">
        <v>0</v>
      </c>
      <c r="G686" s="4">
        <f t="shared" si="20"/>
        <v>-41</v>
      </c>
    </row>
    <row r="687" spans="5:7" x14ac:dyDescent="0.25">
      <c r="E687" s="4">
        <v>-40</v>
      </c>
      <c r="F687" s="4">
        <v>0</v>
      </c>
      <c r="G687" s="4">
        <f t="shared" si="20"/>
        <v>-40</v>
      </c>
    </row>
    <row r="688" spans="5:7" x14ac:dyDescent="0.25">
      <c r="E688" s="4">
        <v>-39</v>
      </c>
      <c r="F688" s="4">
        <v>0</v>
      </c>
      <c r="G688" s="4">
        <f t="shared" si="20"/>
        <v>-39</v>
      </c>
    </row>
    <row r="689" spans="5:7" x14ac:dyDescent="0.25">
      <c r="E689" s="4">
        <v>-38</v>
      </c>
      <c r="F689" s="4">
        <v>0</v>
      </c>
      <c r="G689" s="4">
        <f t="shared" si="20"/>
        <v>-38</v>
      </c>
    </row>
    <row r="690" spans="5:7" x14ac:dyDescent="0.25">
      <c r="E690" s="4">
        <v>-37</v>
      </c>
      <c r="F690" s="4">
        <v>0</v>
      </c>
      <c r="G690" s="4">
        <f t="shared" si="20"/>
        <v>-37</v>
      </c>
    </row>
    <row r="691" spans="5:7" x14ac:dyDescent="0.25">
      <c r="E691" s="4">
        <v>-36</v>
      </c>
      <c r="F691" s="4">
        <v>0</v>
      </c>
      <c r="G691" s="4">
        <f t="shared" si="20"/>
        <v>-36</v>
      </c>
    </row>
    <row r="692" spans="5:7" x14ac:dyDescent="0.25">
      <c r="E692" s="4">
        <v>-35</v>
      </c>
      <c r="F692" s="4">
        <v>0</v>
      </c>
      <c r="G692" s="4">
        <f t="shared" si="20"/>
        <v>-35</v>
      </c>
    </row>
    <row r="693" spans="5:7" x14ac:dyDescent="0.25">
      <c r="E693" s="4">
        <v>-34</v>
      </c>
      <c r="F693" s="4">
        <v>0</v>
      </c>
      <c r="G693" s="4">
        <f t="shared" si="20"/>
        <v>-34</v>
      </c>
    </row>
    <row r="694" spans="5:7" x14ac:dyDescent="0.25">
      <c r="E694" s="4">
        <v>-33</v>
      </c>
      <c r="F694" s="4">
        <v>0</v>
      </c>
      <c r="G694" s="4">
        <f t="shared" si="20"/>
        <v>-33</v>
      </c>
    </row>
    <row r="695" spans="5:7" x14ac:dyDescent="0.25">
      <c r="E695" s="4">
        <v>-32</v>
      </c>
      <c r="F695" s="4">
        <v>0</v>
      </c>
      <c r="G695" s="4">
        <f t="shared" si="20"/>
        <v>-32</v>
      </c>
    </row>
    <row r="696" spans="5:7" x14ac:dyDescent="0.25">
      <c r="E696" s="4">
        <v>-31</v>
      </c>
      <c r="F696" s="4">
        <v>0</v>
      </c>
      <c r="G696" s="4">
        <f t="shared" si="20"/>
        <v>-31</v>
      </c>
    </row>
    <row r="697" spans="5:7" x14ac:dyDescent="0.25">
      <c r="E697" s="4">
        <v>-30</v>
      </c>
      <c r="F697" s="4">
        <v>0</v>
      </c>
      <c r="G697" s="4">
        <f t="shared" si="20"/>
        <v>-30</v>
      </c>
    </row>
    <row r="698" spans="5:7" x14ac:dyDescent="0.25">
      <c r="E698" s="4">
        <v>-29</v>
      </c>
      <c r="F698" s="4">
        <v>0</v>
      </c>
      <c r="G698" s="4">
        <f t="shared" si="20"/>
        <v>-29</v>
      </c>
    </row>
    <row r="699" spans="5:7" x14ac:dyDescent="0.25">
      <c r="E699" s="4">
        <v>-28</v>
      </c>
      <c r="F699" s="4">
        <v>0</v>
      </c>
      <c r="G699" s="4">
        <f t="shared" si="20"/>
        <v>-28</v>
      </c>
    </row>
    <row r="700" spans="5:7" x14ac:dyDescent="0.25">
      <c r="E700" s="4">
        <v>-27</v>
      </c>
      <c r="F700" s="4">
        <v>0</v>
      </c>
      <c r="G700" s="4">
        <f t="shared" si="20"/>
        <v>-27</v>
      </c>
    </row>
    <row r="701" spans="5:7" x14ac:dyDescent="0.25">
      <c r="E701" s="4">
        <v>-26</v>
      </c>
      <c r="F701" s="4">
        <v>0</v>
      </c>
      <c r="G701" s="4">
        <f t="shared" si="20"/>
        <v>-26</v>
      </c>
    </row>
    <row r="702" spans="5:7" x14ac:dyDescent="0.25">
      <c r="E702" s="4">
        <v>-25</v>
      </c>
      <c r="F702" s="4">
        <v>0</v>
      </c>
      <c r="G702" s="4">
        <f t="shared" ref="G702:G765" si="21">ROUND(E702+F702,0)</f>
        <v>-25</v>
      </c>
    </row>
    <row r="703" spans="5:7" x14ac:dyDescent="0.25">
      <c r="E703" s="4">
        <v>-24</v>
      </c>
      <c r="F703" s="4">
        <v>0</v>
      </c>
      <c r="G703" s="4">
        <f t="shared" si="21"/>
        <v>-24</v>
      </c>
    </row>
    <row r="704" spans="5:7" x14ac:dyDescent="0.25">
      <c r="E704" s="4">
        <v>-23</v>
      </c>
      <c r="F704" s="4">
        <v>0</v>
      </c>
      <c r="G704" s="4">
        <f t="shared" si="21"/>
        <v>-23</v>
      </c>
    </row>
    <row r="705" spans="5:7" x14ac:dyDescent="0.25">
      <c r="E705" s="4">
        <v>-22</v>
      </c>
      <c r="F705" s="4">
        <v>0</v>
      </c>
      <c r="G705" s="4">
        <f t="shared" si="21"/>
        <v>-22</v>
      </c>
    </row>
    <row r="706" spans="5:7" x14ac:dyDescent="0.25">
      <c r="E706" s="4">
        <v>-21</v>
      </c>
      <c r="F706" s="4">
        <v>0</v>
      </c>
      <c r="G706" s="4">
        <f t="shared" si="21"/>
        <v>-21</v>
      </c>
    </row>
    <row r="707" spans="5:7" x14ac:dyDescent="0.25">
      <c r="E707" s="4">
        <v>-20</v>
      </c>
      <c r="F707" s="4">
        <v>0</v>
      </c>
      <c r="G707" s="4">
        <f t="shared" si="21"/>
        <v>-20</v>
      </c>
    </row>
    <row r="708" spans="5:7" x14ac:dyDescent="0.25">
      <c r="E708" s="4">
        <v>-19</v>
      </c>
      <c r="F708" s="4">
        <v>0</v>
      </c>
      <c r="G708" s="4">
        <f t="shared" si="21"/>
        <v>-19</v>
      </c>
    </row>
    <row r="709" spans="5:7" x14ac:dyDescent="0.25">
      <c r="E709" s="4">
        <v>-18</v>
      </c>
      <c r="F709" s="4">
        <v>0</v>
      </c>
      <c r="G709" s="4">
        <f t="shared" si="21"/>
        <v>-18</v>
      </c>
    </row>
    <row r="710" spans="5:7" x14ac:dyDescent="0.25">
      <c r="E710" s="4">
        <v>-17</v>
      </c>
      <c r="F710" s="4">
        <v>0</v>
      </c>
      <c r="G710" s="4">
        <f t="shared" si="21"/>
        <v>-17</v>
      </c>
    </row>
    <row r="711" spans="5:7" x14ac:dyDescent="0.25">
      <c r="E711" s="4">
        <v>-16</v>
      </c>
      <c r="F711" s="4">
        <v>0</v>
      </c>
      <c r="G711" s="4">
        <f t="shared" si="21"/>
        <v>-16</v>
      </c>
    </row>
    <row r="712" spans="5:7" x14ac:dyDescent="0.25">
      <c r="E712" s="4">
        <v>-15</v>
      </c>
      <c r="F712" s="4">
        <v>0</v>
      </c>
      <c r="G712" s="4">
        <f t="shared" si="21"/>
        <v>-15</v>
      </c>
    </row>
    <row r="713" spans="5:7" x14ac:dyDescent="0.25">
      <c r="E713" s="4">
        <v>-14</v>
      </c>
      <c r="F713" s="4">
        <v>0</v>
      </c>
      <c r="G713" s="4">
        <f t="shared" si="21"/>
        <v>-14</v>
      </c>
    </row>
    <row r="714" spans="5:7" x14ac:dyDescent="0.25">
      <c r="E714" s="4">
        <v>-13</v>
      </c>
      <c r="F714" s="4">
        <v>0</v>
      </c>
      <c r="G714" s="4">
        <f t="shared" si="21"/>
        <v>-13</v>
      </c>
    </row>
    <row r="715" spans="5:7" x14ac:dyDescent="0.25">
      <c r="E715" s="4">
        <v>-12</v>
      </c>
      <c r="F715" s="4">
        <v>0</v>
      </c>
      <c r="G715" s="4">
        <f t="shared" si="21"/>
        <v>-12</v>
      </c>
    </row>
    <row r="716" spans="5:7" x14ac:dyDescent="0.25">
      <c r="E716" s="4">
        <v>-11</v>
      </c>
      <c r="F716" s="4">
        <v>0</v>
      </c>
      <c r="G716" s="4">
        <f t="shared" si="21"/>
        <v>-11</v>
      </c>
    </row>
    <row r="717" spans="5:7" x14ac:dyDescent="0.25">
      <c r="E717" s="4">
        <v>-10</v>
      </c>
      <c r="F717" s="4">
        <v>0</v>
      </c>
      <c r="G717" s="4">
        <f t="shared" si="21"/>
        <v>-10</v>
      </c>
    </row>
    <row r="718" spans="5:7" x14ac:dyDescent="0.25">
      <c r="E718" s="4">
        <v>-9</v>
      </c>
      <c r="F718" s="4">
        <v>0</v>
      </c>
      <c r="G718" s="4">
        <f t="shared" si="21"/>
        <v>-9</v>
      </c>
    </row>
    <row r="719" spans="5:7" x14ac:dyDescent="0.25">
      <c r="E719" s="4">
        <v>-8</v>
      </c>
      <c r="F719" s="4">
        <v>0</v>
      </c>
      <c r="G719" s="4">
        <f t="shared" si="21"/>
        <v>-8</v>
      </c>
    </row>
    <row r="720" spans="5:7" x14ac:dyDescent="0.25">
      <c r="E720" s="4">
        <v>-7</v>
      </c>
      <c r="F720" s="4">
        <v>0</v>
      </c>
      <c r="G720" s="4">
        <f t="shared" si="21"/>
        <v>-7</v>
      </c>
    </row>
    <row r="721" spans="5:7" x14ac:dyDescent="0.25">
      <c r="E721" s="4">
        <v>-6</v>
      </c>
      <c r="F721" s="4">
        <v>0</v>
      </c>
      <c r="G721" s="4">
        <f t="shared" si="21"/>
        <v>-6</v>
      </c>
    </row>
    <row r="722" spans="5:7" x14ac:dyDescent="0.25">
      <c r="E722" s="4">
        <v>-5</v>
      </c>
      <c r="F722" s="4">
        <v>0</v>
      </c>
      <c r="G722" s="4">
        <f t="shared" si="21"/>
        <v>-5</v>
      </c>
    </row>
    <row r="723" spans="5:7" x14ac:dyDescent="0.25">
      <c r="E723" s="4">
        <v>-4</v>
      </c>
      <c r="F723" s="4">
        <v>0</v>
      </c>
      <c r="G723" s="4">
        <f t="shared" si="21"/>
        <v>-4</v>
      </c>
    </row>
    <row r="724" spans="5:7" x14ac:dyDescent="0.25">
      <c r="E724" s="4">
        <v>-3</v>
      </c>
      <c r="F724" s="4">
        <v>0</v>
      </c>
      <c r="G724" s="4">
        <f t="shared" si="21"/>
        <v>-3</v>
      </c>
    </row>
    <row r="725" spans="5:7" x14ac:dyDescent="0.25">
      <c r="E725" s="4">
        <v>-2</v>
      </c>
      <c r="F725" s="4">
        <v>0</v>
      </c>
      <c r="G725" s="4">
        <f t="shared" si="21"/>
        <v>-2</v>
      </c>
    </row>
    <row r="726" spans="5:7" x14ac:dyDescent="0.25">
      <c r="E726" s="4">
        <v>-1</v>
      </c>
      <c r="F726" s="4">
        <v>0</v>
      </c>
      <c r="G726" s="4">
        <f t="shared" si="21"/>
        <v>-1</v>
      </c>
    </row>
    <row r="727" spans="5:7" x14ac:dyDescent="0.25">
      <c r="E727" s="4">
        <v>0</v>
      </c>
      <c r="F727" s="4">
        <v>0</v>
      </c>
      <c r="G727" s="4">
        <f t="shared" si="21"/>
        <v>0</v>
      </c>
    </row>
    <row r="728" spans="5:7" x14ac:dyDescent="0.25">
      <c r="E728" s="4">
        <v>1</v>
      </c>
      <c r="F728" s="4">
        <v>0</v>
      </c>
      <c r="G728" s="4">
        <f t="shared" si="21"/>
        <v>1</v>
      </c>
    </row>
    <row r="729" spans="5:7" x14ac:dyDescent="0.25">
      <c r="E729" s="4">
        <v>2</v>
      </c>
      <c r="F729" s="4">
        <v>0</v>
      </c>
      <c r="G729" s="4">
        <f t="shared" si="21"/>
        <v>2</v>
      </c>
    </row>
    <row r="730" spans="5:7" x14ac:dyDescent="0.25">
      <c r="E730" s="4">
        <v>3</v>
      </c>
      <c r="F730" s="4">
        <v>0</v>
      </c>
      <c r="G730" s="4">
        <f t="shared" si="21"/>
        <v>3</v>
      </c>
    </row>
    <row r="731" spans="5:7" x14ac:dyDescent="0.25">
      <c r="E731" s="4">
        <v>4</v>
      </c>
      <c r="F731" s="4">
        <v>0</v>
      </c>
      <c r="G731" s="4">
        <f t="shared" si="21"/>
        <v>4</v>
      </c>
    </row>
    <row r="732" spans="5:7" x14ac:dyDescent="0.25">
      <c r="E732" s="4">
        <v>5</v>
      </c>
      <c r="F732" s="4">
        <v>0</v>
      </c>
      <c r="G732" s="4">
        <f t="shared" si="21"/>
        <v>5</v>
      </c>
    </row>
    <row r="733" spans="5:7" x14ac:dyDescent="0.25">
      <c r="E733" s="4">
        <v>6</v>
      </c>
      <c r="F733" s="4">
        <v>0</v>
      </c>
      <c r="G733" s="4">
        <f t="shared" si="21"/>
        <v>6</v>
      </c>
    </row>
    <row r="734" spans="5:7" x14ac:dyDescent="0.25">
      <c r="E734" s="4">
        <v>7</v>
      </c>
      <c r="F734" s="4">
        <v>0</v>
      </c>
      <c r="G734" s="4">
        <f t="shared" si="21"/>
        <v>7</v>
      </c>
    </row>
    <row r="735" spans="5:7" x14ac:dyDescent="0.25">
      <c r="E735" s="4">
        <v>8</v>
      </c>
      <c r="F735" s="4">
        <v>0</v>
      </c>
      <c r="G735" s="4">
        <f t="shared" si="21"/>
        <v>8</v>
      </c>
    </row>
    <row r="736" spans="5:7" x14ac:dyDescent="0.25">
      <c r="E736" s="4">
        <v>9</v>
      </c>
      <c r="F736" s="4">
        <v>0</v>
      </c>
      <c r="G736" s="4">
        <f t="shared" si="21"/>
        <v>9</v>
      </c>
    </row>
    <row r="737" spans="5:7" x14ac:dyDescent="0.25">
      <c r="E737" s="4">
        <v>10</v>
      </c>
      <c r="F737" s="4">
        <v>0</v>
      </c>
      <c r="G737" s="4">
        <f t="shared" si="21"/>
        <v>10</v>
      </c>
    </row>
    <row r="738" spans="5:7" x14ac:dyDescent="0.25">
      <c r="E738" s="4">
        <v>11</v>
      </c>
      <c r="F738" s="4">
        <v>0</v>
      </c>
      <c r="G738" s="4">
        <f t="shared" si="21"/>
        <v>11</v>
      </c>
    </row>
    <row r="739" spans="5:7" x14ac:dyDescent="0.25">
      <c r="E739" s="4">
        <v>12</v>
      </c>
      <c r="F739" s="4">
        <v>0</v>
      </c>
      <c r="G739" s="4">
        <f t="shared" si="21"/>
        <v>12</v>
      </c>
    </row>
    <row r="740" spans="5:7" x14ac:dyDescent="0.25">
      <c r="E740" s="4">
        <v>13</v>
      </c>
      <c r="F740" s="4">
        <v>0</v>
      </c>
      <c r="G740" s="4">
        <f t="shared" si="21"/>
        <v>13</v>
      </c>
    </row>
    <row r="741" spans="5:7" x14ac:dyDescent="0.25">
      <c r="E741" s="4">
        <v>14</v>
      </c>
      <c r="F741" s="4">
        <v>0</v>
      </c>
      <c r="G741" s="4">
        <f t="shared" si="21"/>
        <v>14</v>
      </c>
    </row>
    <row r="742" spans="5:7" x14ac:dyDescent="0.25">
      <c r="E742" s="4">
        <v>15</v>
      </c>
      <c r="F742" s="4">
        <v>0</v>
      </c>
      <c r="G742" s="4">
        <f t="shared" si="21"/>
        <v>15</v>
      </c>
    </row>
    <row r="743" spans="5:7" x14ac:dyDescent="0.25">
      <c r="E743" s="4">
        <v>16</v>
      </c>
      <c r="F743" s="4">
        <v>0</v>
      </c>
      <c r="G743" s="4">
        <f t="shared" si="21"/>
        <v>16</v>
      </c>
    </row>
    <row r="744" spans="5:7" x14ac:dyDescent="0.25">
      <c r="E744" s="4">
        <v>17</v>
      </c>
      <c r="F744" s="4">
        <v>0</v>
      </c>
      <c r="G744" s="4">
        <f t="shared" si="21"/>
        <v>17</v>
      </c>
    </row>
    <row r="745" spans="5:7" x14ac:dyDescent="0.25">
      <c r="E745" s="4">
        <v>18</v>
      </c>
      <c r="F745" s="4">
        <v>0</v>
      </c>
      <c r="G745" s="4">
        <f t="shared" si="21"/>
        <v>18</v>
      </c>
    </row>
    <row r="746" spans="5:7" x14ac:dyDescent="0.25">
      <c r="E746" s="4">
        <v>19</v>
      </c>
      <c r="F746" s="4">
        <v>0</v>
      </c>
      <c r="G746" s="4">
        <f t="shared" si="21"/>
        <v>19</v>
      </c>
    </row>
    <row r="747" spans="5:7" x14ac:dyDescent="0.25">
      <c r="E747" s="4">
        <v>20</v>
      </c>
      <c r="F747" s="4">
        <v>0</v>
      </c>
      <c r="G747" s="4">
        <f t="shared" si="21"/>
        <v>20</v>
      </c>
    </row>
    <row r="748" spans="5:7" x14ac:dyDescent="0.25">
      <c r="E748" s="4">
        <v>21</v>
      </c>
      <c r="F748" s="4">
        <v>0</v>
      </c>
      <c r="G748" s="4">
        <f t="shared" si="21"/>
        <v>21</v>
      </c>
    </row>
    <row r="749" spans="5:7" x14ac:dyDescent="0.25">
      <c r="E749" s="4">
        <v>22</v>
      </c>
      <c r="F749" s="4">
        <v>0</v>
      </c>
      <c r="G749" s="4">
        <f t="shared" si="21"/>
        <v>22</v>
      </c>
    </row>
    <row r="750" spans="5:7" x14ac:dyDescent="0.25">
      <c r="E750" s="4">
        <v>23</v>
      </c>
      <c r="F750" s="4">
        <v>0</v>
      </c>
      <c r="G750" s="4">
        <f t="shared" si="21"/>
        <v>23</v>
      </c>
    </row>
    <row r="751" spans="5:7" x14ac:dyDescent="0.25">
      <c r="E751" s="4">
        <v>24</v>
      </c>
      <c r="F751" s="4">
        <v>0</v>
      </c>
      <c r="G751" s="4">
        <f t="shared" si="21"/>
        <v>24</v>
      </c>
    </row>
    <row r="752" spans="5:7" x14ac:dyDescent="0.25">
      <c r="E752" s="4">
        <v>25</v>
      </c>
      <c r="F752" s="4">
        <v>0</v>
      </c>
      <c r="G752" s="4">
        <f t="shared" si="21"/>
        <v>25</v>
      </c>
    </row>
    <row r="753" spans="5:7" x14ac:dyDescent="0.25">
      <c r="E753" s="4">
        <v>26</v>
      </c>
      <c r="F753" s="4">
        <v>0</v>
      </c>
      <c r="G753" s="4">
        <f t="shared" si="21"/>
        <v>26</v>
      </c>
    </row>
    <row r="754" spans="5:7" x14ac:dyDescent="0.25">
      <c r="E754" s="4">
        <v>27</v>
      </c>
      <c r="F754" s="4">
        <v>0</v>
      </c>
      <c r="G754" s="4">
        <f t="shared" si="21"/>
        <v>27</v>
      </c>
    </row>
    <row r="755" spans="5:7" x14ac:dyDescent="0.25">
      <c r="E755" s="4">
        <v>28</v>
      </c>
      <c r="F755" s="4">
        <v>0</v>
      </c>
      <c r="G755" s="4">
        <f t="shared" si="21"/>
        <v>28</v>
      </c>
    </row>
    <row r="756" spans="5:7" x14ac:dyDescent="0.25">
      <c r="E756" s="4">
        <v>29</v>
      </c>
      <c r="F756" s="4">
        <v>0</v>
      </c>
      <c r="G756" s="4">
        <f t="shared" si="21"/>
        <v>29</v>
      </c>
    </row>
    <row r="757" spans="5:7" x14ac:dyDescent="0.25">
      <c r="E757" s="4">
        <v>30</v>
      </c>
      <c r="F757" s="4">
        <v>0</v>
      </c>
      <c r="G757" s="4">
        <f t="shared" si="21"/>
        <v>30</v>
      </c>
    </row>
    <row r="758" spans="5:7" x14ac:dyDescent="0.25">
      <c r="E758" s="4">
        <v>31</v>
      </c>
      <c r="F758" s="4">
        <v>0</v>
      </c>
      <c r="G758" s="4">
        <f t="shared" si="21"/>
        <v>31</v>
      </c>
    </row>
    <row r="759" spans="5:7" x14ac:dyDescent="0.25">
      <c r="E759" s="4">
        <v>32</v>
      </c>
      <c r="F759" s="4">
        <v>0</v>
      </c>
      <c r="G759" s="4">
        <f t="shared" si="21"/>
        <v>32</v>
      </c>
    </row>
    <row r="760" spans="5:7" x14ac:dyDescent="0.25">
      <c r="E760" s="4">
        <v>33</v>
      </c>
      <c r="F760" s="4">
        <v>0</v>
      </c>
      <c r="G760" s="4">
        <f t="shared" si="21"/>
        <v>33</v>
      </c>
    </row>
    <row r="761" spans="5:7" x14ac:dyDescent="0.25">
      <c r="E761" s="4">
        <v>34</v>
      </c>
      <c r="F761" s="4">
        <v>0</v>
      </c>
      <c r="G761" s="4">
        <f t="shared" si="21"/>
        <v>34</v>
      </c>
    </row>
    <row r="762" spans="5:7" x14ac:dyDescent="0.25">
      <c r="E762" s="4">
        <v>35</v>
      </c>
      <c r="F762" s="4">
        <v>0</v>
      </c>
      <c r="G762" s="4">
        <f t="shared" si="21"/>
        <v>35</v>
      </c>
    </row>
    <row r="763" spans="5:7" x14ac:dyDescent="0.25">
      <c r="E763" s="4">
        <v>36</v>
      </c>
      <c r="F763" s="4">
        <v>0</v>
      </c>
      <c r="G763" s="4">
        <f t="shared" si="21"/>
        <v>36</v>
      </c>
    </row>
    <row r="764" spans="5:7" x14ac:dyDescent="0.25">
      <c r="E764" s="4">
        <v>37</v>
      </c>
      <c r="F764" s="4">
        <v>0</v>
      </c>
      <c r="G764" s="4">
        <f t="shared" si="21"/>
        <v>37</v>
      </c>
    </row>
    <row r="765" spans="5:7" x14ac:dyDescent="0.25">
      <c r="E765" s="4">
        <v>38</v>
      </c>
      <c r="F765" s="4">
        <v>0</v>
      </c>
      <c r="G765" s="4">
        <f t="shared" si="21"/>
        <v>38</v>
      </c>
    </row>
    <row r="766" spans="5:7" x14ac:dyDescent="0.25">
      <c r="E766" s="4">
        <v>39</v>
      </c>
      <c r="F766" s="4">
        <v>0</v>
      </c>
      <c r="G766" s="4">
        <f t="shared" ref="G766:G829" si="22">ROUND(E766+F766,0)</f>
        <v>39</v>
      </c>
    </row>
    <row r="767" spans="5:7" x14ac:dyDescent="0.25">
      <c r="E767" s="4">
        <v>40</v>
      </c>
      <c r="F767" s="4">
        <v>0</v>
      </c>
      <c r="G767" s="4">
        <f t="shared" si="22"/>
        <v>40</v>
      </c>
    </row>
    <row r="768" spans="5:7" x14ac:dyDescent="0.25">
      <c r="E768" s="4">
        <v>41</v>
      </c>
      <c r="F768" s="4">
        <v>0</v>
      </c>
      <c r="G768" s="4">
        <f t="shared" si="22"/>
        <v>41</v>
      </c>
    </row>
    <row r="769" spans="5:7" x14ac:dyDescent="0.25">
      <c r="E769" s="4">
        <v>42</v>
      </c>
      <c r="F769" s="4">
        <v>0</v>
      </c>
      <c r="G769" s="4">
        <f t="shared" si="22"/>
        <v>42</v>
      </c>
    </row>
    <row r="770" spans="5:7" x14ac:dyDescent="0.25">
      <c r="E770" s="4">
        <v>43</v>
      </c>
      <c r="F770" s="4">
        <v>0</v>
      </c>
      <c r="G770" s="4">
        <f t="shared" si="22"/>
        <v>43</v>
      </c>
    </row>
    <row r="771" spans="5:7" x14ac:dyDescent="0.25">
      <c r="E771" s="4">
        <v>44</v>
      </c>
      <c r="F771" s="4">
        <v>0</v>
      </c>
      <c r="G771" s="4">
        <f t="shared" si="22"/>
        <v>44</v>
      </c>
    </row>
    <row r="772" spans="5:7" x14ac:dyDescent="0.25">
      <c r="E772" s="4">
        <v>45</v>
      </c>
      <c r="F772" s="4">
        <v>0</v>
      </c>
      <c r="G772" s="4">
        <f t="shared" si="22"/>
        <v>45</v>
      </c>
    </row>
    <row r="773" spans="5:7" x14ac:dyDescent="0.25">
      <c r="E773" s="4">
        <v>46</v>
      </c>
      <c r="F773" s="4">
        <v>0</v>
      </c>
      <c r="G773" s="4">
        <f t="shared" si="22"/>
        <v>46</v>
      </c>
    </row>
    <row r="774" spans="5:7" x14ac:dyDescent="0.25">
      <c r="E774" s="4">
        <v>47</v>
      </c>
      <c r="F774" s="4">
        <v>0</v>
      </c>
      <c r="G774" s="4">
        <f t="shared" si="22"/>
        <v>47</v>
      </c>
    </row>
    <row r="775" spans="5:7" x14ac:dyDescent="0.25">
      <c r="E775" s="4">
        <v>48</v>
      </c>
      <c r="F775" s="4">
        <v>0</v>
      </c>
      <c r="G775" s="4">
        <f t="shared" si="22"/>
        <v>48</v>
      </c>
    </row>
    <row r="776" spans="5:7" x14ac:dyDescent="0.25">
      <c r="E776" s="4">
        <v>49</v>
      </c>
      <c r="F776" s="4">
        <v>0</v>
      </c>
      <c r="G776" s="4">
        <f t="shared" si="22"/>
        <v>49</v>
      </c>
    </row>
    <row r="777" spans="5:7" x14ac:dyDescent="0.25">
      <c r="E777" s="4">
        <v>50</v>
      </c>
      <c r="F777" s="4">
        <v>0</v>
      </c>
      <c r="G777" s="4">
        <f t="shared" si="22"/>
        <v>50</v>
      </c>
    </row>
    <row r="778" spans="5:7" x14ac:dyDescent="0.25">
      <c r="E778" s="4">
        <v>51</v>
      </c>
      <c r="F778" s="4">
        <v>0</v>
      </c>
      <c r="G778" s="4">
        <f t="shared" si="22"/>
        <v>51</v>
      </c>
    </row>
    <row r="779" spans="5:7" x14ac:dyDescent="0.25">
      <c r="E779" s="4">
        <v>52</v>
      </c>
      <c r="F779" s="4">
        <v>0</v>
      </c>
      <c r="G779" s="4">
        <f t="shared" si="22"/>
        <v>52</v>
      </c>
    </row>
    <row r="780" spans="5:7" x14ac:dyDescent="0.25">
      <c r="E780" s="4">
        <v>53</v>
      </c>
      <c r="F780" s="4">
        <v>0</v>
      </c>
      <c r="G780" s="4">
        <f t="shared" si="22"/>
        <v>53</v>
      </c>
    </row>
    <row r="781" spans="5:7" x14ac:dyDescent="0.25">
      <c r="E781" s="4">
        <v>54</v>
      </c>
      <c r="F781" s="4">
        <v>0</v>
      </c>
      <c r="G781" s="4">
        <f t="shared" si="22"/>
        <v>54</v>
      </c>
    </row>
    <row r="782" spans="5:7" x14ac:dyDescent="0.25">
      <c r="E782" s="4">
        <v>55</v>
      </c>
      <c r="F782" s="4">
        <v>0</v>
      </c>
      <c r="G782" s="4">
        <f t="shared" si="22"/>
        <v>55</v>
      </c>
    </row>
    <row r="783" spans="5:7" x14ac:dyDescent="0.25">
      <c r="E783" s="4">
        <v>56</v>
      </c>
      <c r="F783" s="4">
        <v>0</v>
      </c>
      <c r="G783" s="4">
        <f t="shared" si="22"/>
        <v>56</v>
      </c>
    </row>
    <row r="784" spans="5:7" x14ac:dyDescent="0.25">
      <c r="E784" s="4">
        <v>57</v>
      </c>
      <c r="F784" s="4">
        <v>0</v>
      </c>
      <c r="G784" s="4">
        <f t="shared" si="22"/>
        <v>57</v>
      </c>
    </row>
    <row r="785" spans="5:7" x14ac:dyDescent="0.25">
      <c r="E785" s="4">
        <v>58</v>
      </c>
      <c r="F785" s="4">
        <v>0</v>
      </c>
      <c r="G785" s="4">
        <f t="shared" si="22"/>
        <v>58</v>
      </c>
    </row>
    <row r="786" spans="5:7" x14ac:dyDescent="0.25">
      <c r="E786" s="4">
        <v>59</v>
      </c>
      <c r="F786" s="4">
        <v>0</v>
      </c>
      <c r="G786" s="4">
        <f t="shared" si="22"/>
        <v>59</v>
      </c>
    </row>
    <row r="787" spans="5:7" x14ac:dyDescent="0.25">
      <c r="E787" s="4">
        <v>60</v>
      </c>
      <c r="F787" s="4">
        <v>0</v>
      </c>
      <c r="G787" s="4">
        <f t="shared" si="22"/>
        <v>60</v>
      </c>
    </row>
    <row r="788" spans="5:7" x14ac:dyDescent="0.25">
      <c r="E788" s="4">
        <v>61</v>
      </c>
      <c r="F788" s="4">
        <v>0</v>
      </c>
      <c r="G788" s="4">
        <f t="shared" si="22"/>
        <v>61</v>
      </c>
    </row>
    <row r="789" spans="5:7" x14ac:dyDescent="0.25">
      <c r="E789" s="4">
        <v>62</v>
      </c>
      <c r="F789" s="4">
        <v>0</v>
      </c>
      <c r="G789" s="4">
        <f t="shared" si="22"/>
        <v>62</v>
      </c>
    </row>
    <row r="790" spans="5:7" x14ac:dyDescent="0.25">
      <c r="E790" s="4">
        <v>63</v>
      </c>
      <c r="F790" s="4">
        <v>0</v>
      </c>
      <c r="G790" s="4">
        <f t="shared" si="22"/>
        <v>63</v>
      </c>
    </row>
    <row r="791" spans="5:7" x14ac:dyDescent="0.25">
      <c r="E791" s="4">
        <v>64</v>
      </c>
      <c r="F791" s="4">
        <v>0</v>
      </c>
      <c r="G791" s="4">
        <f t="shared" si="22"/>
        <v>64</v>
      </c>
    </row>
    <row r="792" spans="5:7" x14ac:dyDescent="0.25">
      <c r="E792" s="4">
        <v>65</v>
      </c>
      <c r="F792" s="4">
        <v>0</v>
      </c>
      <c r="G792" s="4">
        <f t="shared" si="22"/>
        <v>65</v>
      </c>
    </row>
    <row r="793" spans="5:7" x14ac:dyDescent="0.25">
      <c r="E793" s="4">
        <v>66</v>
      </c>
      <c r="F793" s="4">
        <v>0</v>
      </c>
      <c r="G793" s="4">
        <f t="shared" si="22"/>
        <v>66</v>
      </c>
    </row>
    <row r="794" spans="5:7" x14ac:dyDescent="0.25">
      <c r="E794" s="4">
        <v>67</v>
      </c>
      <c r="F794" s="4">
        <v>0</v>
      </c>
      <c r="G794" s="4">
        <f t="shared" si="22"/>
        <v>67</v>
      </c>
    </row>
    <row r="795" spans="5:7" x14ac:dyDescent="0.25">
      <c r="E795" s="4">
        <v>68</v>
      </c>
      <c r="F795" s="4">
        <v>0</v>
      </c>
      <c r="G795" s="4">
        <f t="shared" si="22"/>
        <v>68</v>
      </c>
    </row>
    <row r="796" spans="5:7" x14ac:dyDescent="0.25">
      <c r="E796" s="4">
        <v>69</v>
      </c>
      <c r="F796" s="4">
        <v>0</v>
      </c>
      <c r="G796" s="4">
        <f t="shared" si="22"/>
        <v>69</v>
      </c>
    </row>
    <row r="797" spans="5:7" x14ac:dyDescent="0.25">
      <c r="E797" s="4">
        <v>70</v>
      </c>
      <c r="F797" s="4">
        <v>0</v>
      </c>
      <c r="G797" s="4">
        <f t="shared" si="22"/>
        <v>70</v>
      </c>
    </row>
    <row r="798" spans="5:7" x14ac:dyDescent="0.25">
      <c r="E798" s="4">
        <v>71</v>
      </c>
      <c r="F798" s="4">
        <v>0</v>
      </c>
      <c r="G798" s="4">
        <f t="shared" si="22"/>
        <v>71</v>
      </c>
    </row>
    <row r="799" spans="5:7" x14ac:dyDescent="0.25">
      <c r="E799" s="4">
        <v>72</v>
      </c>
      <c r="F799" s="4">
        <v>0</v>
      </c>
      <c r="G799" s="4">
        <f t="shared" si="22"/>
        <v>72</v>
      </c>
    </row>
    <row r="800" spans="5:7" x14ac:dyDescent="0.25">
      <c r="E800" s="4">
        <v>73</v>
      </c>
      <c r="F800" s="4">
        <v>0</v>
      </c>
      <c r="G800" s="4">
        <f t="shared" si="22"/>
        <v>73</v>
      </c>
    </row>
    <row r="801" spans="5:7" x14ac:dyDescent="0.25">
      <c r="E801" s="4">
        <v>74</v>
      </c>
      <c r="F801" s="4">
        <v>0</v>
      </c>
      <c r="G801" s="4">
        <f t="shared" si="22"/>
        <v>74</v>
      </c>
    </row>
    <row r="802" spans="5:7" x14ac:dyDescent="0.25">
      <c r="E802" s="4">
        <v>75</v>
      </c>
      <c r="F802" s="4">
        <v>0</v>
      </c>
      <c r="G802" s="4">
        <f t="shared" si="22"/>
        <v>75</v>
      </c>
    </row>
    <row r="803" spans="5:7" x14ac:dyDescent="0.25">
      <c r="E803" s="4">
        <v>76</v>
      </c>
      <c r="F803" s="4">
        <v>0</v>
      </c>
      <c r="G803" s="4">
        <f t="shared" si="22"/>
        <v>76</v>
      </c>
    </row>
    <row r="804" spans="5:7" x14ac:dyDescent="0.25">
      <c r="E804" s="4">
        <v>77</v>
      </c>
      <c r="F804" s="4">
        <v>0</v>
      </c>
      <c r="G804" s="4">
        <f t="shared" si="22"/>
        <v>77</v>
      </c>
    </row>
    <row r="805" spans="5:7" x14ac:dyDescent="0.25">
      <c r="E805" s="4">
        <v>78</v>
      </c>
      <c r="F805" s="4">
        <v>0</v>
      </c>
      <c r="G805" s="4">
        <f t="shared" si="22"/>
        <v>78</v>
      </c>
    </row>
    <row r="806" spans="5:7" x14ac:dyDescent="0.25">
      <c r="E806" s="4">
        <v>79</v>
      </c>
      <c r="F806" s="4">
        <v>0</v>
      </c>
      <c r="G806" s="4">
        <f t="shared" si="22"/>
        <v>79</v>
      </c>
    </row>
    <row r="807" spans="5:7" x14ac:dyDescent="0.25">
      <c r="E807" s="4">
        <v>80</v>
      </c>
      <c r="F807" s="4">
        <v>0</v>
      </c>
      <c r="G807" s="4">
        <f t="shared" si="22"/>
        <v>80</v>
      </c>
    </row>
    <row r="808" spans="5:7" x14ac:dyDescent="0.25">
      <c r="E808" s="4">
        <v>81</v>
      </c>
      <c r="F808" s="4">
        <v>0</v>
      </c>
      <c r="G808" s="4">
        <f t="shared" si="22"/>
        <v>81</v>
      </c>
    </row>
    <row r="809" spans="5:7" x14ac:dyDescent="0.25">
      <c r="E809" s="4">
        <v>82</v>
      </c>
      <c r="F809" s="4">
        <v>0</v>
      </c>
      <c r="G809" s="4">
        <f t="shared" si="22"/>
        <v>82</v>
      </c>
    </row>
    <row r="810" spans="5:7" x14ac:dyDescent="0.25">
      <c r="E810" s="4">
        <v>83</v>
      </c>
      <c r="F810" s="4">
        <v>0</v>
      </c>
      <c r="G810" s="4">
        <f t="shared" si="22"/>
        <v>83</v>
      </c>
    </row>
    <row r="811" spans="5:7" x14ac:dyDescent="0.25">
      <c r="E811" s="4">
        <v>84</v>
      </c>
      <c r="F811" s="4">
        <v>0</v>
      </c>
      <c r="G811" s="4">
        <f t="shared" si="22"/>
        <v>84</v>
      </c>
    </row>
    <row r="812" spans="5:7" x14ac:dyDescent="0.25">
      <c r="E812" s="4">
        <v>85</v>
      </c>
      <c r="F812" s="4">
        <v>0</v>
      </c>
      <c r="G812" s="4">
        <f t="shared" si="22"/>
        <v>85</v>
      </c>
    </row>
    <row r="813" spans="5:7" x14ac:dyDescent="0.25">
      <c r="E813" s="4">
        <v>86</v>
      </c>
      <c r="F813" s="4">
        <v>0</v>
      </c>
      <c r="G813" s="4">
        <f t="shared" si="22"/>
        <v>86</v>
      </c>
    </row>
    <row r="814" spans="5:7" x14ac:dyDescent="0.25">
      <c r="E814" s="4">
        <v>87</v>
      </c>
      <c r="F814" s="4">
        <v>0</v>
      </c>
      <c r="G814" s="4">
        <f t="shared" si="22"/>
        <v>87</v>
      </c>
    </row>
    <row r="815" spans="5:7" x14ac:dyDescent="0.25">
      <c r="E815" s="4">
        <v>88</v>
      </c>
      <c r="F815" s="4">
        <v>0</v>
      </c>
      <c r="G815" s="4">
        <f t="shared" si="22"/>
        <v>88</v>
      </c>
    </row>
    <row r="816" spans="5:7" x14ac:dyDescent="0.25">
      <c r="E816" s="4">
        <v>89</v>
      </c>
      <c r="F816" s="4">
        <v>0</v>
      </c>
      <c r="G816" s="4">
        <f t="shared" si="22"/>
        <v>89</v>
      </c>
    </row>
    <row r="817" spans="5:7" x14ac:dyDescent="0.25">
      <c r="E817" s="4">
        <v>90</v>
      </c>
      <c r="F817" s="4">
        <v>0</v>
      </c>
      <c r="G817" s="4">
        <f t="shared" si="22"/>
        <v>90</v>
      </c>
    </row>
    <row r="818" spans="5:7" x14ac:dyDescent="0.25">
      <c r="E818" s="4">
        <v>91</v>
      </c>
      <c r="F818" s="4">
        <v>0</v>
      </c>
      <c r="G818" s="4">
        <f t="shared" si="22"/>
        <v>91</v>
      </c>
    </row>
    <row r="819" spans="5:7" x14ac:dyDescent="0.25">
      <c r="E819" s="4">
        <v>92</v>
      </c>
      <c r="F819" s="4">
        <v>0</v>
      </c>
      <c r="G819" s="4">
        <f t="shared" si="22"/>
        <v>92</v>
      </c>
    </row>
    <row r="820" spans="5:7" x14ac:dyDescent="0.25">
      <c r="E820" s="4">
        <v>93</v>
      </c>
      <c r="F820" s="4">
        <v>0</v>
      </c>
      <c r="G820" s="4">
        <f t="shared" si="22"/>
        <v>93</v>
      </c>
    </row>
    <row r="821" spans="5:7" x14ac:dyDescent="0.25">
      <c r="E821" s="4">
        <v>94</v>
      </c>
      <c r="F821" s="4">
        <v>0</v>
      </c>
      <c r="G821" s="4">
        <f t="shared" si="22"/>
        <v>94</v>
      </c>
    </row>
    <row r="822" spans="5:7" x14ac:dyDescent="0.25">
      <c r="E822" s="4">
        <v>95</v>
      </c>
      <c r="F822" s="4">
        <v>0</v>
      </c>
      <c r="G822" s="4">
        <f t="shared" si="22"/>
        <v>95</v>
      </c>
    </row>
    <row r="823" spans="5:7" x14ac:dyDescent="0.25">
      <c r="E823" s="4">
        <v>96</v>
      </c>
      <c r="F823" s="4">
        <v>0</v>
      </c>
      <c r="G823" s="4">
        <f t="shared" si="22"/>
        <v>96</v>
      </c>
    </row>
    <row r="824" spans="5:7" x14ac:dyDescent="0.25">
      <c r="E824" s="4">
        <v>97</v>
      </c>
      <c r="F824" s="4">
        <v>0</v>
      </c>
      <c r="G824" s="4">
        <f t="shared" si="22"/>
        <v>97</v>
      </c>
    </row>
    <row r="825" spans="5:7" x14ac:dyDescent="0.25">
      <c r="E825" s="4">
        <v>98</v>
      </c>
      <c r="F825" s="4">
        <v>0</v>
      </c>
      <c r="G825" s="4">
        <f t="shared" si="22"/>
        <v>98</v>
      </c>
    </row>
    <row r="826" spans="5:7" x14ac:dyDescent="0.25">
      <c r="E826" s="4">
        <v>99</v>
      </c>
      <c r="F826" s="4">
        <v>0</v>
      </c>
      <c r="G826" s="4">
        <f t="shared" si="22"/>
        <v>99</v>
      </c>
    </row>
    <row r="827" spans="5:7" x14ac:dyDescent="0.25">
      <c r="E827" s="4">
        <v>100</v>
      </c>
      <c r="F827" s="4">
        <v>0</v>
      </c>
      <c r="G827" s="4">
        <f t="shared" si="22"/>
        <v>100</v>
      </c>
    </row>
    <row r="828" spans="5:7" x14ac:dyDescent="0.25">
      <c r="E828" s="4">
        <v>101</v>
      </c>
      <c r="F828" s="4">
        <v>0</v>
      </c>
      <c r="G828" s="4">
        <f t="shared" si="22"/>
        <v>101</v>
      </c>
    </row>
    <row r="829" spans="5:7" x14ac:dyDescent="0.25">
      <c r="E829" s="4">
        <v>102</v>
      </c>
      <c r="F829" s="4">
        <v>0</v>
      </c>
      <c r="G829" s="4">
        <f t="shared" si="22"/>
        <v>102</v>
      </c>
    </row>
    <row r="830" spans="5:7" x14ac:dyDescent="0.25">
      <c r="E830" s="4">
        <v>103</v>
      </c>
      <c r="F830" s="4">
        <v>0</v>
      </c>
      <c r="G830" s="4">
        <f t="shared" ref="G830:G893" si="23">ROUND(E830+F830,0)</f>
        <v>103</v>
      </c>
    </row>
    <row r="831" spans="5:7" x14ac:dyDescent="0.25">
      <c r="E831" s="4">
        <v>104</v>
      </c>
      <c r="F831" s="4">
        <v>0</v>
      </c>
      <c r="G831" s="4">
        <f t="shared" si="23"/>
        <v>104</v>
      </c>
    </row>
    <row r="832" spans="5:7" x14ac:dyDescent="0.25">
      <c r="E832" s="4">
        <v>105</v>
      </c>
      <c r="F832" s="4">
        <v>0</v>
      </c>
      <c r="G832" s="4">
        <f t="shared" si="23"/>
        <v>105</v>
      </c>
    </row>
    <row r="833" spans="5:7" x14ac:dyDescent="0.25">
      <c r="E833" s="4">
        <v>106</v>
      </c>
      <c r="F833" s="4">
        <v>0</v>
      </c>
      <c r="G833" s="4">
        <f t="shared" si="23"/>
        <v>106</v>
      </c>
    </row>
    <row r="834" spans="5:7" x14ac:dyDescent="0.25">
      <c r="E834" s="4">
        <v>107</v>
      </c>
      <c r="F834" s="4">
        <v>0</v>
      </c>
      <c r="G834" s="4">
        <f t="shared" si="23"/>
        <v>107</v>
      </c>
    </row>
    <row r="835" spans="5:7" x14ac:dyDescent="0.25">
      <c r="E835" s="4">
        <v>108</v>
      </c>
      <c r="F835" s="4">
        <v>0</v>
      </c>
      <c r="G835" s="4">
        <f t="shared" si="23"/>
        <v>108</v>
      </c>
    </row>
    <row r="836" spans="5:7" x14ac:dyDescent="0.25">
      <c r="E836" s="4">
        <v>109</v>
      </c>
      <c r="F836" s="4">
        <v>0</v>
      </c>
      <c r="G836" s="4">
        <f t="shared" si="23"/>
        <v>109</v>
      </c>
    </row>
    <row r="837" spans="5:7" x14ac:dyDescent="0.25">
      <c r="E837" s="4">
        <v>110</v>
      </c>
      <c r="F837" s="4">
        <v>0</v>
      </c>
      <c r="G837" s="4">
        <f t="shared" si="23"/>
        <v>110</v>
      </c>
    </row>
    <row r="838" spans="5:7" x14ac:dyDescent="0.25">
      <c r="E838" s="4">
        <v>111</v>
      </c>
      <c r="F838" s="4">
        <v>0</v>
      </c>
      <c r="G838" s="4">
        <f t="shared" si="23"/>
        <v>111</v>
      </c>
    </row>
    <row r="839" spans="5:7" x14ac:dyDescent="0.25">
      <c r="E839" s="4">
        <v>112</v>
      </c>
      <c r="F839" s="4">
        <v>0</v>
      </c>
      <c r="G839" s="4">
        <f t="shared" si="23"/>
        <v>112</v>
      </c>
    </row>
    <row r="840" spans="5:7" x14ac:dyDescent="0.25">
      <c r="E840" s="4">
        <v>113</v>
      </c>
      <c r="F840" s="4">
        <v>0</v>
      </c>
      <c r="G840" s="4">
        <f t="shared" si="23"/>
        <v>113</v>
      </c>
    </row>
    <row r="841" spans="5:7" x14ac:dyDescent="0.25">
      <c r="E841" s="4">
        <v>114</v>
      </c>
      <c r="F841" s="4">
        <v>0</v>
      </c>
      <c r="G841" s="4">
        <f t="shared" si="23"/>
        <v>114</v>
      </c>
    </row>
    <row r="842" spans="5:7" x14ac:dyDescent="0.25">
      <c r="E842" s="4">
        <v>115</v>
      </c>
      <c r="F842" s="4">
        <v>0</v>
      </c>
      <c r="G842" s="4">
        <f t="shared" si="23"/>
        <v>115</v>
      </c>
    </row>
    <row r="843" spans="5:7" x14ac:dyDescent="0.25">
      <c r="E843" s="4">
        <v>116</v>
      </c>
      <c r="F843" s="4">
        <v>0</v>
      </c>
      <c r="G843" s="4">
        <f t="shared" si="23"/>
        <v>116</v>
      </c>
    </row>
    <row r="844" spans="5:7" x14ac:dyDescent="0.25">
      <c r="E844" s="4">
        <v>117</v>
      </c>
      <c r="F844" s="4">
        <v>0</v>
      </c>
      <c r="G844" s="4">
        <f t="shared" si="23"/>
        <v>117</v>
      </c>
    </row>
    <row r="845" spans="5:7" x14ac:dyDescent="0.25">
      <c r="E845" s="4">
        <v>118</v>
      </c>
      <c r="F845" s="4">
        <v>0</v>
      </c>
      <c r="G845" s="4">
        <f t="shared" si="23"/>
        <v>118</v>
      </c>
    </row>
    <row r="846" spans="5:7" x14ac:dyDescent="0.25">
      <c r="E846" s="4">
        <v>119</v>
      </c>
      <c r="F846" s="4">
        <v>0</v>
      </c>
      <c r="G846" s="4">
        <f t="shared" si="23"/>
        <v>119</v>
      </c>
    </row>
    <row r="847" spans="5:7" x14ac:dyDescent="0.25">
      <c r="E847" s="4">
        <v>120</v>
      </c>
      <c r="F847" s="4">
        <v>0</v>
      </c>
      <c r="G847" s="4">
        <f t="shared" si="23"/>
        <v>120</v>
      </c>
    </row>
    <row r="848" spans="5:7" x14ac:dyDescent="0.25">
      <c r="E848" s="4">
        <v>121</v>
      </c>
      <c r="F848" s="4">
        <v>0</v>
      </c>
      <c r="G848" s="4">
        <f t="shared" si="23"/>
        <v>121</v>
      </c>
    </row>
    <row r="849" spans="5:7" x14ac:dyDescent="0.25">
      <c r="E849" s="4">
        <v>122</v>
      </c>
      <c r="F849" s="4">
        <v>0</v>
      </c>
      <c r="G849" s="4">
        <f t="shared" si="23"/>
        <v>122</v>
      </c>
    </row>
    <row r="850" spans="5:7" x14ac:dyDescent="0.25">
      <c r="E850" s="4">
        <v>123</v>
      </c>
      <c r="F850" s="4">
        <v>0</v>
      </c>
      <c r="G850" s="4">
        <f t="shared" si="23"/>
        <v>123</v>
      </c>
    </row>
    <row r="851" spans="5:7" x14ac:dyDescent="0.25">
      <c r="E851" s="4">
        <v>124</v>
      </c>
      <c r="F851" s="4">
        <v>0</v>
      </c>
      <c r="G851" s="4">
        <f t="shared" si="23"/>
        <v>124</v>
      </c>
    </row>
    <row r="852" spans="5:7" x14ac:dyDescent="0.25">
      <c r="E852" s="4">
        <v>125</v>
      </c>
      <c r="F852" s="4">
        <v>0</v>
      </c>
      <c r="G852" s="4">
        <f t="shared" si="23"/>
        <v>125</v>
      </c>
    </row>
    <row r="853" spans="5:7" x14ac:dyDescent="0.25">
      <c r="E853" s="4">
        <v>126</v>
      </c>
      <c r="F853" s="4">
        <v>0</v>
      </c>
      <c r="G853" s="4">
        <f t="shared" si="23"/>
        <v>126</v>
      </c>
    </row>
    <row r="854" spans="5:7" x14ac:dyDescent="0.25">
      <c r="E854" s="4">
        <v>127</v>
      </c>
      <c r="F854" s="4">
        <v>0</v>
      </c>
      <c r="G854" s="4">
        <f t="shared" si="23"/>
        <v>127</v>
      </c>
    </row>
    <row r="855" spans="5:7" x14ac:dyDescent="0.25">
      <c r="E855" s="4">
        <v>128</v>
      </c>
      <c r="F855" s="4">
        <v>0</v>
      </c>
      <c r="G855" s="4">
        <f t="shared" si="23"/>
        <v>128</v>
      </c>
    </row>
    <row r="856" spans="5:7" x14ac:dyDescent="0.25">
      <c r="E856" s="4">
        <v>129</v>
      </c>
      <c r="F856" s="4">
        <v>0</v>
      </c>
      <c r="G856" s="4">
        <f t="shared" si="23"/>
        <v>129</v>
      </c>
    </row>
    <row r="857" spans="5:7" x14ac:dyDescent="0.25">
      <c r="E857" s="4">
        <v>130</v>
      </c>
      <c r="F857" s="4">
        <v>0</v>
      </c>
      <c r="G857" s="4">
        <f t="shared" si="23"/>
        <v>130</v>
      </c>
    </row>
    <row r="858" spans="5:7" x14ac:dyDescent="0.25">
      <c r="E858" s="4">
        <v>131</v>
      </c>
      <c r="F858" s="4">
        <v>0</v>
      </c>
      <c r="G858" s="4">
        <f t="shared" si="23"/>
        <v>131</v>
      </c>
    </row>
    <row r="859" spans="5:7" x14ac:dyDescent="0.25">
      <c r="E859" s="4">
        <v>132</v>
      </c>
      <c r="F859" s="4">
        <v>0</v>
      </c>
      <c r="G859" s="4">
        <f t="shared" si="23"/>
        <v>132</v>
      </c>
    </row>
    <row r="860" spans="5:7" x14ac:dyDescent="0.25">
      <c r="E860" s="4">
        <v>133</v>
      </c>
      <c r="F860" s="4">
        <v>0</v>
      </c>
      <c r="G860" s="4">
        <f t="shared" si="23"/>
        <v>133</v>
      </c>
    </row>
    <row r="861" spans="5:7" x14ac:dyDescent="0.25">
      <c r="E861" s="4">
        <v>134</v>
      </c>
      <c r="F861" s="4">
        <v>0</v>
      </c>
      <c r="G861" s="4">
        <f t="shared" si="23"/>
        <v>134</v>
      </c>
    </row>
    <row r="862" spans="5:7" x14ac:dyDescent="0.25">
      <c r="E862" s="4">
        <v>135</v>
      </c>
      <c r="F862" s="4">
        <v>0</v>
      </c>
      <c r="G862" s="4">
        <f t="shared" si="23"/>
        <v>135</v>
      </c>
    </row>
    <row r="863" spans="5:7" x14ac:dyDescent="0.25">
      <c r="E863" s="4">
        <v>136</v>
      </c>
      <c r="F863" s="4">
        <v>0</v>
      </c>
      <c r="G863" s="4">
        <f t="shared" si="23"/>
        <v>136</v>
      </c>
    </row>
    <row r="864" spans="5:7" x14ac:dyDescent="0.25">
      <c r="E864" s="4">
        <v>137</v>
      </c>
      <c r="F864" s="4">
        <v>0</v>
      </c>
      <c r="G864" s="4">
        <f t="shared" si="23"/>
        <v>137</v>
      </c>
    </row>
    <row r="865" spans="5:7" x14ac:dyDescent="0.25">
      <c r="E865" s="4">
        <v>138</v>
      </c>
      <c r="F865" s="4">
        <v>0</v>
      </c>
      <c r="G865" s="4">
        <f t="shared" si="23"/>
        <v>138</v>
      </c>
    </row>
    <row r="866" spans="5:7" x14ac:dyDescent="0.25">
      <c r="E866" s="4">
        <v>139</v>
      </c>
      <c r="F866" s="4">
        <v>0</v>
      </c>
      <c r="G866" s="4">
        <f t="shared" si="23"/>
        <v>139</v>
      </c>
    </row>
    <row r="867" spans="5:7" x14ac:dyDescent="0.25">
      <c r="E867" s="4">
        <v>140</v>
      </c>
      <c r="F867" s="4">
        <v>0</v>
      </c>
      <c r="G867" s="4">
        <f t="shared" si="23"/>
        <v>140</v>
      </c>
    </row>
    <row r="868" spans="5:7" x14ac:dyDescent="0.25">
      <c r="E868" s="4">
        <v>141</v>
      </c>
      <c r="F868" s="4">
        <v>0</v>
      </c>
      <c r="G868" s="4">
        <f t="shared" si="23"/>
        <v>141</v>
      </c>
    </row>
    <row r="869" spans="5:7" x14ac:dyDescent="0.25">
      <c r="E869" s="4">
        <v>142</v>
      </c>
      <c r="F869" s="4">
        <v>0</v>
      </c>
      <c r="G869" s="4">
        <f t="shared" si="23"/>
        <v>142</v>
      </c>
    </row>
    <row r="870" spans="5:7" x14ac:dyDescent="0.25">
      <c r="E870" s="4">
        <v>143</v>
      </c>
      <c r="F870" s="4">
        <v>0</v>
      </c>
      <c r="G870" s="4">
        <f t="shared" si="23"/>
        <v>143</v>
      </c>
    </row>
    <row r="871" spans="5:7" x14ac:dyDescent="0.25">
      <c r="E871" s="4">
        <v>144</v>
      </c>
      <c r="F871" s="4">
        <v>0</v>
      </c>
      <c r="G871" s="4">
        <f t="shared" si="23"/>
        <v>144</v>
      </c>
    </row>
    <row r="872" spans="5:7" x14ac:dyDescent="0.25">
      <c r="E872" s="4">
        <v>145</v>
      </c>
      <c r="F872" s="4">
        <v>0</v>
      </c>
      <c r="G872" s="4">
        <f t="shared" si="23"/>
        <v>145</v>
      </c>
    </row>
    <row r="873" spans="5:7" x14ac:dyDescent="0.25">
      <c r="E873" s="4">
        <v>146</v>
      </c>
      <c r="F873" s="4">
        <v>0</v>
      </c>
      <c r="G873" s="4">
        <f t="shared" si="23"/>
        <v>146</v>
      </c>
    </row>
    <row r="874" spans="5:7" x14ac:dyDescent="0.25">
      <c r="E874" s="4">
        <v>147</v>
      </c>
      <c r="F874" s="4">
        <v>0</v>
      </c>
      <c r="G874" s="4">
        <f t="shared" si="23"/>
        <v>147</v>
      </c>
    </row>
    <row r="875" spans="5:7" x14ac:dyDescent="0.25">
      <c r="E875" s="4">
        <v>148</v>
      </c>
      <c r="F875" s="4">
        <v>0</v>
      </c>
      <c r="G875" s="4">
        <f t="shared" si="23"/>
        <v>148</v>
      </c>
    </row>
    <row r="876" spans="5:7" x14ac:dyDescent="0.25">
      <c r="E876" s="4">
        <v>149</v>
      </c>
      <c r="F876" s="4">
        <v>0</v>
      </c>
      <c r="G876" s="4">
        <f t="shared" si="23"/>
        <v>149</v>
      </c>
    </row>
    <row r="877" spans="5:7" x14ac:dyDescent="0.25">
      <c r="E877" s="4">
        <v>150</v>
      </c>
      <c r="F877" s="4">
        <v>0</v>
      </c>
      <c r="G877" s="4">
        <f t="shared" si="23"/>
        <v>150</v>
      </c>
    </row>
    <row r="878" spans="5:7" x14ac:dyDescent="0.25">
      <c r="E878" s="4">
        <v>151</v>
      </c>
      <c r="F878" s="4">
        <v>0</v>
      </c>
      <c r="G878" s="4">
        <f t="shared" si="23"/>
        <v>151</v>
      </c>
    </row>
    <row r="879" spans="5:7" x14ac:dyDescent="0.25">
      <c r="E879" s="4">
        <v>152</v>
      </c>
      <c r="F879" s="4">
        <v>0</v>
      </c>
      <c r="G879" s="4">
        <f t="shared" si="23"/>
        <v>152</v>
      </c>
    </row>
    <row r="880" spans="5:7" x14ac:dyDescent="0.25">
      <c r="E880" s="4">
        <v>153</v>
      </c>
      <c r="F880" s="4">
        <v>0</v>
      </c>
      <c r="G880" s="4">
        <f t="shared" si="23"/>
        <v>153</v>
      </c>
    </row>
    <row r="881" spans="5:7" x14ac:dyDescent="0.25">
      <c r="E881" s="4">
        <v>154</v>
      </c>
      <c r="F881" s="4">
        <v>0</v>
      </c>
      <c r="G881" s="4">
        <f t="shared" si="23"/>
        <v>154</v>
      </c>
    </row>
    <row r="882" spans="5:7" x14ac:dyDescent="0.25">
      <c r="E882" s="4">
        <v>155</v>
      </c>
      <c r="F882" s="4">
        <v>0</v>
      </c>
      <c r="G882" s="4">
        <f t="shared" si="23"/>
        <v>155</v>
      </c>
    </row>
    <row r="883" spans="5:7" x14ac:dyDescent="0.25">
      <c r="E883" s="4">
        <v>156</v>
      </c>
      <c r="F883" s="4">
        <v>0</v>
      </c>
      <c r="G883" s="4">
        <f t="shared" si="23"/>
        <v>156</v>
      </c>
    </row>
    <row r="884" spans="5:7" x14ac:dyDescent="0.25">
      <c r="E884" s="4">
        <v>157</v>
      </c>
      <c r="F884" s="4">
        <v>0</v>
      </c>
      <c r="G884" s="4">
        <f t="shared" si="23"/>
        <v>157</v>
      </c>
    </row>
    <row r="885" spans="5:7" x14ac:dyDescent="0.25">
      <c r="E885" s="4">
        <v>158</v>
      </c>
      <c r="F885" s="4">
        <v>0</v>
      </c>
      <c r="G885" s="4">
        <f t="shared" si="23"/>
        <v>158</v>
      </c>
    </row>
    <row r="886" spans="5:7" x14ac:dyDescent="0.25">
      <c r="E886" s="4">
        <v>159</v>
      </c>
      <c r="F886" s="4">
        <v>0</v>
      </c>
      <c r="G886" s="4">
        <f t="shared" si="23"/>
        <v>159</v>
      </c>
    </row>
    <row r="887" spans="5:7" x14ac:dyDescent="0.25">
      <c r="E887" s="4">
        <v>160</v>
      </c>
      <c r="F887" s="4">
        <v>0</v>
      </c>
      <c r="G887" s="4">
        <f t="shared" si="23"/>
        <v>160</v>
      </c>
    </row>
    <row r="888" spans="5:7" x14ac:dyDescent="0.25">
      <c r="E888" s="4">
        <v>161</v>
      </c>
      <c r="F888" s="4">
        <v>0</v>
      </c>
      <c r="G888" s="4">
        <f t="shared" si="23"/>
        <v>161</v>
      </c>
    </row>
    <row r="889" spans="5:7" x14ac:dyDescent="0.25">
      <c r="E889" s="4">
        <v>162</v>
      </c>
      <c r="F889" s="4">
        <v>0</v>
      </c>
      <c r="G889" s="4">
        <f t="shared" si="23"/>
        <v>162</v>
      </c>
    </row>
    <row r="890" spans="5:7" x14ac:dyDescent="0.25">
      <c r="E890" s="4">
        <v>163</v>
      </c>
      <c r="F890" s="4">
        <v>0</v>
      </c>
      <c r="G890" s="4">
        <f t="shared" si="23"/>
        <v>163</v>
      </c>
    </row>
    <row r="891" spans="5:7" x14ac:dyDescent="0.25">
      <c r="E891" s="4">
        <v>164</v>
      </c>
      <c r="F891" s="4">
        <v>0</v>
      </c>
      <c r="G891" s="4">
        <f t="shared" si="23"/>
        <v>164</v>
      </c>
    </row>
    <row r="892" spans="5:7" x14ac:dyDescent="0.25">
      <c r="E892" s="4">
        <v>165</v>
      </c>
      <c r="F892" s="4">
        <v>0</v>
      </c>
      <c r="G892" s="4">
        <f t="shared" si="23"/>
        <v>165</v>
      </c>
    </row>
    <row r="893" spans="5:7" x14ac:dyDescent="0.25">
      <c r="E893" s="4">
        <v>166</v>
      </c>
      <c r="F893" s="4">
        <v>0</v>
      </c>
      <c r="G893" s="4">
        <f t="shared" si="23"/>
        <v>166</v>
      </c>
    </row>
    <row r="894" spans="5:7" x14ac:dyDescent="0.25">
      <c r="E894" s="4">
        <v>167</v>
      </c>
      <c r="F894" s="4">
        <v>0</v>
      </c>
      <c r="G894" s="4">
        <f t="shared" ref="G894:G947" si="24">ROUND(E894+F894,0)</f>
        <v>167</v>
      </c>
    </row>
    <row r="895" spans="5:7" x14ac:dyDescent="0.25">
      <c r="E895" s="4">
        <v>168</v>
      </c>
      <c r="F895" s="4">
        <v>0</v>
      </c>
      <c r="G895" s="4">
        <f t="shared" si="24"/>
        <v>168</v>
      </c>
    </row>
    <row r="896" spans="5:7" x14ac:dyDescent="0.25">
      <c r="E896" s="4">
        <v>169</v>
      </c>
      <c r="F896" s="4">
        <v>0</v>
      </c>
      <c r="G896" s="4">
        <f t="shared" si="24"/>
        <v>169</v>
      </c>
    </row>
    <row r="897" spans="5:7" x14ac:dyDescent="0.25">
      <c r="E897" s="4">
        <v>170</v>
      </c>
      <c r="F897" s="4">
        <v>0</v>
      </c>
      <c r="G897" s="4">
        <f t="shared" si="24"/>
        <v>170</v>
      </c>
    </row>
    <row r="898" spans="5:7" x14ac:dyDescent="0.25">
      <c r="E898" s="4">
        <v>171</v>
      </c>
      <c r="F898" s="4">
        <v>0</v>
      </c>
      <c r="G898" s="4">
        <f t="shared" si="24"/>
        <v>171</v>
      </c>
    </row>
    <row r="899" spans="5:7" x14ac:dyDescent="0.25">
      <c r="E899" s="4">
        <v>172</v>
      </c>
      <c r="F899" s="4">
        <v>0</v>
      </c>
      <c r="G899" s="4">
        <f t="shared" si="24"/>
        <v>172</v>
      </c>
    </row>
    <row r="900" spans="5:7" x14ac:dyDescent="0.25">
      <c r="E900" s="4">
        <v>173</v>
      </c>
      <c r="F900" s="4">
        <v>0</v>
      </c>
      <c r="G900" s="4">
        <f t="shared" si="24"/>
        <v>173</v>
      </c>
    </row>
    <row r="901" spans="5:7" x14ac:dyDescent="0.25">
      <c r="E901" s="4">
        <v>174</v>
      </c>
      <c r="F901" s="4">
        <v>0</v>
      </c>
      <c r="G901" s="4">
        <f t="shared" si="24"/>
        <v>174</v>
      </c>
    </row>
    <row r="902" spans="5:7" x14ac:dyDescent="0.25">
      <c r="E902" s="4">
        <v>175</v>
      </c>
      <c r="F902" s="4">
        <v>0</v>
      </c>
      <c r="G902" s="4">
        <f t="shared" si="24"/>
        <v>175</v>
      </c>
    </row>
    <row r="903" spans="5:7" x14ac:dyDescent="0.25">
      <c r="E903" s="4">
        <v>176</v>
      </c>
      <c r="F903" s="4">
        <v>0</v>
      </c>
      <c r="G903" s="4">
        <f t="shared" si="24"/>
        <v>176</v>
      </c>
    </row>
    <row r="904" spans="5:7" x14ac:dyDescent="0.25">
      <c r="E904" s="4">
        <v>177</v>
      </c>
      <c r="F904" s="4">
        <v>0</v>
      </c>
      <c r="G904" s="4">
        <f t="shared" si="24"/>
        <v>177</v>
      </c>
    </row>
    <row r="905" spans="5:7" x14ac:dyDescent="0.25">
      <c r="E905" s="4">
        <v>178</v>
      </c>
      <c r="F905" s="4">
        <v>0</v>
      </c>
      <c r="G905" s="4">
        <f t="shared" si="24"/>
        <v>178</v>
      </c>
    </row>
    <row r="906" spans="5:7" x14ac:dyDescent="0.25">
      <c r="E906" s="4">
        <v>179</v>
      </c>
      <c r="F906" s="4">
        <v>0</v>
      </c>
      <c r="G906" s="4">
        <f t="shared" si="24"/>
        <v>179</v>
      </c>
    </row>
    <row r="907" spans="5:7" x14ac:dyDescent="0.25">
      <c r="E907" s="4">
        <v>180</v>
      </c>
      <c r="F907" s="4">
        <v>0</v>
      </c>
      <c r="G907" s="4">
        <f t="shared" si="24"/>
        <v>180</v>
      </c>
    </row>
    <row r="908" spans="5:7" x14ac:dyDescent="0.25">
      <c r="E908" s="4">
        <v>181</v>
      </c>
      <c r="F908" s="4">
        <v>0</v>
      </c>
      <c r="G908" s="4">
        <f t="shared" si="24"/>
        <v>181</v>
      </c>
    </row>
    <row r="909" spans="5:7" x14ac:dyDescent="0.25">
      <c r="E909" s="4">
        <v>182</v>
      </c>
      <c r="F909" s="4">
        <v>0</v>
      </c>
      <c r="G909" s="4">
        <f t="shared" si="24"/>
        <v>182</v>
      </c>
    </row>
    <row r="910" spans="5:7" x14ac:dyDescent="0.25">
      <c r="E910" s="4">
        <v>183</v>
      </c>
      <c r="F910" s="4">
        <v>0</v>
      </c>
      <c r="G910" s="4">
        <f t="shared" si="24"/>
        <v>183</v>
      </c>
    </row>
    <row r="911" spans="5:7" x14ac:dyDescent="0.25">
      <c r="E911" s="4">
        <v>184</v>
      </c>
      <c r="F911" s="4">
        <v>0</v>
      </c>
      <c r="G911" s="4">
        <f t="shared" si="24"/>
        <v>184</v>
      </c>
    </row>
    <row r="912" spans="5:7" x14ac:dyDescent="0.25">
      <c r="E912" s="4">
        <v>185</v>
      </c>
      <c r="F912" s="4">
        <v>0</v>
      </c>
      <c r="G912" s="4">
        <f t="shared" si="24"/>
        <v>185</v>
      </c>
    </row>
    <row r="913" spans="5:7" x14ac:dyDescent="0.25">
      <c r="E913" s="4">
        <v>186</v>
      </c>
      <c r="F913" s="4">
        <v>0</v>
      </c>
      <c r="G913" s="4">
        <f t="shared" si="24"/>
        <v>186</v>
      </c>
    </row>
    <row r="914" spans="5:7" x14ac:dyDescent="0.25">
      <c r="E914" s="4">
        <v>187</v>
      </c>
      <c r="F914" s="4">
        <v>0</v>
      </c>
      <c r="G914" s="4">
        <f t="shared" si="24"/>
        <v>187</v>
      </c>
    </row>
    <row r="915" spans="5:7" x14ac:dyDescent="0.25">
      <c r="E915" s="4">
        <v>188</v>
      </c>
      <c r="F915" s="4">
        <v>0</v>
      </c>
      <c r="G915" s="4">
        <f t="shared" si="24"/>
        <v>188</v>
      </c>
    </row>
    <row r="916" spans="5:7" x14ac:dyDescent="0.25">
      <c r="E916" s="4">
        <v>189</v>
      </c>
      <c r="F916" s="4">
        <v>0</v>
      </c>
      <c r="G916" s="4">
        <f t="shared" si="24"/>
        <v>189</v>
      </c>
    </row>
    <row r="917" spans="5:7" x14ac:dyDescent="0.25">
      <c r="E917" s="4">
        <v>190</v>
      </c>
      <c r="F917" s="4">
        <v>0</v>
      </c>
      <c r="G917" s="4">
        <f t="shared" si="24"/>
        <v>190</v>
      </c>
    </row>
    <row r="918" spans="5:7" x14ac:dyDescent="0.25">
      <c r="E918" s="4">
        <v>191</v>
      </c>
      <c r="F918" s="4">
        <v>0</v>
      </c>
      <c r="G918" s="4">
        <f t="shared" si="24"/>
        <v>191</v>
      </c>
    </row>
    <row r="919" spans="5:7" x14ac:dyDescent="0.25">
      <c r="E919" s="4">
        <v>192</v>
      </c>
      <c r="F919" s="4">
        <v>0</v>
      </c>
      <c r="G919" s="4">
        <f t="shared" si="24"/>
        <v>192</v>
      </c>
    </row>
    <row r="920" spans="5:7" x14ac:dyDescent="0.25">
      <c r="E920" s="4">
        <v>193</v>
      </c>
      <c r="F920" s="4">
        <v>0</v>
      </c>
      <c r="G920" s="4">
        <f t="shared" si="24"/>
        <v>193</v>
      </c>
    </row>
    <row r="921" spans="5:7" x14ac:dyDescent="0.25">
      <c r="E921" s="4">
        <v>194</v>
      </c>
      <c r="F921" s="4">
        <v>0</v>
      </c>
      <c r="G921" s="4">
        <f t="shared" si="24"/>
        <v>194</v>
      </c>
    </row>
    <row r="922" spans="5:7" x14ac:dyDescent="0.25">
      <c r="E922" s="4">
        <v>195</v>
      </c>
      <c r="F922" s="4">
        <v>0</v>
      </c>
      <c r="G922" s="4">
        <f t="shared" si="24"/>
        <v>195</v>
      </c>
    </row>
    <row r="923" spans="5:7" x14ac:dyDescent="0.25">
      <c r="E923" s="4">
        <v>196</v>
      </c>
      <c r="F923" s="4">
        <v>0</v>
      </c>
      <c r="G923" s="4">
        <f t="shared" si="24"/>
        <v>196</v>
      </c>
    </row>
    <row r="924" spans="5:7" x14ac:dyDescent="0.25">
      <c r="E924" s="4">
        <v>197</v>
      </c>
      <c r="F924" s="4">
        <v>0</v>
      </c>
      <c r="G924" s="4">
        <f t="shared" si="24"/>
        <v>197</v>
      </c>
    </row>
    <row r="925" spans="5:7" x14ac:dyDescent="0.25">
      <c r="E925" s="4">
        <v>198</v>
      </c>
      <c r="F925" s="4">
        <v>0</v>
      </c>
      <c r="G925" s="4">
        <f t="shared" si="24"/>
        <v>198</v>
      </c>
    </row>
    <row r="926" spans="5:7" x14ac:dyDescent="0.25">
      <c r="E926" s="4">
        <v>199</v>
      </c>
      <c r="F926" s="4">
        <v>0</v>
      </c>
      <c r="G926" s="4">
        <f t="shared" si="24"/>
        <v>199</v>
      </c>
    </row>
    <row r="927" spans="5:7" x14ac:dyDescent="0.25">
      <c r="E927" s="4">
        <v>200</v>
      </c>
      <c r="F927" s="4">
        <v>0</v>
      </c>
      <c r="G927" s="4">
        <f t="shared" si="24"/>
        <v>200</v>
      </c>
    </row>
    <row r="928" spans="5:7" x14ac:dyDescent="0.25">
      <c r="E928" s="4">
        <v>201</v>
      </c>
      <c r="F928" s="4">
        <v>0</v>
      </c>
      <c r="G928" s="4">
        <f t="shared" si="24"/>
        <v>201</v>
      </c>
    </row>
    <row r="929" spans="5:7" x14ac:dyDescent="0.25">
      <c r="E929" s="4">
        <v>202</v>
      </c>
      <c r="F929" s="4">
        <v>0</v>
      </c>
      <c r="G929" s="4">
        <f t="shared" si="24"/>
        <v>202</v>
      </c>
    </row>
    <row r="930" spans="5:7" x14ac:dyDescent="0.25">
      <c r="E930" s="4">
        <v>203</v>
      </c>
      <c r="F930" s="4">
        <v>0</v>
      </c>
      <c r="G930" s="4">
        <f t="shared" si="24"/>
        <v>203</v>
      </c>
    </row>
    <row r="931" spans="5:7" x14ac:dyDescent="0.25">
      <c r="E931" s="4">
        <v>204</v>
      </c>
      <c r="F931" s="4">
        <v>0</v>
      </c>
      <c r="G931" s="4">
        <f t="shared" si="24"/>
        <v>204</v>
      </c>
    </row>
    <row r="932" spans="5:7" x14ac:dyDescent="0.25">
      <c r="E932" s="4">
        <v>205</v>
      </c>
      <c r="F932" s="4">
        <v>0</v>
      </c>
      <c r="G932" s="4">
        <f t="shared" si="24"/>
        <v>205</v>
      </c>
    </row>
    <row r="933" spans="5:7" x14ac:dyDescent="0.25">
      <c r="E933" s="4">
        <v>206</v>
      </c>
      <c r="F933" s="4">
        <v>0</v>
      </c>
      <c r="G933" s="4">
        <f t="shared" si="24"/>
        <v>206</v>
      </c>
    </row>
    <row r="934" spans="5:7" x14ac:dyDescent="0.25">
      <c r="E934" s="4">
        <v>207</v>
      </c>
      <c r="F934" s="4">
        <v>0</v>
      </c>
      <c r="G934" s="4">
        <f t="shared" si="24"/>
        <v>207</v>
      </c>
    </row>
    <row r="935" spans="5:7" x14ac:dyDescent="0.25">
      <c r="E935" s="4">
        <v>208</v>
      </c>
      <c r="F935" s="4">
        <v>0</v>
      </c>
      <c r="G935" s="4">
        <f t="shared" si="24"/>
        <v>208</v>
      </c>
    </row>
    <row r="936" spans="5:7" x14ac:dyDescent="0.25">
      <c r="E936" s="4">
        <v>209</v>
      </c>
      <c r="F936" s="4">
        <v>0</v>
      </c>
      <c r="G936" s="4">
        <f t="shared" si="24"/>
        <v>209</v>
      </c>
    </row>
    <row r="937" spans="5:7" x14ac:dyDescent="0.25">
      <c r="E937" s="4">
        <v>210</v>
      </c>
      <c r="F937" s="4">
        <v>0</v>
      </c>
      <c r="G937" s="4">
        <f t="shared" si="24"/>
        <v>210</v>
      </c>
    </row>
    <row r="938" spans="5:7" x14ac:dyDescent="0.25">
      <c r="E938" s="4">
        <v>211</v>
      </c>
      <c r="F938" s="4">
        <v>0</v>
      </c>
      <c r="G938" s="4">
        <f t="shared" si="24"/>
        <v>211</v>
      </c>
    </row>
    <row r="939" spans="5:7" x14ac:dyDescent="0.25">
      <c r="E939" s="4">
        <v>212</v>
      </c>
      <c r="F939" s="4">
        <v>0</v>
      </c>
      <c r="G939" s="4">
        <f t="shared" si="24"/>
        <v>212</v>
      </c>
    </row>
    <row r="940" spans="5:7" x14ac:dyDescent="0.25">
      <c r="E940" s="4">
        <v>213</v>
      </c>
      <c r="F940" s="4">
        <v>0</v>
      </c>
      <c r="G940" s="4">
        <f t="shared" si="24"/>
        <v>213</v>
      </c>
    </row>
    <row r="941" spans="5:7" x14ac:dyDescent="0.25">
      <c r="E941" s="4">
        <v>214</v>
      </c>
      <c r="F941" s="4">
        <v>0</v>
      </c>
      <c r="G941" s="4">
        <f t="shared" si="24"/>
        <v>214</v>
      </c>
    </row>
    <row r="942" spans="5:7" x14ac:dyDescent="0.25">
      <c r="E942" s="4">
        <v>215</v>
      </c>
      <c r="F942" s="4">
        <v>0</v>
      </c>
      <c r="G942" s="4">
        <f t="shared" si="24"/>
        <v>215</v>
      </c>
    </row>
    <row r="943" spans="5:7" x14ac:dyDescent="0.25">
      <c r="E943" s="4">
        <v>216</v>
      </c>
      <c r="F943" s="4">
        <v>0</v>
      </c>
      <c r="G943" s="4">
        <f t="shared" si="24"/>
        <v>216</v>
      </c>
    </row>
    <row r="944" spans="5:7" x14ac:dyDescent="0.25">
      <c r="E944" s="4">
        <v>217</v>
      </c>
      <c r="F944" s="4">
        <v>0</v>
      </c>
      <c r="G944" s="4">
        <f t="shared" si="24"/>
        <v>217</v>
      </c>
    </row>
    <row r="945" spans="5:7" x14ac:dyDescent="0.25">
      <c r="E945" s="4">
        <v>218</v>
      </c>
      <c r="F945" s="4">
        <v>0</v>
      </c>
      <c r="G945" s="4">
        <f t="shared" si="24"/>
        <v>218</v>
      </c>
    </row>
    <row r="946" spans="5:7" x14ac:dyDescent="0.25">
      <c r="E946" s="4">
        <v>219</v>
      </c>
      <c r="F946" s="4">
        <v>0</v>
      </c>
      <c r="G946" s="4">
        <f t="shared" si="24"/>
        <v>219</v>
      </c>
    </row>
    <row r="947" spans="5:7" x14ac:dyDescent="0.25">
      <c r="E947" s="4">
        <v>220</v>
      </c>
      <c r="F947" s="4">
        <v>0</v>
      </c>
      <c r="G947" s="4">
        <f t="shared" si="24"/>
        <v>220</v>
      </c>
    </row>
    <row r="948" spans="5:7" x14ac:dyDescent="0.25">
      <c r="E948" s="4">
        <v>221</v>
      </c>
      <c r="F948" s="4">
        <v>0</v>
      </c>
      <c r="G948" s="4">
        <f t="shared" ref="G948:G972" si="25">ROUND(E948+F948,0)</f>
        <v>221</v>
      </c>
    </row>
    <row r="949" spans="5:7" x14ac:dyDescent="0.25">
      <c r="E949" s="4">
        <v>222</v>
      </c>
      <c r="F949" s="4">
        <v>0</v>
      </c>
      <c r="G949" s="4">
        <f t="shared" si="25"/>
        <v>222</v>
      </c>
    </row>
    <row r="950" spans="5:7" x14ac:dyDescent="0.25">
      <c r="E950" s="4">
        <v>223</v>
      </c>
      <c r="F950" s="4">
        <v>0</v>
      </c>
      <c r="G950" s="4">
        <f t="shared" si="25"/>
        <v>223</v>
      </c>
    </row>
    <row r="951" spans="5:7" x14ac:dyDescent="0.25">
      <c r="E951" s="4">
        <v>224</v>
      </c>
      <c r="F951" s="4">
        <v>0</v>
      </c>
      <c r="G951" s="4">
        <f t="shared" si="25"/>
        <v>224</v>
      </c>
    </row>
    <row r="952" spans="5:7" x14ac:dyDescent="0.25">
      <c r="E952" s="4">
        <v>225</v>
      </c>
      <c r="F952" s="4">
        <v>0</v>
      </c>
      <c r="G952" s="4">
        <f t="shared" si="25"/>
        <v>225</v>
      </c>
    </row>
    <row r="953" spans="5:7" x14ac:dyDescent="0.25">
      <c r="E953" s="4">
        <v>226</v>
      </c>
      <c r="F953" s="4">
        <v>0</v>
      </c>
      <c r="G953" s="4">
        <f t="shared" si="25"/>
        <v>226</v>
      </c>
    </row>
    <row r="954" spans="5:7" x14ac:dyDescent="0.25">
      <c r="E954" s="4">
        <v>227</v>
      </c>
      <c r="F954" s="4">
        <v>0</v>
      </c>
      <c r="G954" s="4">
        <f t="shared" si="25"/>
        <v>227</v>
      </c>
    </row>
    <row r="955" spans="5:7" x14ac:dyDescent="0.25">
      <c r="E955" s="4">
        <v>228</v>
      </c>
      <c r="F955" s="4">
        <v>0</v>
      </c>
      <c r="G955" s="4">
        <f t="shared" si="25"/>
        <v>228</v>
      </c>
    </row>
    <row r="956" spans="5:7" x14ac:dyDescent="0.25">
      <c r="E956" s="4">
        <v>229</v>
      </c>
      <c r="F956" s="4">
        <v>0</v>
      </c>
      <c r="G956" s="4">
        <f t="shared" si="25"/>
        <v>229</v>
      </c>
    </row>
    <row r="957" spans="5:7" x14ac:dyDescent="0.25">
      <c r="E957" s="4">
        <v>230</v>
      </c>
      <c r="F957" s="4">
        <v>0</v>
      </c>
      <c r="G957" s="4">
        <f t="shared" si="25"/>
        <v>230</v>
      </c>
    </row>
    <row r="958" spans="5:7" x14ac:dyDescent="0.25">
      <c r="E958" s="4">
        <v>231</v>
      </c>
      <c r="F958" s="4">
        <v>0</v>
      </c>
      <c r="G958" s="4">
        <f t="shared" si="25"/>
        <v>231</v>
      </c>
    </row>
    <row r="959" spans="5:7" x14ac:dyDescent="0.25">
      <c r="E959" s="4">
        <v>232</v>
      </c>
      <c r="F959" s="4">
        <v>0</v>
      </c>
      <c r="G959" s="4">
        <f t="shared" si="25"/>
        <v>232</v>
      </c>
    </row>
    <row r="960" spans="5:7" x14ac:dyDescent="0.25">
      <c r="E960" s="4">
        <v>233</v>
      </c>
      <c r="F960" s="4">
        <v>0</v>
      </c>
      <c r="G960" s="4">
        <f t="shared" si="25"/>
        <v>233</v>
      </c>
    </row>
    <row r="961" spans="5:7" x14ac:dyDescent="0.25">
      <c r="E961" s="4">
        <v>234</v>
      </c>
      <c r="F961" s="4">
        <v>0</v>
      </c>
      <c r="G961" s="4">
        <f t="shared" si="25"/>
        <v>234</v>
      </c>
    </row>
    <row r="962" spans="5:7" x14ac:dyDescent="0.25">
      <c r="E962" s="4">
        <v>235</v>
      </c>
      <c r="F962" s="4">
        <v>0</v>
      </c>
      <c r="G962" s="4">
        <f t="shared" si="25"/>
        <v>235</v>
      </c>
    </row>
    <row r="963" spans="5:7" x14ac:dyDescent="0.25">
      <c r="E963" s="4">
        <v>236</v>
      </c>
      <c r="F963" s="4">
        <v>0</v>
      </c>
      <c r="G963" s="4">
        <f t="shared" si="25"/>
        <v>236</v>
      </c>
    </row>
    <row r="964" spans="5:7" x14ac:dyDescent="0.25">
      <c r="E964" s="4">
        <v>237</v>
      </c>
      <c r="F964" s="4">
        <v>0</v>
      </c>
      <c r="G964" s="4">
        <f t="shared" si="25"/>
        <v>237</v>
      </c>
    </row>
    <row r="965" spans="5:7" x14ac:dyDescent="0.25">
      <c r="E965" s="4">
        <v>238</v>
      </c>
      <c r="F965" s="4">
        <v>0</v>
      </c>
      <c r="G965" s="4">
        <f t="shared" si="25"/>
        <v>238</v>
      </c>
    </row>
    <row r="966" spans="5:7" x14ac:dyDescent="0.25">
      <c r="E966" s="4">
        <v>239</v>
      </c>
      <c r="F966" s="4">
        <v>0</v>
      </c>
      <c r="G966" s="4">
        <f t="shared" si="25"/>
        <v>239</v>
      </c>
    </row>
    <row r="967" spans="5:7" x14ac:dyDescent="0.25">
      <c r="E967" s="4">
        <v>240</v>
      </c>
      <c r="F967" s="4">
        <v>0</v>
      </c>
      <c r="G967" s="4">
        <f t="shared" si="25"/>
        <v>240</v>
      </c>
    </row>
    <row r="968" spans="5:7" x14ac:dyDescent="0.25">
      <c r="E968" s="4">
        <v>241</v>
      </c>
      <c r="F968" s="4">
        <v>0</v>
      </c>
      <c r="G968" s="4">
        <f t="shared" si="25"/>
        <v>241</v>
      </c>
    </row>
    <row r="969" spans="5:7" x14ac:dyDescent="0.25">
      <c r="E969" s="4">
        <v>242</v>
      </c>
      <c r="F969" s="4">
        <v>0</v>
      </c>
      <c r="G969" s="4">
        <f t="shared" si="25"/>
        <v>242</v>
      </c>
    </row>
    <row r="970" spans="5:7" x14ac:dyDescent="0.25">
      <c r="E970" s="4">
        <v>243</v>
      </c>
      <c r="F970" s="4">
        <v>0</v>
      </c>
      <c r="G970" s="4">
        <f t="shared" si="25"/>
        <v>243</v>
      </c>
    </row>
    <row r="971" spans="5:7" x14ac:dyDescent="0.25">
      <c r="E971" s="4">
        <v>244</v>
      </c>
      <c r="F971" s="4">
        <v>0</v>
      </c>
      <c r="G971" s="4">
        <f t="shared" si="25"/>
        <v>244</v>
      </c>
    </row>
    <row r="972" spans="5:7" x14ac:dyDescent="0.25">
      <c r="E972" s="4">
        <v>245</v>
      </c>
      <c r="F972" s="4">
        <v>0</v>
      </c>
      <c r="G972" s="4">
        <f t="shared" si="25"/>
        <v>245</v>
      </c>
    </row>
    <row r="973" spans="5:7" x14ac:dyDescent="0.25">
      <c r="E973" s="4">
        <v>246</v>
      </c>
      <c r="F973" s="4">
        <v>0</v>
      </c>
      <c r="G973" s="4">
        <f t="shared" ref="G973:G1036" si="26">ROUND(E973+F973,0)</f>
        <v>246</v>
      </c>
    </row>
    <row r="974" spans="5:7" x14ac:dyDescent="0.25">
      <c r="E974" s="4">
        <v>247</v>
      </c>
      <c r="F974" s="4">
        <v>0</v>
      </c>
      <c r="G974" s="4">
        <f t="shared" si="26"/>
        <v>247</v>
      </c>
    </row>
    <row r="975" spans="5:7" x14ac:dyDescent="0.25">
      <c r="E975" s="4">
        <v>248</v>
      </c>
      <c r="F975" s="4">
        <v>0</v>
      </c>
      <c r="G975" s="4">
        <f t="shared" si="26"/>
        <v>248</v>
      </c>
    </row>
    <row r="976" spans="5:7" x14ac:dyDescent="0.25">
      <c r="E976" s="4">
        <v>249</v>
      </c>
      <c r="F976" s="4">
        <v>0</v>
      </c>
      <c r="G976" s="4">
        <f t="shared" si="26"/>
        <v>249</v>
      </c>
    </row>
    <row r="977" spans="5:7" x14ac:dyDescent="0.25">
      <c r="E977" s="4">
        <v>250</v>
      </c>
      <c r="F977" s="4">
        <v>0</v>
      </c>
      <c r="G977" s="4">
        <f t="shared" si="26"/>
        <v>250</v>
      </c>
    </row>
    <row r="978" spans="5:7" x14ac:dyDescent="0.25">
      <c r="E978" s="4">
        <v>251</v>
      </c>
      <c r="F978" s="4">
        <v>0</v>
      </c>
      <c r="G978" s="4">
        <f t="shared" si="26"/>
        <v>251</v>
      </c>
    </row>
    <row r="979" spans="5:7" x14ac:dyDescent="0.25">
      <c r="E979" s="4">
        <v>252</v>
      </c>
      <c r="F979" s="4">
        <v>0</v>
      </c>
      <c r="G979" s="4">
        <f t="shared" si="26"/>
        <v>252</v>
      </c>
    </row>
    <row r="980" spans="5:7" x14ac:dyDescent="0.25">
      <c r="E980" s="4">
        <v>253</v>
      </c>
      <c r="F980" s="4">
        <v>0</v>
      </c>
      <c r="G980" s="4">
        <f t="shared" si="26"/>
        <v>253</v>
      </c>
    </row>
    <row r="981" spans="5:7" x14ac:dyDescent="0.25">
      <c r="E981" s="4">
        <v>254</v>
      </c>
      <c r="F981" s="4">
        <v>0</v>
      </c>
      <c r="G981" s="4">
        <f t="shared" si="26"/>
        <v>254</v>
      </c>
    </row>
    <row r="982" spans="5:7" x14ac:dyDescent="0.25">
      <c r="E982" s="4">
        <v>255</v>
      </c>
      <c r="F982" s="4">
        <v>0</v>
      </c>
      <c r="G982" s="4">
        <f t="shared" si="26"/>
        <v>255</v>
      </c>
    </row>
    <row r="983" spans="5:7" x14ac:dyDescent="0.25">
      <c r="E983" s="4">
        <v>256</v>
      </c>
      <c r="F983" s="4">
        <v>0</v>
      </c>
      <c r="G983" s="4">
        <f t="shared" si="26"/>
        <v>256</v>
      </c>
    </row>
    <row r="984" spans="5:7" x14ac:dyDescent="0.25">
      <c r="E984" s="4">
        <v>257</v>
      </c>
      <c r="F984" s="4">
        <v>0</v>
      </c>
      <c r="G984" s="4">
        <f t="shared" si="26"/>
        <v>257</v>
      </c>
    </row>
    <row r="985" spans="5:7" x14ac:dyDescent="0.25">
      <c r="E985" s="4">
        <v>258</v>
      </c>
      <c r="F985" s="4">
        <v>0</v>
      </c>
      <c r="G985" s="4">
        <f t="shared" si="26"/>
        <v>258</v>
      </c>
    </row>
    <row r="986" spans="5:7" x14ac:dyDescent="0.25">
      <c r="E986" s="4">
        <v>259</v>
      </c>
      <c r="F986" s="4">
        <v>0</v>
      </c>
      <c r="G986" s="4">
        <f t="shared" si="26"/>
        <v>259</v>
      </c>
    </row>
    <row r="987" spans="5:7" x14ac:dyDescent="0.25">
      <c r="E987" s="4">
        <v>260</v>
      </c>
      <c r="F987" s="4">
        <v>0</v>
      </c>
      <c r="G987" s="4">
        <f t="shared" si="26"/>
        <v>260</v>
      </c>
    </row>
    <row r="988" spans="5:7" x14ac:dyDescent="0.25">
      <c r="E988" s="4">
        <v>261</v>
      </c>
      <c r="F988" s="4">
        <v>0</v>
      </c>
      <c r="G988" s="4">
        <f t="shared" si="26"/>
        <v>261</v>
      </c>
    </row>
    <row r="989" spans="5:7" x14ac:dyDescent="0.25">
      <c r="E989" s="4">
        <v>262</v>
      </c>
      <c r="F989" s="4">
        <v>0</v>
      </c>
      <c r="G989" s="4">
        <f t="shared" si="26"/>
        <v>262</v>
      </c>
    </row>
    <row r="990" spans="5:7" x14ac:dyDescent="0.25">
      <c r="E990" s="4">
        <v>263</v>
      </c>
      <c r="F990" s="4">
        <v>0</v>
      </c>
      <c r="G990" s="4">
        <f t="shared" si="26"/>
        <v>263</v>
      </c>
    </row>
    <row r="991" spans="5:7" x14ac:dyDescent="0.25">
      <c r="E991" s="4">
        <v>264</v>
      </c>
      <c r="F991" s="4">
        <v>0</v>
      </c>
      <c r="G991" s="4">
        <f t="shared" si="26"/>
        <v>264</v>
      </c>
    </row>
    <row r="992" spans="5:7" x14ac:dyDescent="0.25">
      <c r="E992" s="4">
        <v>265</v>
      </c>
      <c r="F992" s="4">
        <v>0</v>
      </c>
      <c r="G992" s="4">
        <f t="shared" si="26"/>
        <v>265</v>
      </c>
    </row>
    <row r="993" spans="5:7" x14ac:dyDescent="0.25">
      <c r="E993" s="4">
        <v>266</v>
      </c>
      <c r="F993" s="4">
        <v>0</v>
      </c>
      <c r="G993" s="4">
        <f t="shared" si="26"/>
        <v>266</v>
      </c>
    </row>
    <row r="994" spans="5:7" x14ac:dyDescent="0.25">
      <c r="E994" s="4">
        <v>267</v>
      </c>
      <c r="F994" s="4">
        <v>0</v>
      </c>
      <c r="G994" s="4">
        <f t="shared" si="26"/>
        <v>267</v>
      </c>
    </row>
    <row r="995" spans="5:7" x14ac:dyDescent="0.25">
      <c r="E995" s="4">
        <v>268</v>
      </c>
      <c r="F995" s="4">
        <v>0</v>
      </c>
      <c r="G995" s="4">
        <f t="shared" si="26"/>
        <v>268</v>
      </c>
    </row>
    <row r="996" spans="5:7" x14ac:dyDescent="0.25">
      <c r="E996" s="4">
        <v>269</v>
      </c>
      <c r="F996" s="4">
        <v>0</v>
      </c>
      <c r="G996" s="4">
        <f t="shared" si="26"/>
        <v>269</v>
      </c>
    </row>
    <row r="997" spans="5:7" x14ac:dyDescent="0.25">
      <c r="E997" s="4">
        <v>270</v>
      </c>
      <c r="F997" s="4">
        <v>0</v>
      </c>
      <c r="G997" s="4">
        <f t="shared" si="26"/>
        <v>270</v>
      </c>
    </row>
    <row r="998" spans="5:7" x14ac:dyDescent="0.25">
      <c r="E998" s="4">
        <v>271</v>
      </c>
      <c r="F998" s="4">
        <v>0</v>
      </c>
      <c r="G998" s="4">
        <f t="shared" si="26"/>
        <v>271</v>
      </c>
    </row>
    <row r="999" spans="5:7" x14ac:dyDescent="0.25">
      <c r="E999" s="4">
        <v>272</v>
      </c>
      <c r="F999" s="4">
        <v>0</v>
      </c>
      <c r="G999" s="4">
        <f t="shared" si="26"/>
        <v>272</v>
      </c>
    </row>
    <row r="1000" spans="5:7" x14ac:dyDescent="0.25">
      <c r="E1000" s="4">
        <v>273</v>
      </c>
      <c r="F1000" s="4">
        <v>0</v>
      </c>
      <c r="G1000" s="4">
        <f t="shared" si="26"/>
        <v>273</v>
      </c>
    </row>
    <row r="1001" spans="5:7" x14ac:dyDescent="0.25">
      <c r="E1001" s="4">
        <v>274</v>
      </c>
      <c r="F1001" s="4">
        <v>0</v>
      </c>
      <c r="G1001" s="4">
        <f t="shared" si="26"/>
        <v>274</v>
      </c>
    </row>
    <row r="1002" spans="5:7" x14ac:dyDescent="0.25">
      <c r="E1002" s="4">
        <v>275</v>
      </c>
      <c r="F1002" s="4">
        <v>0</v>
      </c>
      <c r="G1002" s="4">
        <f t="shared" si="26"/>
        <v>275</v>
      </c>
    </row>
    <row r="1003" spans="5:7" x14ac:dyDescent="0.25">
      <c r="E1003" s="4">
        <v>276</v>
      </c>
      <c r="F1003" s="4">
        <v>0</v>
      </c>
      <c r="G1003" s="4">
        <f t="shared" si="26"/>
        <v>276</v>
      </c>
    </row>
    <row r="1004" spans="5:7" x14ac:dyDescent="0.25">
      <c r="E1004" s="4">
        <v>277</v>
      </c>
      <c r="F1004" s="4">
        <v>0</v>
      </c>
      <c r="G1004" s="4">
        <f t="shared" si="26"/>
        <v>277</v>
      </c>
    </row>
    <row r="1005" spans="5:7" x14ac:dyDescent="0.25">
      <c r="E1005" s="4">
        <v>278</v>
      </c>
      <c r="F1005" s="4">
        <v>0</v>
      </c>
      <c r="G1005" s="4">
        <f t="shared" si="26"/>
        <v>278</v>
      </c>
    </row>
    <row r="1006" spans="5:7" x14ac:dyDescent="0.25">
      <c r="E1006" s="4">
        <v>279</v>
      </c>
      <c r="F1006" s="4">
        <v>0</v>
      </c>
      <c r="G1006" s="4">
        <f t="shared" si="26"/>
        <v>279</v>
      </c>
    </row>
    <row r="1007" spans="5:7" x14ac:dyDescent="0.25">
      <c r="E1007" s="4">
        <v>280</v>
      </c>
      <c r="F1007" s="4">
        <v>0</v>
      </c>
      <c r="G1007" s="4">
        <f t="shared" si="26"/>
        <v>280</v>
      </c>
    </row>
    <row r="1008" spans="5:7" x14ac:dyDescent="0.25">
      <c r="E1008" s="4">
        <v>281</v>
      </c>
      <c r="F1008" s="4">
        <v>0</v>
      </c>
      <c r="G1008" s="4">
        <f t="shared" si="26"/>
        <v>281</v>
      </c>
    </row>
    <row r="1009" spans="5:7" x14ac:dyDescent="0.25">
      <c r="E1009" s="4">
        <v>282</v>
      </c>
      <c r="F1009" s="4">
        <v>0</v>
      </c>
      <c r="G1009" s="4">
        <f t="shared" si="26"/>
        <v>282</v>
      </c>
    </row>
    <row r="1010" spans="5:7" x14ac:dyDescent="0.25">
      <c r="E1010" s="4">
        <v>283</v>
      </c>
      <c r="F1010" s="4">
        <v>0</v>
      </c>
      <c r="G1010" s="4">
        <f t="shared" si="26"/>
        <v>283</v>
      </c>
    </row>
    <row r="1011" spans="5:7" x14ac:dyDescent="0.25">
      <c r="E1011" s="4">
        <v>284</v>
      </c>
      <c r="F1011" s="4">
        <v>0</v>
      </c>
      <c r="G1011" s="4">
        <f t="shared" si="26"/>
        <v>284</v>
      </c>
    </row>
    <row r="1012" spans="5:7" x14ac:dyDescent="0.25">
      <c r="E1012" s="4">
        <v>285</v>
      </c>
      <c r="F1012" s="4">
        <v>0</v>
      </c>
      <c r="G1012" s="4">
        <f t="shared" si="26"/>
        <v>285</v>
      </c>
    </row>
    <row r="1013" spans="5:7" x14ac:dyDescent="0.25">
      <c r="E1013" s="4">
        <v>286</v>
      </c>
      <c r="F1013" s="4">
        <v>0</v>
      </c>
      <c r="G1013" s="4">
        <f t="shared" si="26"/>
        <v>286</v>
      </c>
    </row>
    <row r="1014" spans="5:7" x14ac:dyDescent="0.25">
      <c r="E1014" s="4">
        <v>287</v>
      </c>
      <c r="F1014" s="4">
        <v>0</v>
      </c>
      <c r="G1014" s="4">
        <f t="shared" si="26"/>
        <v>287</v>
      </c>
    </row>
    <row r="1015" spans="5:7" x14ac:dyDescent="0.25">
      <c r="E1015" s="4">
        <v>288</v>
      </c>
      <c r="F1015" s="4">
        <v>0</v>
      </c>
      <c r="G1015" s="4">
        <f t="shared" si="26"/>
        <v>288</v>
      </c>
    </row>
    <row r="1016" spans="5:7" x14ac:dyDescent="0.25">
      <c r="E1016" s="4">
        <v>289</v>
      </c>
      <c r="F1016" s="4">
        <v>0</v>
      </c>
      <c r="G1016" s="4">
        <f t="shared" si="26"/>
        <v>289</v>
      </c>
    </row>
    <row r="1017" spans="5:7" x14ac:dyDescent="0.25">
      <c r="E1017" s="4">
        <v>290</v>
      </c>
      <c r="F1017" s="4">
        <v>0</v>
      </c>
      <c r="G1017" s="4">
        <f t="shared" si="26"/>
        <v>290</v>
      </c>
    </row>
    <row r="1018" spans="5:7" x14ac:dyDescent="0.25">
      <c r="E1018" s="4">
        <v>291</v>
      </c>
      <c r="F1018" s="4">
        <v>0</v>
      </c>
      <c r="G1018" s="4">
        <f t="shared" si="26"/>
        <v>291</v>
      </c>
    </row>
    <row r="1019" spans="5:7" x14ac:dyDescent="0.25">
      <c r="E1019" s="4">
        <v>292</v>
      </c>
      <c r="F1019" s="4">
        <v>0</v>
      </c>
      <c r="G1019" s="4">
        <f t="shared" si="26"/>
        <v>292</v>
      </c>
    </row>
    <row r="1020" spans="5:7" x14ac:dyDescent="0.25">
      <c r="E1020" s="4">
        <v>293</v>
      </c>
      <c r="F1020" s="4">
        <v>0</v>
      </c>
      <c r="G1020" s="4">
        <f t="shared" si="26"/>
        <v>293</v>
      </c>
    </row>
    <row r="1021" spans="5:7" x14ac:dyDescent="0.25">
      <c r="E1021" s="4">
        <v>294</v>
      </c>
      <c r="F1021" s="4">
        <v>0</v>
      </c>
      <c r="G1021" s="4">
        <f t="shared" si="26"/>
        <v>294</v>
      </c>
    </row>
    <row r="1022" spans="5:7" x14ac:dyDescent="0.25">
      <c r="E1022" s="4">
        <v>295</v>
      </c>
      <c r="F1022" s="4">
        <v>0</v>
      </c>
      <c r="G1022" s="4">
        <f t="shared" si="26"/>
        <v>295</v>
      </c>
    </row>
    <row r="1023" spans="5:7" x14ac:dyDescent="0.25">
      <c r="E1023" s="4">
        <v>296</v>
      </c>
      <c r="F1023" s="4">
        <v>0</v>
      </c>
      <c r="G1023" s="4">
        <f t="shared" si="26"/>
        <v>296</v>
      </c>
    </row>
    <row r="1024" spans="5:7" x14ac:dyDescent="0.25">
      <c r="E1024" s="4">
        <v>297</v>
      </c>
      <c r="F1024" s="4">
        <v>0</v>
      </c>
      <c r="G1024" s="4">
        <f t="shared" si="26"/>
        <v>297</v>
      </c>
    </row>
    <row r="1025" spans="5:7" x14ac:dyDescent="0.25">
      <c r="E1025" s="4">
        <v>298</v>
      </c>
      <c r="F1025" s="4">
        <v>0</v>
      </c>
      <c r="G1025" s="4">
        <f t="shared" si="26"/>
        <v>298</v>
      </c>
    </row>
    <row r="1026" spans="5:7" x14ac:dyDescent="0.25">
      <c r="E1026" s="4">
        <v>299</v>
      </c>
      <c r="F1026" s="4">
        <v>0</v>
      </c>
      <c r="G1026" s="4">
        <f t="shared" si="26"/>
        <v>299</v>
      </c>
    </row>
    <row r="1027" spans="5:7" x14ac:dyDescent="0.25">
      <c r="E1027" s="4">
        <v>300</v>
      </c>
      <c r="F1027" s="4">
        <v>0</v>
      </c>
      <c r="G1027" s="4">
        <f t="shared" si="26"/>
        <v>300</v>
      </c>
    </row>
    <row r="1028" spans="5:7" x14ac:dyDescent="0.25">
      <c r="E1028" s="4">
        <v>301</v>
      </c>
      <c r="F1028" s="4">
        <v>0</v>
      </c>
      <c r="G1028" s="4">
        <f t="shared" si="26"/>
        <v>301</v>
      </c>
    </row>
    <row r="1029" spans="5:7" x14ac:dyDescent="0.25">
      <c r="E1029" s="4">
        <v>302</v>
      </c>
      <c r="F1029" s="4">
        <v>0</v>
      </c>
      <c r="G1029" s="4">
        <f t="shared" si="26"/>
        <v>302</v>
      </c>
    </row>
    <row r="1030" spans="5:7" x14ac:dyDescent="0.25">
      <c r="E1030" s="4">
        <v>303</v>
      </c>
      <c r="F1030" s="4">
        <v>0</v>
      </c>
      <c r="G1030" s="4">
        <f t="shared" si="26"/>
        <v>303</v>
      </c>
    </row>
    <row r="1031" spans="5:7" x14ac:dyDescent="0.25">
      <c r="E1031" s="4">
        <v>304</v>
      </c>
      <c r="F1031" s="4">
        <v>0</v>
      </c>
      <c r="G1031" s="4">
        <f t="shared" si="26"/>
        <v>304</v>
      </c>
    </row>
    <row r="1032" spans="5:7" x14ac:dyDescent="0.25">
      <c r="E1032" s="4">
        <v>305</v>
      </c>
      <c r="F1032" s="4">
        <v>0</v>
      </c>
      <c r="G1032" s="4">
        <f t="shared" si="26"/>
        <v>305</v>
      </c>
    </row>
    <row r="1033" spans="5:7" x14ac:dyDescent="0.25">
      <c r="E1033" s="4">
        <v>306</v>
      </c>
      <c r="F1033" s="4">
        <v>0</v>
      </c>
      <c r="G1033" s="4">
        <f t="shared" si="26"/>
        <v>306</v>
      </c>
    </row>
    <row r="1034" spans="5:7" x14ac:dyDescent="0.25">
      <c r="E1034" s="4">
        <v>307</v>
      </c>
      <c r="F1034" s="4">
        <v>0</v>
      </c>
      <c r="G1034" s="4">
        <f t="shared" si="26"/>
        <v>307</v>
      </c>
    </row>
    <row r="1035" spans="5:7" x14ac:dyDescent="0.25">
      <c r="E1035" s="4">
        <v>308</v>
      </c>
      <c r="F1035" s="4">
        <v>0</v>
      </c>
      <c r="G1035" s="4">
        <f t="shared" si="26"/>
        <v>308</v>
      </c>
    </row>
    <row r="1036" spans="5:7" x14ac:dyDescent="0.25">
      <c r="E1036" s="4">
        <v>309</v>
      </c>
      <c r="F1036" s="4">
        <v>0</v>
      </c>
      <c r="G1036" s="4">
        <f t="shared" si="26"/>
        <v>309</v>
      </c>
    </row>
    <row r="1037" spans="5:7" x14ac:dyDescent="0.25">
      <c r="E1037" s="4">
        <v>310</v>
      </c>
      <c r="F1037" s="4">
        <v>0</v>
      </c>
      <c r="G1037" s="4">
        <f t="shared" ref="G1037:G1100" si="27">ROUND(E1037+F1037,0)</f>
        <v>310</v>
      </c>
    </row>
    <row r="1038" spans="5:7" x14ac:dyDescent="0.25">
      <c r="E1038" s="4">
        <v>311</v>
      </c>
      <c r="F1038" s="4">
        <v>0</v>
      </c>
      <c r="G1038" s="4">
        <f t="shared" si="27"/>
        <v>311</v>
      </c>
    </row>
    <row r="1039" spans="5:7" x14ac:dyDescent="0.25">
      <c r="E1039" s="4">
        <v>312</v>
      </c>
      <c r="F1039" s="4">
        <v>0</v>
      </c>
      <c r="G1039" s="4">
        <f t="shared" si="27"/>
        <v>312</v>
      </c>
    </row>
    <row r="1040" spans="5:7" x14ac:dyDescent="0.25">
      <c r="E1040" s="4">
        <v>313</v>
      </c>
      <c r="F1040" s="4">
        <v>0</v>
      </c>
      <c r="G1040" s="4">
        <f t="shared" si="27"/>
        <v>313</v>
      </c>
    </row>
    <row r="1041" spans="5:7" x14ac:dyDescent="0.25">
      <c r="E1041" s="4">
        <v>314</v>
      </c>
      <c r="F1041" s="4">
        <v>0</v>
      </c>
      <c r="G1041" s="4">
        <f t="shared" si="27"/>
        <v>314</v>
      </c>
    </row>
    <row r="1042" spans="5:7" x14ac:dyDescent="0.25">
      <c r="E1042" s="4">
        <v>315</v>
      </c>
      <c r="F1042" s="4">
        <v>0</v>
      </c>
      <c r="G1042" s="4">
        <f t="shared" si="27"/>
        <v>315</v>
      </c>
    </row>
    <row r="1043" spans="5:7" x14ac:dyDescent="0.25">
      <c r="E1043" s="4">
        <v>316</v>
      </c>
      <c r="F1043" s="4">
        <v>0</v>
      </c>
      <c r="G1043" s="4">
        <f t="shared" si="27"/>
        <v>316</v>
      </c>
    </row>
    <row r="1044" spans="5:7" x14ac:dyDescent="0.25">
      <c r="E1044" s="4">
        <v>317</v>
      </c>
      <c r="F1044" s="4">
        <v>0</v>
      </c>
      <c r="G1044" s="4">
        <f t="shared" si="27"/>
        <v>317</v>
      </c>
    </row>
    <row r="1045" spans="5:7" x14ac:dyDescent="0.25">
      <c r="E1045" s="4">
        <v>318</v>
      </c>
      <c r="F1045" s="4">
        <v>0</v>
      </c>
      <c r="G1045" s="4">
        <f t="shared" si="27"/>
        <v>318</v>
      </c>
    </row>
    <row r="1046" spans="5:7" x14ac:dyDescent="0.25">
      <c r="E1046" s="4">
        <v>319</v>
      </c>
      <c r="F1046" s="4">
        <v>0</v>
      </c>
      <c r="G1046" s="4">
        <f t="shared" si="27"/>
        <v>319</v>
      </c>
    </row>
    <row r="1047" spans="5:7" x14ac:dyDescent="0.25">
      <c r="E1047" s="4">
        <v>320</v>
      </c>
      <c r="F1047" s="4">
        <v>0</v>
      </c>
      <c r="G1047" s="4">
        <f t="shared" si="27"/>
        <v>320</v>
      </c>
    </row>
    <row r="1048" spans="5:7" x14ac:dyDescent="0.25">
      <c r="E1048" s="4">
        <v>321</v>
      </c>
      <c r="F1048" s="4">
        <v>0</v>
      </c>
      <c r="G1048" s="4">
        <f t="shared" si="27"/>
        <v>321</v>
      </c>
    </row>
    <row r="1049" spans="5:7" x14ac:dyDescent="0.25">
      <c r="E1049" s="4">
        <v>322</v>
      </c>
      <c r="F1049" s="4">
        <v>0</v>
      </c>
      <c r="G1049" s="4">
        <f t="shared" si="27"/>
        <v>322</v>
      </c>
    </row>
    <row r="1050" spans="5:7" x14ac:dyDescent="0.25">
      <c r="E1050" s="4">
        <v>323</v>
      </c>
      <c r="F1050" s="4">
        <v>0</v>
      </c>
      <c r="G1050" s="4">
        <f t="shared" si="27"/>
        <v>323</v>
      </c>
    </row>
    <row r="1051" spans="5:7" x14ac:dyDescent="0.25">
      <c r="E1051" s="4">
        <v>324</v>
      </c>
      <c r="F1051" s="4">
        <v>0</v>
      </c>
      <c r="G1051" s="4">
        <f t="shared" si="27"/>
        <v>324</v>
      </c>
    </row>
    <row r="1052" spans="5:7" x14ac:dyDescent="0.25">
      <c r="E1052" s="4">
        <v>325</v>
      </c>
      <c r="F1052" s="4">
        <v>0</v>
      </c>
      <c r="G1052" s="4">
        <f t="shared" si="27"/>
        <v>325</v>
      </c>
    </row>
    <row r="1053" spans="5:7" x14ac:dyDescent="0.25">
      <c r="E1053" s="4">
        <v>326</v>
      </c>
      <c r="F1053" s="4">
        <v>0</v>
      </c>
      <c r="G1053" s="4">
        <f t="shared" si="27"/>
        <v>326</v>
      </c>
    </row>
    <row r="1054" spans="5:7" x14ac:dyDescent="0.25">
      <c r="E1054" s="4">
        <v>327</v>
      </c>
      <c r="F1054" s="4">
        <v>0</v>
      </c>
      <c r="G1054" s="4">
        <f t="shared" si="27"/>
        <v>327</v>
      </c>
    </row>
    <row r="1055" spans="5:7" x14ac:dyDescent="0.25">
      <c r="E1055" s="4">
        <v>328</v>
      </c>
      <c r="F1055" s="4">
        <v>0</v>
      </c>
      <c r="G1055" s="4">
        <f t="shared" si="27"/>
        <v>328</v>
      </c>
    </row>
    <row r="1056" spans="5:7" x14ac:dyDescent="0.25">
      <c r="E1056" s="4">
        <v>329</v>
      </c>
      <c r="F1056" s="4">
        <v>0</v>
      </c>
      <c r="G1056" s="4">
        <f t="shared" si="27"/>
        <v>329</v>
      </c>
    </row>
    <row r="1057" spans="5:7" x14ac:dyDescent="0.25">
      <c r="E1057" s="4">
        <v>330</v>
      </c>
      <c r="F1057" s="4">
        <v>0</v>
      </c>
      <c r="G1057" s="4">
        <f t="shared" si="27"/>
        <v>330</v>
      </c>
    </row>
    <row r="1058" spans="5:7" x14ac:dyDescent="0.25">
      <c r="E1058" s="4">
        <v>331</v>
      </c>
      <c r="F1058" s="4">
        <v>0</v>
      </c>
      <c r="G1058" s="4">
        <f t="shared" si="27"/>
        <v>331</v>
      </c>
    </row>
    <row r="1059" spans="5:7" x14ac:dyDescent="0.25">
      <c r="E1059" s="4">
        <v>332</v>
      </c>
      <c r="F1059" s="4">
        <v>0</v>
      </c>
      <c r="G1059" s="4">
        <f t="shared" si="27"/>
        <v>332</v>
      </c>
    </row>
    <row r="1060" spans="5:7" x14ac:dyDescent="0.25">
      <c r="E1060" s="4">
        <v>333</v>
      </c>
      <c r="F1060" s="4">
        <v>0</v>
      </c>
      <c r="G1060" s="4">
        <f t="shared" si="27"/>
        <v>333</v>
      </c>
    </row>
    <row r="1061" spans="5:7" x14ac:dyDescent="0.25">
      <c r="E1061" s="4">
        <v>334</v>
      </c>
      <c r="F1061" s="4">
        <v>0</v>
      </c>
      <c r="G1061" s="4">
        <f t="shared" si="27"/>
        <v>334</v>
      </c>
    </row>
    <row r="1062" spans="5:7" x14ac:dyDescent="0.25">
      <c r="E1062" s="4">
        <v>335</v>
      </c>
      <c r="F1062" s="4">
        <v>0</v>
      </c>
      <c r="G1062" s="4">
        <f t="shared" si="27"/>
        <v>335</v>
      </c>
    </row>
    <row r="1063" spans="5:7" x14ac:dyDescent="0.25">
      <c r="E1063" s="4">
        <v>336</v>
      </c>
      <c r="F1063" s="4">
        <v>0</v>
      </c>
      <c r="G1063" s="4">
        <f t="shared" si="27"/>
        <v>336</v>
      </c>
    </row>
    <row r="1064" spans="5:7" x14ac:dyDescent="0.25">
      <c r="E1064" s="4">
        <v>337</v>
      </c>
      <c r="F1064" s="4">
        <v>0</v>
      </c>
      <c r="G1064" s="4">
        <f t="shared" si="27"/>
        <v>337</v>
      </c>
    </row>
    <row r="1065" spans="5:7" x14ac:dyDescent="0.25">
      <c r="E1065" s="4">
        <v>338</v>
      </c>
      <c r="F1065" s="4">
        <v>0</v>
      </c>
      <c r="G1065" s="4">
        <f t="shared" si="27"/>
        <v>338</v>
      </c>
    </row>
    <row r="1066" spans="5:7" x14ac:dyDescent="0.25">
      <c r="E1066" s="4">
        <v>339</v>
      </c>
      <c r="F1066" s="4">
        <v>0</v>
      </c>
      <c r="G1066" s="4">
        <f t="shared" si="27"/>
        <v>339</v>
      </c>
    </row>
    <row r="1067" spans="5:7" x14ac:dyDescent="0.25">
      <c r="E1067" s="4">
        <v>340</v>
      </c>
      <c r="F1067" s="4">
        <v>0</v>
      </c>
      <c r="G1067" s="4">
        <f t="shared" si="27"/>
        <v>340</v>
      </c>
    </row>
    <row r="1068" spans="5:7" x14ac:dyDescent="0.25">
      <c r="E1068" s="4">
        <v>341</v>
      </c>
      <c r="F1068" s="4">
        <v>0</v>
      </c>
      <c r="G1068" s="4">
        <f t="shared" si="27"/>
        <v>341</v>
      </c>
    </row>
    <row r="1069" spans="5:7" x14ac:dyDescent="0.25">
      <c r="E1069" s="4">
        <v>342</v>
      </c>
      <c r="F1069" s="4">
        <v>0</v>
      </c>
      <c r="G1069" s="4">
        <f t="shared" si="27"/>
        <v>342</v>
      </c>
    </row>
    <row r="1070" spans="5:7" x14ac:dyDescent="0.25">
      <c r="E1070" s="4">
        <v>343</v>
      </c>
      <c r="F1070" s="4">
        <v>0</v>
      </c>
      <c r="G1070" s="4">
        <f t="shared" si="27"/>
        <v>343</v>
      </c>
    </row>
    <row r="1071" spans="5:7" x14ac:dyDescent="0.25">
      <c r="E1071" s="4">
        <v>344</v>
      </c>
      <c r="F1071" s="4">
        <v>0</v>
      </c>
      <c r="G1071" s="4">
        <f t="shared" si="27"/>
        <v>344</v>
      </c>
    </row>
    <row r="1072" spans="5:7" x14ac:dyDescent="0.25">
      <c r="E1072" s="4">
        <v>345</v>
      </c>
      <c r="F1072" s="4">
        <v>0</v>
      </c>
      <c r="G1072" s="4">
        <f t="shared" si="27"/>
        <v>345</v>
      </c>
    </row>
    <row r="1073" spans="5:7" x14ac:dyDescent="0.25">
      <c r="E1073" s="4">
        <v>346</v>
      </c>
      <c r="F1073" s="4">
        <v>0</v>
      </c>
      <c r="G1073" s="4">
        <f t="shared" si="27"/>
        <v>346</v>
      </c>
    </row>
    <row r="1074" spans="5:7" x14ac:dyDescent="0.25">
      <c r="E1074" s="4">
        <v>347</v>
      </c>
      <c r="F1074" s="4">
        <v>0</v>
      </c>
      <c r="G1074" s="4">
        <f t="shared" si="27"/>
        <v>347</v>
      </c>
    </row>
    <row r="1075" spans="5:7" x14ac:dyDescent="0.25">
      <c r="E1075" s="4">
        <v>348</v>
      </c>
      <c r="F1075" s="4">
        <v>0</v>
      </c>
      <c r="G1075" s="4">
        <f t="shared" si="27"/>
        <v>348</v>
      </c>
    </row>
    <row r="1076" spans="5:7" x14ac:dyDescent="0.25">
      <c r="E1076" s="4">
        <v>349</v>
      </c>
      <c r="F1076" s="4">
        <v>0</v>
      </c>
      <c r="G1076" s="4">
        <f t="shared" si="27"/>
        <v>349</v>
      </c>
    </row>
    <row r="1077" spans="5:7" x14ac:dyDescent="0.25">
      <c r="E1077" s="4">
        <v>350</v>
      </c>
      <c r="F1077" s="4">
        <v>0</v>
      </c>
      <c r="G1077" s="4">
        <f t="shared" si="27"/>
        <v>350</v>
      </c>
    </row>
    <row r="1078" spans="5:7" x14ac:dyDescent="0.25">
      <c r="E1078" s="4">
        <v>351</v>
      </c>
      <c r="F1078" s="4">
        <v>0</v>
      </c>
      <c r="G1078" s="4">
        <f t="shared" si="27"/>
        <v>351</v>
      </c>
    </row>
    <row r="1079" spans="5:7" x14ac:dyDescent="0.25">
      <c r="E1079" s="4">
        <v>352</v>
      </c>
      <c r="F1079" s="4">
        <v>0</v>
      </c>
      <c r="G1079" s="4">
        <f t="shared" si="27"/>
        <v>352</v>
      </c>
    </row>
    <row r="1080" spans="5:7" x14ac:dyDescent="0.25">
      <c r="E1080" s="4">
        <v>353</v>
      </c>
      <c r="F1080" s="4">
        <v>0</v>
      </c>
      <c r="G1080" s="4">
        <f t="shared" si="27"/>
        <v>353</v>
      </c>
    </row>
    <row r="1081" spans="5:7" x14ac:dyDescent="0.25">
      <c r="E1081" s="4">
        <v>354</v>
      </c>
      <c r="F1081" s="4">
        <v>0</v>
      </c>
      <c r="G1081" s="4">
        <f t="shared" si="27"/>
        <v>354</v>
      </c>
    </row>
    <row r="1082" spans="5:7" x14ac:dyDescent="0.25">
      <c r="E1082" s="4">
        <v>355</v>
      </c>
      <c r="F1082" s="4">
        <v>0</v>
      </c>
      <c r="G1082" s="4">
        <f t="shared" si="27"/>
        <v>355</v>
      </c>
    </row>
    <row r="1083" spans="5:7" x14ac:dyDescent="0.25">
      <c r="E1083" s="4">
        <v>356</v>
      </c>
      <c r="F1083" s="4">
        <v>0</v>
      </c>
      <c r="G1083" s="4">
        <f t="shared" si="27"/>
        <v>356</v>
      </c>
    </row>
    <row r="1084" spans="5:7" x14ac:dyDescent="0.25">
      <c r="E1084" s="4">
        <v>357</v>
      </c>
      <c r="F1084" s="4">
        <v>0</v>
      </c>
      <c r="G1084" s="4">
        <f t="shared" si="27"/>
        <v>357</v>
      </c>
    </row>
    <row r="1085" spans="5:7" x14ac:dyDescent="0.25">
      <c r="E1085" s="4">
        <v>358</v>
      </c>
      <c r="F1085" s="4">
        <v>0</v>
      </c>
      <c r="G1085" s="4">
        <f t="shared" si="27"/>
        <v>358</v>
      </c>
    </row>
    <row r="1086" spans="5:7" x14ac:dyDescent="0.25">
      <c r="E1086" s="4">
        <v>359</v>
      </c>
      <c r="F1086" s="4">
        <v>0</v>
      </c>
      <c r="G1086" s="4">
        <f t="shared" si="27"/>
        <v>359</v>
      </c>
    </row>
    <row r="1087" spans="5:7" x14ac:dyDescent="0.25">
      <c r="E1087" s="4">
        <v>360</v>
      </c>
      <c r="F1087" s="4">
        <v>0</v>
      </c>
      <c r="G1087" s="4">
        <f t="shared" si="27"/>
        <v>360</v>
      </c>
    </row>
    <row r="1088" spans="5:7" x14ac:dyDescent="0.25">
      <c r="E1088" s="4">
        <v>361</v>
      </c>
      <c r="F1088" s="4">
        <v>0</v>
      </c>
      <c r="G1088" s="4">
        <f t="shared" si="27"/>
        <v>361</v>
      </c>
    </row>
    <row r="1089" spans="5:7" x14ac:dyDescent="0.25">
      <c r="E1089" s="4">
        <v>362</v>
      </c>
      <c r="F1089" s="4">
        <v>0</v>
      </c>
      <c r="G1089" s="4">
        <f t="shared" si="27"/>
        <v>362</v>
      </c>
    </row>
    <row r="1090" spans="5:7" x14ac:dyDescent="0.25">
      <c r="E1090" s="4">
        <v>363</v>
      </c>
      <c r="F1090" s="4">
        <v>0</v>
      </c>
      <c r="G1090" s="4">
        <f t="shared" si="27"/>
        <v>363</v>
      </c>
    </row>
    <row r="1091" spans="5:7" x14ac:dyDescent="0.25">
      <c r="E1091" s="4">
        <v>364</v>
      </c>
      <c r="F1091" s="4">
        <v>0</v>
      </c>
      <c r="G1091" s="4">
        <f t="shared" si="27"/>
        <v>364</v>
      </c>
    </row>
    <row r="1092" spans="5:7" x14ac:dyDescent="0.25">
      <c r="E1092" s="4">
        <v>365</v>
      </c>
      <c r="F1092" s="4">
        <v>0</v>
      </c>
      <c r="G1092" s="4">
        <f t="shared" si="27"/>
        <v>365</v>
      </c>
    </row>
    <row r="1093" spans="5:7" x14ac:dyDescent="0.25">
      <c r="E1093" s="4">
        <v>366</v>
      </c>
      <c r="F1093" s="4">
        <v>0</v>
      </c>
      <c r="G1093" s="4">
        <f t="shared" si="27"/>
        <v>366</v>
      </c>
    </row>
    <row r="1094" spans="5:7" x14ac:dyDescent="0.25">
      <c r="E1094" s="4">
        <v>367</v>
      </c>
      <c r="F1094" s="4">
        <v>0</v>
      </c>
      <c r="G1094" s="4">
        <f t="shared" si="27"/>
        <v>367</v>
      </c>
    </row>
    <row r="1095" spans="5:7" x14ac:dyDescent="0.25">
      <c r="E1095" s="4">
        <v>368</v>
      </c>
      <c r="F1095" s="4">
        <v>0</v>
      </c>
      <c r="G1095" s="4">
        <f t="shared" si="27"/>
        <v>368</v>
      </c>
    </row>
    <row r="1096" spans="5:7" x14ac:dyDescent="0.25">
      <c r="E1096" s="4">
        <v>369</v>
      </c>
      <c r="F1096" s="4">
        <v>0</v>
      </c>
      <c r="G1096" s="4">
        <f t="shared" si="27"/>
        <v>369</v>
      </c>
    </row>
    <row r="1097" spans="5:7" x14ac:dyDescent="0.25">
      <c r="E1097" s="4">
        <v>370</v>
      </c>
      <c r="F1097" s="4">
        <v>0</v>
      </c>
      <c r="G1097" s="4">
        <f t="shared" si="27"/>
        <v>370</v>
      </c>
    </row>
    <row r="1098" spans="5:7" x14ac:dyDescent="0.25">
      <c r="E1098" s="4">
        <v>371</v>
      </c>
      <c r="F1098" s="4">
        <v>0</v>
      </c>
      <c r="G1098" s="4">
        <f t="shared" si="27"/>
        <v>371</v>
      </c>
    </row>
    <row r="1099" spans="5:7" x14ac:dyDescent="0.25">
      <c r="E1099" s="4">
        <v>372</v>
      </c>
      <c r="F1099" s="4">
        <v>0</v>
      </c>
      <c r="G1099" s="4">
        <f t="shared" si="27"/>
        <v>372</v>
      </c>
    </row>
    <row r="1100" spans="5:7" x14ac:dyDescent="0.25">
      <c r="E1100" s="4">
        <v>373</v>
      </c>
      <c r="F1100" s="4">
        <v>0</v>
      </c>
      <c r="G1100" s="4">
        <f t="shared" si="27"/>
        <v>373</v>
      </c>
    </row>
    <row r="1101" spans="5:7" x14ac:dyDescent="0.25">
      <c r="E1101" s="4">
        <v>374</v>
      </c>
      <c r="F1101" s="4">
        <v>0</v>
      </c>
      <c r="G1101" s="4">
        <f t="shared" ref="G1101:G1164" si="28">ROUND(E1101+F1101,0)</f>
        <v>374</v>
      </c>
    </row>
    <row r="1102" spans="5:7" x14ac:dyDescent="0.25">
      <c r="E1102" s="4">
        <v>375</v>
      </c>
      <c r="F1102" s="4">
        <v>0</v>
      </c>
      <c r="G1102" s="4">
        <f t="shared" si="28"/>
        <v>375</v>
      </c>
    </row>
    <row r="1103" spans="5:7" x14ac:dyDescent="0.25">
      <c r="E1103" s="4">
        <v>376</v>
      </c>
      <c r="F1103" s="4">
        <v>0</v>
      </c>
      <c r="G1103" s="4">
        <f t="shared" si="28"/>
        <v>376</v>
      </c>
    </row>
    <row r="1104" spans="5:7" x14ac:dyDescent="0.25">
      <c r="E1104" s="4">
        <v>377</v>
      </c>
      <c r="F1104" s="4">
        <v>0</v>
      </c>
      <c r="G1104" s="4">
        <f t="shared" si="28"/>
        <v>377</v>
      </c>
    </row>
    <row r="1105" spans="5:7" x14ac:dyDescent="0.25">
      <c r="E1105" s="4">
        <v>378</v>
      </c>
      <c r="F1105" s="4">
        <v>0</v>
      </c>
      <c r="G1105" s="4">
        <f t="shared" si="28"/>
        <v>378</v>
      </c>
    </row>
    <row r="1106" spans="5:7" x14ac:dyDescent="0.25">
      <c r="E1106" s="4">
        <v>379</v>
      </c>
      <c r="F1106" s="4">
        <v>0</v>
      </c>
      <c r="G1106" s="4">
        <f t="shared" si="28"/>
        <v>379</v>
      </c>
    </row>
    <row r="1107" spans="5:7" x14ac:dyDescent="0.25">
      <c r="E1107" s="4">
        <v>380</v>
      </c>
      <c r="F1107" s="4">
        <v>0</v>
      </c>
      <c r="G1107" s="4">
        <f t="shared" si="28"/>
        <v>380</v>
      </c>
    </row>
    <row r="1108" spans="5:7" x14ac:dyDescent="0.25">
      <c r="E1108" s="4">
        <v>381</v>
      </c>
      <c r="F1108" s="4">
        <v>0</v>
      </c>
      <c r="G1108" s="4">
        <f t="shared" si="28"/>
        <v>381</v>
      </c>
    </row>
    <row r="1109" spans="5:7" x14ac:dyDescent="0.25">
      <c r="E1109" s="4">
        <v>382</v>
      </c>
      <c r="F1109" s="4">
        <v>0</v>
      </c>
      <c r="G1109" s="4">
        <f t="shared" si="28"/>
        <v>382</v>
      </c>
    </row>
    <row r="1110" spans="5:7" x14ac:dyDescent="0.25">
      <c r="E1110" s="4">
        <v>383</v>
      </c>
      <c r="F1110" s="4">
        <v>0</v>
      </c>
      <c r="G1110" s="4">
        <f t="shared" si="28"/>
        <v>383</v>
      </c>
    </row>
    <row r="1111" spans="5:7" x14ac:dyDescent="0.25">
      <c r="E1111" s="4">
        <v>384</v>
      </c>
      <c r="F1111" s="4">
        <v>0</v>
      </c>
      <c r="G1111" s="4">
        <f t="shared" si="28"/>
        <v>384</v>
      </c>
    </row>
    <row r="1112" spans="5:7" x14ac:dyDescent="0.25">
      <c r="E1112" s="4">
        <v>385</v>
      </c>
      <c r="F1112" s="4">
        <v>0</v>
      </c>
      <c r="G1112" s="4">
        <f t="shared" si="28"/>
        <v>385</v>
      </c>
    </row>
    <row r="1113" spans="5:7" x14ac:dyDescent="0.25">
      <c r="E1113" s="4">
        <v>386</v>
      </c>
      <c r="F1113" s="4">
        <v>0</v>
      </c>
      <c r="G1113" s="4">
        <f t="shared" si="28"/>
        <v>386</v>
      </c>
    </row>
    <row r="1114" spans="5:7" x14ac:dyDescent="0.25">
      <c r="E1114" s="4">
        <v>387</v>
      </c>
      <c r="F1114" s="4">
        <v>0</v>
      </c>
      <c r="G1114" s="4">
        <f t="shared" si="28"/>
        <v>387</v>
      </c>
    </row>
    <row r="1115" spans="5:7" x14ac:dyDescent="0.25">
      <c r="E1115" s="4">
        <v>388</v>
      </c>
      <c r="F1115" s="4">
        <v>0</v>
      </c>
      <c r="G1115" s="4">
        <f t="shared" si="28"/>
        <v>388</v>
      </c>
    </row>
    <row r="1116" spans="5:7" x14ac:dyDescent="0.25">
      <c r="E1116" s="4">
        <v>389</v>
      </c>
      <c r="F1116" s="4">
        <v>0</v>
      </c>
      <c r="G1116" s="4">
        <f t="shared" si="28"/>
        <v>389</v>
      </c>
    </row>
    <row r="1117" spans="5:7" x14ac:dyDescent="0.25">
      <c r="E1117" s="4">
        <v>390</v>
      </c>
      <c r="F1117" s="4">
        <v>0</v>
      </c>
      <c r="G1117" s="4">
        <f t="shared" si="28"/>
        <v>390</v>
      </c>
    </row>
    <row r="1118" spans="5:7" x14ac:dyDescent="0.25">
      <c r="E1118" s="4">
        <v>391</v>
      </c>
      <c r="F1118" s="4">
        <v>0</v>
      </c>
      <c r="G1118" s="4">
        <f t="shared" si="28"/>
        <v>391</v>
      </c>
    </row>
    <row r="1119" spans="5:7" x14ac:dyDescent="0.25">
      <c r="E1119" s="4">
        <v>392</v>
      </c>
      <c r="F1119" s="4">
        <v>0</v>
      </c>
      <c r="G1119" s="4">
        <f t="shared" si="28"/>
        <v>392</v>
      </c>
    </row>
    <row r="1120" spans="5:7" x14ac:dyDescent="0.25">
      <c r="E1120" s="4">
        <v>393</v>
      </c>
      <c r="F1120" s="4">
        <v>0</v>
      </c>
      <c r="G1120" s="4">
        <f t="shared" si="28"/>
        <v>393</v>
      </c>
    </row>
    <row r="1121" spans="5:7" x14ac:dyDescent="0.25">
      <c r="E1121" s="4">
        <v>394</v>
      </c>
      <c r="F1121" s="4">
        <v>0</v>
      </c>
      <c r="G1121" s="4">
        <f t="shared" si="28"/>
        <v>394</v>
      </c>
    </row>
    <row r="1122" spans="5:7" x14ac:dyDescent="0.25">
      <c r="E1122" s="4">
        <v>395</v>
      </c>
      <c r="F1122" s="4">
        <v>0</v>
      </c>
      <c r="G1122" s="4">
        <f t="shared" si="28"/>
        <v>395</v>
      </c>
    </row>
    <row r="1123" spans="5:7" x14ac:dyDescent="0.25">
      <c r="E1123" s="4">
        <v>396</v>
      </c>
      <c r="F1123" s="4">
        <v>0</v>
      </c>
      <c r="G1123" s="4">
        <f t="shared" si="28"/>
        <v>396</v>
      </c>
    </row>
    <row r="1124" spans="5:7" x14ac:dyDescent="0.25">
      <c r="E1124" s="4">
        <v>397</v>
      </c>
      <c r="F1124" s="4">
        <v>0</v>
      </c>
      <c r="G1124" s="4">
        <f t="shared" si="28"/>
        <v>397</v>
      </c>
    </row>
    <row r="1125" spans="5:7" x14ac:dyDescent="0.25">
      <c r="E1125" s="4">
        <v>398</v>
      </c>
      <c r="F1125" s="4">
        <v>0</v>
      </c>
      <c r="G1125" s="4">
        <f t="shared" si="28"/>
        <v>398</v>
      </c>
    </row>
    <row r="1126" spans="5:7" x14ac:dyDescent="0.25">
      <c r="E1126" s="4">
        <v>399</v>
      </c>
      <c r="F1126" s="4">
        <v>0</v>
      </c>
      <c r="G1126" s="4">
        <f t="shared" si="28"/>
        <v>399</v>
      </c>
    </row>
    <row r="1127" spans="5:7" x14ac:dyDescent="0.25">
      <c r="E1127" s="4">
        <v>400</v>
      </c>
      <c r="F1127" s="4">
        <v>0</v>
      </c>
      <c r="G1127" s="4">
        <f t="shared" si="28"/>
        <v>400</v>
      </c>
    </row>
    <row r="1128" spans="5:7" x14ac:dyDescent="0.25">
      <c r="E1128" s="4">
        <v>401</v>
      </c>
      <c r="F1128" s="4">
        <v>0</v>
      </c>
      <c r="G1128" s="4">
        <f t="shared" si="28"/>
        <v>401</v>
      </c>
    </row>
    <row r="1129" spans="5:7" x14ac:dyDescent="0.25">
      <c r="E1129" s="4">
        <v>402</v>
      </c>
      <c r="F1129" s="4">
        <v>0</v>
      </c>
      <c r="G1129" s="4">
        <f t="shared" si="28"/>
        <v>402</v>
      </c>
    </row>
    <row r="1130" spans="5:7" x14ac:dyDescent="0.25">
      <c r="E1130" s="4">
        <v>403</v>
      </c>
      <c r="F1130" s="4">
        <v>0</v>
      </c>
      <c r="G1130" s="4">
        <f t="shared" si="28"/>
        <v>403</v>
      </c>
    </row>
    <row r="1131" spans="5:7" x14ac:dyDescent="0.25">
      <c r="E1131" s="4">
        <v>404</v>
      </c>
      <c r="F1131" s="4">
        <v>0</v>
      </c>
      <c r="G1131" s="4">
        <f t="shared" si="28"/>
        <v>404</v>
      </c>
    </row>
    <row r="1132" spans="5:7" x14ac:dyDescent="0.25">
      <c r="E1132" s="4">
        <v>405</v>
      </c>
      <c r="F1132" s="4">
        <v>0</v>
      </c>
      <c r="G1132" s="4">
        <f t="shared" si="28"/>
        <v>405</v>
      </c>
    </row>
    <row r="1133" spans="5:7" x14ac:dyDescent="0.25">
      <c r="E1133" s="4">
        <v>406</v>
      </c>
      <c r="F1133" s="4">
        <v>0</v>
      </c>
      <c r="G1133" s="4">
        <f t="shared" si="28"/>
        <v>406</v>
      </c>
    </row>
    <row r="1134" spans="5:7" x14ac:dyDescent="0.25">
      <c r="E1134" s="4">
        <v>407</v>
      </c>
      <c r="F1134" s="4">
        <v>0</v>
      </c>
      <c r="G1134" s="4">
        <f t="shared" si="28"/>
        <v>407</v>
      </c>
    </row>
    <row r="1135" spans="5:7" x14ac:dyDescent="0.25">
      <c r="E1135" s="4">
        <v>408</v>
      </c>
      <c r="F1135" s="4">
        <v>0</v>
      </c>
      <c r="G1135" s="4">
        <f t="shared" si="28"/>
        <v>408</v>
      </c>
    </row>
    <row r="1136" spans="5:7" x14ac:dyDescent="0.25">
      <c r="E1136" s="4">
        <v>409</v>
      </c>
      <c r="F1136" s="4">
        <v>0</v>
      </c>
      <c r="G1136" s="4">
        <f t="shared" si="28"/>
        <v>409</v>
      </c>
    </row>
    <row r="1137" spans="5:7" x14ac:dyDescent="0.25">
      <c r="E1137" s="4">
        <v>410</v>
      </c>
      <c r="F1137" s="4">
        <v>0</v>
      </c>
      <c r="G1137" s="4">
        <f t="shared" si="28"/>
        <v>410</v>
      </c>
    </row>
    <row r="1138" spans="5:7" x14ac:dyDescent="0.25">
      <c r="E1138" s="4">
        <v>411</v>
      </c>
      <c r="F1138" s="4">
        <v>0</v>
      </c>
      <c r="G1138" s="4">
        <f t="shared" si="28"/>
        <v>411</v>
      </c>
    </row>
    <row r="1139" spans="5:7" x14ac:dyDescent="0.25">
      <c r="E1139" s="4">
        <v>412</v>
      </c>
      <c r="F1139" s="4">
        <v>0</v>
      </c>
      <c r="G1139" s="4">
        <f t="shared" si="28"/>
        <v>412</v>
      </c>
    </row>
    <row r="1140" spans="5:7" x14ac:dyDescent="0.25">
      <c r="E1140" s="4">
        <v>413</v>
      </c>
      <c r="F1140" s="4">
        <v>0</v>
      </c>
      <c r="G1140" s="4">
        <f t="shared" si="28"/>
        <v>413</v>
      </c>
    </row>
    <row r="1141" spans="5:7" x14ac:dyDescent="0.25">
      <c r="E1141" s="4">
        <v>414</v>
      </c>
      <c r="F1141" s="4">
        <v>0</v>
      </c>
      <c r="G1141" s="4">
        <f t="shared" si="28"/>
        <v>414</v>
      </c>
    </row>
    <row r="1142" spans="5:7" x14ac:dyDescent="0.25">
      <c r="E1142" s="4">
        <v>415</v>
      </c>
      <c r="F1142" s="4">
        <v>0</v>
      </c>
      <c r="G1142" s="4">
        <f t="shared" si="28"/>
        <v>415</v>
      </c>
    </row>
    <row r="1143" spans="5:7" x14ac:dyDescent="0.25">
      <c r="E1143" s="4">
        <v>416</v>
      </c>
      <c r="F1143" s="4">
        <v>0</v>
      </c>
      <c r="G1143" s="4">
        <f t="shared" si="28"/>
        <v>416</v>
      </c>
    </row>
    <row r="1144" spans="5:7" x14ac:dyDescent="0.25">
      <c r="E1144" s="4">
        <v>417</v>
      </c>
      <c r="F1144" s="4">
        <v>0</v>
      </c>
      <c r="G1144" s="4">
        <f t="shared" si="28"/>
        <v>417</v>
      </c>
    </row>
    <row r="1145" spans="5:7" x14ac:dyDescent="0.25">
      <c r="E1145" s="4">
        <v>418</v>
      </c>
      <c r="F1145" s="4">
        <v>0</v>
      </c>
      <c r="G1145" s="4">
        <f t="shared" si="28"/>
        <v>418</v>
      </c>
    </row>
    <row r="1146" spans="5:7" x14ac:dyDescent="0.25">
      <c r="E1146" s="4">
        <v>419</v>
      </c>
      <c r="F1146" s="4">
        <v>0</v>
      </c>
      <c r="G1146" s="4">
        <f t="shared" si="28"/>
        <v>419</v>
      </c>
    </row>
    <row r="1147" spans="5:7" x14ac:dyDescent="0.25">
      <c r="E1147" s="4">
        <v>420</v>
      </c>
      <c r="F1147" s="4">
        <v>0</v>
      </c>
      <c r="G1147" s="4">
        <f t="shared" si="28"/>
        <v>420</v>
      </c>
    </row>
    <row r="1148" spans="5:7" x14ac:dyDescent="0.25">
      <c r="E1148" s="4">
        <v>421</v>
      </c>
      <c r="F1148" s="4">
        <v>0</v>
      </c>
      <c r="G1148" s="4">
        <f t="shared" si="28"/>
        <v>421</v>
      </c>
    </row>
    <row r="1149" spans="5:7" x14ac:dyDescent="0.25">
      <c r="E1149" s="4">
        <v>422</v>
      </c>
      <c r="F1149" s="4">
        <v>0</v>
      </c>
      <c r="G1149" s="4">
        <f t="shared" si="28"/>
        <v>422</v>
      </c>
    </row>
    <row r="1150" spans="5:7" x14ac:dyDescent="0.25">
      <c r="E1150" s="4">
        <v>423</v>
      </c>
      <c r="F1150" s="4">
        <v>0</v>
      </c>
      <c r="G1150" s="4">
        <f t="shared" si="28"/>
        <v>423</v>
      </c>
    </row>
    <row r="1151" spans="5:7" x14ac:dyDescent="0.25">
      <c r="E1151" s="4">
        <v>424</v>
      </c>
      <c r="F1151" s="4">
        <v>0</v>
      </c>
      <c r="G1151" s="4">
        <f t="shared" si="28"/>
        <v>424</v>
      </c>
    </row>
    <row r="1152" spans="5:7" x14ac:dyDescent="0.25">
      <c r="E1152" s="4">
        <v>425</v>
      </c>
      <c r="F1152" s="4">
        <v>0</v>
      </c>
      <c r="G1152" s="4">
        <f t="shared" si="28"/>
        <v>425</v>
      </c>
    </row>
    <row r="1153" spans="5:7" x14ac:dyDescent="0.25">
      <c r="E1153" s="4">
        <v>426</v>
      </c>
      <c r="F1153" s="4">
        <v>0</v>
      </c>
      <c r="G1153" s="4">
        <f t="shared" si="28"/>
        <v>426</v>
      </c>
    </row>
    <row r="1154" spans="5:7" x14ac:dyDescent="0.25">
      <c r="E1154" s="4">
        <v>427</v>
      </c>
      <c r="F1154" s="4">
        <v>0</v>
      </c>
      <c r="G1154" s="4">
        <f t="shared" si="28"/>
        <v>427</v>
      </c>
    </row>
    <row r="1155" spans="5:7" x14ac:dyDescent="0.25">
      <c r="E1155" s="4">
        <v>428</v>
      </c>
      <c r="F1155" s="4">
        <v>0</v>
      </c>
      <c r="G1155" s="4">
        <f t="shared" si="28"/>
        <v>428</v>
      </c>
    </row>
    <row r="1156" spans="5:7" x14ac:dyDescent="0.25">
      <c r="E1156" s="4">
        <v>429</v>
      </c>
      <c r="F1156" s="4">
        <v>0</v>
      </c>
      <c r="G1156" s="4">
        <f t="shared" si="28"/>
        <v>429</v>
      </c>
    </row>
    <row r="1157" spans="5:7" x14ac:dyDescent="0.25">
      <c r="E1157" s="4">
        <v>430</v>
      </c>
      <c r="F1157" s="4">
        <v>0</v>
      </c>
      <c r="G1157" s="4">
        <f t="shared" si="28"/>
        <v>430</v>
      </c>
    </row>
    <row r="1158" spans="5:7" x14ac:dyDescent="0.25">
      <c r="E1158" s="4">
        <v>431</v>
      </c>
      <c r="F1158" s="4">
        <v>0</v>
      </c>
      <c r="G1158" s="4">
        <f t="shared" si="28"/>
        <v>431</v>
      </c>
    </row>
    <row r="1159" spans="5:7" x14ac:dyDescent="0.25">
      <c r="E1159" s="4">
        <v>432</v>
      </c>
      <c r="F1159" s="4">
        <v>0</v>
      </c>
      <c r="G1159" s="4">
        <f t="shared" si="28"/>
        <v>432</v>
      </c>
    </row>
    <row r="1160" spans="5:7" x14ac:dyDescent="0.25">
      <c r="E1160" s="4">
        <v>433</v>
      </c>
      <c r="F1160" s="4">
        <v>0</v>
      </c>
      <c r="G1160" s="4">
        <f t="shared" si="28"/>
        <v>433</v>
      </c>
    </row>
    <row r="1161" spans="5:7" x14ac:dyDescent="0.25">
      <c r="E1161" s="4">
        <v>434</v>
      </c>
      <c r="F1161" s="4">
        <v>0</v>
      </c>
      <c r="G1161" s="4">
        <f t="shared" si="28"/>
        <v>434</v>
      </c>
    </row>
    <row r="1162" spans="5:7" x14ac:dyDescent="0.25">
      <c r="E1162" s="4">
        <v>435</v>
      </c>
      <c r="F1162" s="4">
        <v>0</v>
      </c>
      <c r="G1162" s="4">
        <f t="shared" si="28"/>
        <v>435</v>
      </c>
    </row>
    <row r="1163" spans="5:7" x14ac:dyDescent="0.25">
      <c r="E1163" s="4">
        <v>436</v>
      </c>
      <c r="F1163" s="4">
        <v>0</v>
      </c>
      <c r="G1163" s="4">
        <f t="shared" si="28"/>
        <v>436</v>
      </c>
    </row>
    <row r="1164" spans="5:7" x14ac:dyDescent="0.25">
      <c r="E1164" s="4">
        <v>437</v>
      </c>
      <c r="F1164" s="4">
        <v>0</v>
      </c>
      <c r="G1164" s="4">
        <f t="shared" si="28"/>
        <v>437</v>
      </c>
    </row>
    <row r="1165" spans="5:7" x14ac:dyDescent="0.25">
      <c r="E1165" s="4">
        <v>438</v>
      </c>
      <c r="F1165" s="4">
        <v>0</v>
      </c>
      <c r="G1165" s="4">
        <f t="shared" ref="G1165:G1228" si="29">ROUND(E1165+F1165,0)</f>
        <v>438</v>
      </c>
    </row>
    <row r="1166" spans="5:7" x14ac:dyDescent="0.25">
      <c r="E1166" s="4">
        <v>439</v>
      </c>
      <c r="F1166" s="4">
        <v>0</v>
      </c>
      <c r="G1166" s="4">
        <f t="shared" si="29"/>
        <v>439</v>
      </c>
    </row>
    <row r="1167" spans="5:7" x14ac:dyDescent="0.25">
      <c r="E1167" s="4">
        <v>440</v>
      </c>
      <c r="F1167" s="4">
        <v>0</v>
      </c>
      <c r="G1167" s="4">
        <f t="shared" si="29"/>
        <v>440</v>
      </c>
    </row>
    <row r="1168" spans="5:7" x14ac:dyDescent="0.25">
      <c r="E1168" s="4">
        <v>441</v>
      </c>
      <c r="F1168" s="4">
        <v>0</v>
      </c>
      <c r="G1168" s="4">
        <f t="shared" si="29"/>
        <v>441</v>
      </c>
    </row>
    <row r="1169" spans="5:7" x14ac:dyDescent="0.25">
      <c r="E1169" s="4">
        <v>442</v>
      </c>
      <c r="F1169" s="4">
        <v>0</v>
      </c>
      <c r="G1169" s="4">
        <f t="shared" si="29"/>
        <v>442</v>
      </c>
    </row>
    <row r="1170" spans="5:7" x14ac:dyDescent="0.25">
      <c r="E1170" s="4">
        <v>443</v>
      </c>
      <c r="F1170" s="4">
        <v>0</v>
      </c>
      <c r="G1170" s="4">
        <f t="shared" si="29"/>
        <v>443</v>
      </c>
    </row>
    <row r="1171" spans="5:7" x14ac:dyDescent="0.25">
      <c r="E1171" s="4">
        <v>444</v>
      </c>
      <c r="F1171" s="4">
        <v>0</v>
      </c>
      <c r="G1171" s="4">
        <f t="shared" si="29"/>
        <v>444</v>
      </c>
    </row>
    <row r="1172" spans="5:7" x14ac:dyDescent="0.25">
      <c r="E1172" s="4">
        <v>445</v>
      </c>
      <c r="F1172" s="4">
        <v>0</v>
      </c>
      <c r="G1172" s="4">
        <f t="shared" si="29"/>
        <v>445</v>
      </c>
    </row>
    <row r="1173" spans="5:7" x14ac:dyDescent="0.25">
      <c r="E1173" s="4">
        <v>446</v>
      </c>
      <c r="F1173" s="4">
        <v>0</v>
      </c>
      <c r="G1173" s="4">
        <f t="shared" si="29"/>
        <v>446</v>
      </c>
    </row>
    <row r="1174" spans="5:7" x14ac:dyDescent="0.25">
      <c r="E1174" s="4">
        <v>447</v>
      </c>
      <c r="F1174" s="4">
        <v>0</v>
      </c>
      <c r="G1174" s="4">
        <f t="shared" si="29"/>
        <v>447</v>
      </c>
    </row>
    <row r="1175" spans="5:7" x14ac:dyDescent="0.25">
      <c r="E1175" s="4">
        <v>448</v>
      </c>
      <c r="F1175" s="4">
        <v>0</v>
      </c>
      <c r="G1175" s="4">
        <f t="shared" si="29"/>
        <v>448</v>
      </c>
    </row>
    <row r="1176" spans="5:7" x14ac:dyDescent="0.25">
      <c r="E1176" s="4">
        <v>449</v>
      </c>
      <c r="F1176" s="4">
        <v>0</v>
      </c>
      <c r="G1176" s="4">
        <f t="shared" si="29"/>
        <v>449</v>
      </c>
    </row>
    <row r="1177" spans="5:7" x14ac:dyDescent="0.25">
      <c r="E1177" s="4">
        <v>450</v>
      </c>
      <c r="F1177" s="4">
        <v>0</v>
      </c>
      <c r="G1177" s="4">
        <f t="shared" si="29"/>
        <v>450</v>
      </c>
    </row>
    <row r="1178" spans="5:7" x14ac:dyDescent="0.25">
      <c r="E1178" s="4">
        <v>451</v>
      </c>
      <c r="F1178" s="4">
        <v>0</v>
      </c>
      <c r="G1178" s="4">
        <f t="shared" si="29"/>
        <v>451</v>
      </c>
    </row>
    <row r="1179" spans="5:7" x14ac:dyDescent="0.25">
      <c r="E1179" s="4">
        <v>452</v>
      </c>
      <c r="F1179" s="4">
        <v>0</v>
      </c>
      <c r="G1179" s="4">
        <f t="shared" si="29"/>
        <v>452</v>
      </c>
    </row>
    <row r="1180" spans="5:7" x14ac:dyDescent="0.25">
      <c r="E1180" s="4">
        <v>453</v>
      </c>
      <c r="F1180" s="4">
        <v>0</v>
      </c>
      <c r="G1180" s="4">
        <f t="shared" si="29"/>
        <v>453</v>
      </c>
    </row>
    <row r="1181" spans="5:7" x14ac:dyDescent="0.25">
      <c r="E1181" s="4">
        <v>454</v>
      </c>
      <c r="F1181" s="4">
        <v>0</v>
      </c>
      <c r="G1181" s="4">
        <f t="shared" si="29"/>
        <v>454</v>
      </c>
    </row>
    <row r="1182" spans="5:7" x14ac:dyDescent="0.25">
      <c r="E1182" s="4">
        <v>455</v>
      </c>
      <c r="F1182" s="4">
        <v>0</v>
      </c>
      <c r="G1182" s="4">
        <f t="shared" si="29"/>
        <v>455</v>
      </c>
    </row>
    <row r="1183" spans="5:7" x14ac:dyDescent="0.25">
      <c r="E1183" s="4">
        <v>456</v>
      </c>
      <c r="F1183" s="4">
        <v>0</v>
      </c>
      <c r="G1183" s="4">
        <f t="shared" si="29"/>
        <v>456</v>
      </c>
    </row>
    <row r="1184" spans="5:7" x14ac:dyDescent="0.25">
      <c r="E1184" s="4">
        <v>457</v>
      </c>
      <c r="F1184" s="4">
        <v>0</v>
      </c>
      <c r="G1184" s="4">
        <f t="shared" si="29"/>
        <v>457</v>
      </c>
    </row>
    <row r="1185" spans="5:7" x14ac:dyDescent="0.25">
      <c r="E1185" s="4">
        <v>458</v>
      </c>
      <c r="F1185" s="4">
        <v>0</v>
      </c>
      <c r="G1185" s="4">
        <f t="shared" si="29"/>
        <v>458</v>
      </c>
    </row>
    <row r="1186" spans="5:7" x14ac:dyDescent="0.25">
      <c r="E1186" s="4">
        <v>459</v>
      </c>
      <c r="F1186" s="4">
        <v>0</v>
      </c>
      <c r="G1186" s="4">
        <f t="shared" si="29"/>
        <v>459</v>
      </c>
    </row>
    <row r="1187" spans="5:7" x14ac:dyDescent="0.25">
      <c r="E1187" s="4">
        <v>460</v>
      </c>
      <c r="F1187" s="4">
        <v>0</v>
      </c>
      <c r="G1187" s="4">
        <f t="shared" si="29"/>
        <v>460</v>
      </c>
    </row>
    <row r="1188" spans="5:7" x14ac:dyDescent="0.25">
      <c r="E1188" s="4">
        <v>461</v>
      </c>
      <c r="F1188" s="4">
        <v>0</v>
      </c>
      <c r="G1188" s="4">
        <f t="shared" si="29"/>
        <v>461</v>
      </c>
    </row>
    <row r="1189" spans="5:7" x14ac:dyDescent="0.25">
      <c r="E1189" s="4">
        <v>462</v>
      </c>
      <c r="F1189" s="4">
        <v>0</v>
      </c>
      <c r="G1189" s="4">
        <f t="shared" si="29"/>
        <v>462</v>
      </c>
    </row>
    <row r="1190" spans="5:7" x14ac:dyDescent="0.25">
      <c r="E1190" s="4">
        <v>463</v>
      </c>
      <c r="F1190" s="4">
        <v>0</v>
      </c>
      <c r="G1190" s="4">
        <f t="shared" si="29"/>
        <v>463</v>
      </c>
    </row>
    <row r="1191" spans="5:7" x14ac:dyDescent="0.25">
      <c r="E1191" s="4">
        <v>464</v>
      </c>
      <c r="F1191" s="4">
        <v>0</v>
      </c>
      <c r="G1191" s="4">
        <f t="shared" si="29"/>
        <v>464</v>
      </c>
    </row>
    <row r="1192" spans="5:7" x14ac:dyDescent="0.25">
      <c r="E1192" s="4">
        <v>465</v>
      </c>
      <c r="F1192" s="4">
        <v>0</v>
      </c>
      <c r="G1192" s="4">
        <f t="shared" si="29"/>
        <v>465</v>
      </c>
    </row>
    <row r="1193" spans="5:7" x14ac:dyDescent="0.25">
      <c r="E1193" s="4">
        <v>466</v>
      </c>
      <c r="F1193" s="4">
        <v>0</v>
      </c>
      <c r="G1193" s="4">
        <f t="shared" si="29"/>
        <v>466</v>
      </c>
    </row>
    <row r="1194" spans="5:7" x14ac:dyDescent="0.25">
      <c r="E1194" s="4">
        <v>467</v>
      </c>
      <c r="F1194" s="4">
        <v>0</v>
      </c>
      <c r="G1194" s="4">
        <f t="shared" si="29"/>
        <v>467</v>
      </c>
    </row>
    <row r="1195" spans="5:7" x14ac:dyDescent="0.25">
      <c r="E1195" s="4">
        <v>468</v>
      </c>
      <c r="F1195" s="4">
        <v>0</v>
      </c>
      <c r="G1195" s="4">
        <f t="shared" si="29"/>
        <v>468</v>
      </c>
    </row>
    <row r="1196" spans="5:7" x14ac:dyDescent="0.25">
      <c r="E1196" s="4">
        <v>469</v>
      </c>
      <c r="F1196" s="4">
        <v>0</v>
      </c>
      <c r="G1196" s="4">
        <f t="shared" si="29"/>
        <v>469</v>
      </c>
    </row>
    <row r="1197" spans="5:7" x14ac:dyDescent="0.25">
      <c r="E1197" s="4">
        <v>470</v>
      </c>
      <c r="F1197" s="4">
        <v>0</v>
      </c>
      <c r="G1197" s="4">
        <f t="shared" si="29"/>
        <v>470</v>
      </c>
    </row>
    <row r="1198" spans="5:7" x14ac:dyDescent="0.25">
      <c r="E1198" s="4">
        <v>471</v>
      </c>
      <c r="F1198" s="4">
        <v>0</v>
      </c>
      <c r="G1198" s="4">
        <f t="shared" si="29"/>
        <v>471</v>
      </c>
    </row>
    <row r="1199" spans="5:7" x14ac:dyDescent="0.25">
      <c r="E1199" s="4">
        <v>472</v>
      </c>
      <c r="F1199" s="4">
        <v>0</v>
      </c>
      <c r="G1199" s="4">
        <f t="shared" si="29"/>
        <v>472</v>
      </c>
    </row>
    <row r="1200" spans="5:7" x14ac:dyDescent="0.25">
      <c r="E1200" s="4">
        <v>473</v>
      </c>
      <c r="F1200" s="4">
        <v>0</v>
      </c>
      <c r="G1200" s="4">
        <f t="shared" si="29"/>
        <v>473</v>
      </c>
    </row>
    <row r="1201" spans="5:7" x14ac:dyDescent="0.25">
      <c r="E1201" s="4">
        <v>474</v>
      </c>
      <c r="F1201" s="4">
        <v>0</v>
      </c>
      <c r="G1201" s="4">
        <f t="shared" si="29"/>
        <v>474</v>
      </c>
    </row>
    <row r="1202" spans="5:7" x14ac:dyDescent="0.25">
      <c r="E1202" s="4">
        <v>475</v>
      </c>
      <c r="F1202" s="4">
        <v>0</v>
      </c>
      <c r="G1202" s="4">
        <f t="shared" si="29"/>
        <v>475</v>
      </c>
    </row>
    <row r="1203" spans="5:7" x14ac:dyDescent="0.25">
      <c r="E1203" s="4">
        <v>476</v>
      </c>
      <c r="F1203" s="4">
        <v>0</v>
      </c>
      <c r="G1203" s="4">
        <f t="shared" si="29"/>
        <v>476</v>
      </c>
    </row>
    <row r="1204" spans="5:7" x14ac:dyDescent="0.25">
      <c r="E1204" s="4">
        <v>477</v>
      </c>
      <c r="F1204" s="4">
        <v>0</v>
      </c>
      <c r="G1204" s="4">
        <f t="shared" si="29"/>
        <v>477</v>
      </c>
    </row>
    <row r="1205" spans="5:7" x14ac:dyDescent="0.25">
      <c r="E1205" s="4">
        <v>478</v>
      </c>
      <c r="F1205" s="4">
        <v>0</v>
      </c>
      <c r="G1205" s="4">
        <f t="shared" si="29"/>
        <v>478</v>
      </c>
    </row>
    <row r="1206" spans="5:7" x14ac:dyDescent="0.25">
      <c r="E1206" s="4">
        <v>479</v>
      </c>
      <c r="F1206" s="4">
        <v>0</v>
      </c>
      <c r="G1206" s="4">
        <f t="shared" si="29"/>
        <v>479</v>
      </c>
    </row>
    <row r="1207" spans="5:7" x14ac:dyDescent="0.25">
      <c r="E1207" s="4">
        <v>480</v>
      </c>
      <c r="F1207" s="4">
        <v>0</v>
      </c>
      <c r="G1207" s="4">
        <f t="shared" si="29"/>
        <v>480</v>
      </c>
    </row>
    <row r="1208" spans="5:7" x14ac:dyDescent="0.25">
      <c r="E1208" s="4">
        <v>481</v>
      </c>
      <c r="F1208" s="4">
        <v>0</v>
      </c>
      <c r="G1208" s="4">
        <f t="shared" si="29"/>
        <v>481</v>
      </c>
    </row>
    <row r="1209" spans="5:7" x14ac:dyDescent="0.25">
      <c r="E1209" s="4">
        <v>482</v>
      </c>
      <c r="F1209" s="4">
        <v>0</v>
      </c>
      <c r="G1209" s="4">
        <f t="shared" si="29"/>
        <v>482</v>
      </c>
    </row>
    <row r="1210" spans="5:7" x14ac:dyDescent="0.25">
      <c r="E1210" s="4">
        <v>483</v>
      </c>
      <c r="F1210" s="4">
        <v>0</v>
      </c>
      <c r="G1210" s="4">
        <f t="shared" si="29"/>
        <v>483</v>
      </c>
    </row>
    <row r="1211" spans="5:7" x14ac:dyDescent="0.25">
      <c r="E1211" s="4">
        <v>484</v>
      </c>
      <c r="F1211" s="4">
        <v>0</v>
      </c>
      <c r="G1211" s="4">
        <f t="shared" si="29"/>
        <v>484</v>
      </c>
    </row>
    <row r="1212" spans="5:7" x14ac:dyDescent="0.25">
      <c r="E1212" s="4">
        <v>485</v>
      </c>
      <c r="F1212" s="4">
        <v>0</v>
      </c>
      <c r="G1212" s="4">
        <f t="shared" si="29"/>
        <v>485</v>
      </c>
    </row>
    <row r="1213" spans="5:7" x14ac:dyDescent="0.25">
      <c r="E1213" s="4">
        <v>486</v>
      </c>
      <c r="F1213" s="4">
        <v>0</v>
      </c>
      <c r="G1213" s="4">
        <f t="shared" si="29"/>
        <v>486</v>
      </c>
    </row>
    <row r="1214" spans="5:7" x14ac:dyDescent="0.25">
      <c r="E1214" s="4">
        <v>487</v>
      </c>
      <c r="F1214" s="4">
        <v>0</v>
      </c>
      <c r="G1214" s="4">
        <f t="shared" si="29"/>
        <v>487</v>
      </c>
    </row>
    <row r="1215" spans="5:7" x14ac:dyDescent="0.25">
      <c r="E1215" s="4">
        <v>488</v>
      </c>
      <c r="F1215" s="4">
        <v>0</v>
      </c>
      <c r="G1215" s="4">
        <f t="shared" si="29"/>
        <v>488</v>
      </c>
    </row>
    <row r="1216" spans="5:7" x14ac:dyDescent="0.25">
      <c r="E1216" s="4">
        <v>489</v>
      </c>
      <c r="F1216" s="4">
        <v>0</v>
      </c>
      <c r="G1216" s="4">
        <f t="shared" si="29"/>
        <v>489</v>
      </c>
    </row>
    <row r="1217" spans="5:7" x14ac:dyDescent="0.25">
      <c r="E1217" s="4">
        <v>490</v>
      </c>
      <c r="F1217" s="4">
        <v>0</v>
      </c>
      <c r="G1217" s="4">
        <f t="shared" si="29"/>
        <v>490</v>
      </c>
    </row>
    <row r="1218" spans="5:7" x14ac:dyDescent="0.25">
      <c r="E1218" s="4">
        <v>491</v>
      </c>
      <c r="F1218" s="4">
        <v>0</v>
      </c>
      <c r="G1218" s="4">
        <f t="shared" si="29"/>
        <v>491</v>
      </c>
    </row>
    <row r="1219" spans="5:7" x14ac:dyDescent="0.25">
      <c r="E1219" s="4">
        <v>492</v>
      </c>
      <c r="F1219" s="4">
        <v>0</v>
      </c>
      <c r="G1219" s="4">
        <f t="shared" si="29"/>
        <v>492</v>
      </c>
    </row>
    <row r="1220" spans="5:7" x14ac:dyDescent="0.25">
      <c r="E1220" s="4">
        <v>493</v>
      </c>
      <c r="F1220" s="4">
        <v>0</v>
      </c>
      <c r="G1220" s="4">
        <f t="shared" si="29"/>
        <v>493</v>
      </c>
    </row>
    <row r="1221" spans="5:7" x14ac:dyDescent="0.25">
      <c r="E1221" s="4">
        <v>494</v>
      </c>
      <c r="F1221" s="4">
        <v>0</v>
      </c>
      <c r="G1221" s="4">
        <f t="shared" si="29"/>
        <v>494</v>
      </c>
    </row>
    <row r="1222" spans="5:7" x14ac:dyDescent="0.25">
      <c r="E1222" s="4">
        <v>495</v>
      </c>
      <c r="F1222" s="4">
        <v>0</v>
      </c>
      <c r="G1222" s="4">
        <f t="shared" si="29"/>
        <v>495</v>
      </c>
    </row>
    <row r="1223" spans="5:7" x14ac:dyDescent="0.25">
      <c r="E1223" s="4">
        <v>496</v>
      </c>
      <c r="F1223" s="4">
        <v>0</v>
      </c>
      <c r="G1223" s="4">
        <f t="shared" si="29"/>
        <v>496</v>
      </c>
    </row>
    <row r="1224" spans="5:7" x14ac:dyDescent="0.25">
      <c r="E1224" s="4">
        <v>497</v>
      </c>
      <c r="F1224" s="4">
        <v>0</v>
      </c>
      <c r="G1224" s="4">
        <f t="shared" si="29"/>
        <v>497</v>
      </c>
    </row>
    <row r="1225" spans="5:7" x14ac:dyDescent="0.25">
      <c r="E1225" s="4">
        <v>498</v>
      </c>
      <c r="F1225" s="4">
        <v>0</v>
      </c>
      <c r="G1225" s="4">
        <f t="shared" si="29"/>
        <v>498</v>
      </c>
    </row>
    <row r="1226" spans="5:7" x14ac:dyDescent="0.25">
      <c r="E1226" s="4">
        <v>499</v>
      </c>
      <c r="F1226" s="4">
        <v>0</v>
      </c>
      <c r="G1226" s="4">
        <f t="shared" si="29"/>
        <v>499</v>
      </c>
    </row>
    <row r="1227" spans="5:7" x14ac:dyDescent="0.25">
      <c r="E1227" s="4">
        <v>500</v>
      </c>
      <c r="F1227" s="4">
        <v>0</v>
      </c>
      <c r="G1227" s="4">
        <f t="shared" si="29"/>
        <v>500</v>
      </c>
    </row>
    <row r="1228" spans="5:7" x14ac:dyDescent="0.25">
      <c r="E1228" s="4">
        <v>501</v>
      </c>
      <c r="F1228" s="4">
        <v>0</v>
      </c>
      <c r="G1228" s="4">
        <f t="shared" si="29"/>
        <v>501</v>
      </c>
    </row>
    <row r="1229" spans="5:7" x14ac:dyDescent="0.25">
      <c r="E1229" s="4">
        <v>502</v>
      </c>
      <c r="F1229" s="4">
        <v>0</v>
      </c>
      <c r="G1229" s="4">
        <f t="shared" ref="G1229:G1292" si="30">ROUND(E1229+F1229,0)</f>
        <v>502</v>
      </c>
    </row>
    <row r="1230" spans="5:7" x14ac:dyDescent="0.25">
      <c r="E1230" s="4">
        <v>503</v>
      </c>
      <c r="F1230" s="4">
        <v>0</v>
      </c>
      <c r="G1230" s="4">
        <f t="shared" si="30"/>
        <v>503</v>
      </c>
    </row>
    <row r="1231" spans="5:7" x14ac:dyDescent="0.25">
      <c r="E1231" s="4">
        <v>504</v>
      </c>
      <c r="F1231" s="4">
        <v>0</v>
      </c>
      <c r="G1231" s="4">
        <f t="shared" si="30"/>
        <v>504</v>
      </c>
    </row>
    <row r="1232" spans="5:7" x14ac:dyDescent="0.25">
      <c r="E1232" s="4">
        <v>505</v>
      </c>
      <c r="F1232" s="4">
        <v>0</v>
      </c>
      <c r="G1232" s="4">
        <f t="shared" si="30"/>
        <v>505</v>
      </c>
    </row>
    <row r="1233" spans="5:7" x14ac:dyDescent="0.25">
      <c r="E1233" s="4">
        <v>506</v>
      </c>
      <c r="F1233" s="4">
        <v>0</v>
      </c>
      <c r="G1233" s="4">
        <f t="shared" si="30"/>
        <v>506</v>
      </c>
    </row>
    <row r="1234" spans="5:7" x14ac:dyDescent="0.25">
      <c r="E1234" s="4">
        <v>507</v>
      </c>
      <c r="F1234" s="4">
        <v>0</v>
      </c>
      <c r="G1234" s="4">
        <f t="shared" si="30"/>
        <v>507</v>
      </c>
    </row>
    <row r="1235" spans="5:7" x14ac:dyDescent="0.25">
      <c r="E1235" s="4">
        <v>508</v>
      </c>
      <c r="F1235" s="4">
        <v>0</v>
      </c>
      <c r="G1235" s="4">
        <f t="shared" si="30"/>
        <v>508</v>
      </c>
    </row>
    <row r="1236" spans="5:7" x14ac:dyDescent="0.25">
      <c r="E1236" s="4">
        <v>509</v>
      </c>
      <c r="F1236" s="4">
        <v>0</v>
      </c>
      <c r="G1236" s="4">
        <f t="shared" si="30"/>
        <v>509</v>
      </c>
    </row>
    <row r="1237" spans="5:7" x14ac:dyDescent="0.25">
      <c r="E1237" s="4">
        <v>510</v>
      </c>
      <c r="F1237" s="4">
        <v>0</v>
      </c>
      <c r="G1237" s="4">
        <f t="shared" si="30"/>
        <v>510</v>
      </c>
    </row>
    <row r="1238" spans="5:7" x14ac:dyDescent="0.25">
      <c r="E1238" s="4">
        <v>511</v>
      </c>
      <c r="F1238" s="4">
        <v>0</v>
      </c>
      <c r="G1238" s="4">
        <f t="shared" si="30"/>
        <v>511</v>
      </c>
    </row>
    <row r="1239" spans="5:7" x14ac:dyDescent="0.25">
      <c r="E1239" s="4">
        <v>512</v>
      </c>
      <c r="F1239" s="4">
        <v>0</v>
      </c>
      <c r="G1239" s="4">
        <f t="shared" si="30"/>
        <v>512</v>
      </c>
    </row>
    <row r="1240" spans="5:7" x14ac:dyDescent="0.25">
      <c r="E1240" s="4">
        <v>513</v>
      </c>
      <c r="F1240" s="4">
        <v>0</v>
      </c>
      <c r="G1240" s="4">
        <f t="shared" si="30"/>
        <v>513</v>
      </c>
    </row>
    <row r="1241" spans="5:7" x14ac:dyDescent="0.25">
      <c r="E1241" s="4">
        <v>514</v>
      </c>
      <c r="F1241" s="4">
        <v>0</v>
      </c>
      <c r="G1241" s="4">
        <f t="shared" si="30"/>
        <v>514</v>
      </c>
    </row>
    <row r="1242" spans="5:7" x14ac:dyDescent="0.25">
      <c r="E1242" s="4">
        <v>515</v>
      </c>
      <c r="F1242" s="4">
        <v>0</v>
      </c>
      <c r="G1242" s="4">
        <f t="shared" si="30"/>
        <v>515</v>
      </c>
    </row>
    <row r="1243" spans="5:7" x14ac:dyDescent="0.25">
      <c r="E1243" s="4">
        <v>516</v>
      </c>
      <c r="F1243" s="4">
        <v>0</v>
      </c>
      <c r="G1243" s="4">
        <f t="shared" si="30"/>
        <v>516</v>
      </c>
    </row>
    <row r="1244" spans="5:7" x14ac:dyDescent="0.25">
      <c r="E1244" s="4">
        <v>517</v>
      </c>
      <c r="F1244" s="4">
        <v>0</v>
      </c>
      <c r="G1244" s="4">
        <f t="shared" si="30"/>
        <v>517</v>
      </c>
    </row>
    <row r="1245" spans="5:7" x14ac:dyDescent="0.25">
      <c r="E1245" s="4">
        <v>518</v>
      </c>
      <c r="F1245" s="4">
        <v>0</v>
      </c>
      <c r="G1245" s="4">
        <f t="shared" si="30"/>
        <v>518</v>
      </c>
    </row>
    <row r="1246" spans="5:7" x14ac:dyDescent="0.25">
      <c r="E1246" s="4">
        <v>519</v>
      </c>
      <c r="F1246" s="4">
        <v>0</v>
      </c>
      <c r="G1246" s="4">
        <f t="shared" si="30"/>
        <v>519</v>
      </c>
    </row>
    <row r="1247" spans="5:7" x14ac:dyDescent="0.25">
      <c r="E1247" s="4">
        <v>520</v>
      </c>
      <c r="F1247" s="4">
        <v>0</v>
      </c>
      <c r="G1247" s="4">
        <f t="shared" si="30"/>
        <v>520</v>
      </c>
    </row>
    <row r="1248" spans="5:7" x14ac:dyDescent="0.25">
      <c r="E1248" s="4">
        <v>521</v>
      </c>
      <c r="F1248" s="4">
        <v>0</v>
      </c>
      <c r="G1248" s="4">
        <f t="shared" si="30"/>
        <v>521</v>
      </c>
    </row>
    <row r="1249" spans="5:7" x14ac:dyDescent="0.25">
      <c r="E1249" s="4">
        <v>522</v>
      </c>
      <c r="F1249" s="4">
        <v>0</v>
      </c>
      <c r="G1249" s="4">
        <f t="shared" si="30"/>
        <v>522</v>
      </c>
    </row>
    <row r="1250" spans="5:7" x14ac:dyDescent="0.25">
      <c r="E1250" s="4">
        <v>523</v>
      </c>
      <c r="F1250" s="4">
        <v>0</v>
      </c>
      <c r="G1250" s="4">
        <f t="shared" si="30"/>
        <v>523</v>
      </c>
    </row>
    <row r="1251" spans="5:7" x14ac:dyDescent="0.25">
      <c r="E1251" s="4">
        <v>524</v>
      </c>
      <c r="F1251" s="4">
        <v>0</v>
      </c>
      <c r="G1251" s="4">
        <f t="shared" si="30"/>
        <v>524</v>
      </c>
    </row>
    <row r="1252" spans="5:7" x14ac:dyDescent="0.25">
      <c r="E1252" s="4">
        <v>525</v>
      </c>
      <c r="F1252" s="4">
        <v>0</v>
      </c>
      <c r="G1252" s="4">
        <f t="shared" si="30"/>
        <v>525</v>
      </c>
    </row>
    <row r="1253" spans="5:7" x14ac:dyDescent="0.25">
      <c r="E1253" s="4">
        <v>526</v>
      </c>
      <c r="F1253" s="4">
        <v>0</v>
      </c>
      <c r="G1253" s="4">
        <f t="shared" si="30"/>
        <v>526</v>
      </c>
    </row>
    <row r="1254" spans="5:7" x14ac:dyDescent="0.25">
      <c r="E1254" s="4">
        <v>527</v>
      </c>
      <c r="F1254" s="4">
        <v>0</v>
      </c>
      <c r="G1254" s="4">
        <f t="shared" si="30"/>
        <v>527</v>
      </c>
    </row>
    <row r="1255" spans="5:7" x14ac:dyDescent="0.25">
      <c r="E1255" s="4">
        <v>528</v>
      </c>
      <c r="F1255" s="4">
        <v>0</v>
      </c>
      <c r="G1255" s="4">
        <f t="shared" si="30"/>
        <v>528</v>
      </c>
    </row>
    <row r="1256" spans="5:7" x14ac:dyDescent="0.25">
      <c r="E1256" s="4">
        <v>529</v>
      </c>
      <c r="F1256" s="4">
        <v>0</v>
      </c>
      <c r="G1256" s="4">
        <f t="shared" si="30"/>
        <v>529</v>
      </c>
    </row>
    <row r="1257" spans="5:7" x14ac:dyDescent="0.25">
      <c r="E1257" s="4">
        <v>530</v>
      </c>
      <c r="F1257" s="4">
        <v>0</v>
      </c>
      <c r="G1257" s="4">
        <f t="shared" si="30"/>
        <v>530</v>
      </c>
    </row>
    <row r="1258" spans="5:7" x14ac:dyDescent="0.25">
      <c r="E1258" s="4">
        <v>531</v>
      </c>
      <c r="F1258" s="4">
        <v>0</v>
      </c>
      <c r="G1258" s="4">
        <f t="shared" si="30"/>
        <v>531</v>
      </c>
    </row>
    <row r="1259" spans="5:7" x14ac:dyDescent="0.25">
      <c r="E1259" s="4">
        <v>532</v>
      </c>
      <c r="F1259" s="4">
        <v>0</v>
      </c>
      <c r="G1259" s="4">
        <f t="shared" si="30"/>
        <v>532</v>
      </c>
    </row>
    <row r="1260" spans="5:7" x14ac:dyDescent="0.25">
      <c r="E1260" s="4">
        <v>533</v>
      </c>
      <c r="F1260" s="4">
        <v>0</v>
      </c>
      <c r="G1260" s="4">
        <f t="shared" si="30"/>
        <v>533</v>
      </c>
    </row>
    <row r="1261" spans="5:7" x14ac:dyDescent="0.25">
      <c r="E1261" s="4">
        <v>534</v>
      </c>
      <c r="F1261" s="4">
        <v>0</v>
      </c>
      <c r="G1261" s="4">
        <f t="shared" si="30"/>
        <v>534</v>
      </c>
    </row>
    <row r="1262" spans="5:7" x14ac:dyDescent="0.25">
      <c r="E1262" s="4">
        <v>535</v>
      </c>
      <c r="F1262" s="4">
        <v>0</v>
      </c>
      <c r="G1262" s="4">
        <f t="shared" si="30"/>
        <v>535</v>
      </c>
    </row>
    <row r="1263" spans="5:7" x14ac:dyDescent="0.25">
      <c r="E1263" s="4">
        <v>536</v>
      </c>
      <c r="F1263" s="4">
        <v>0</v>
      </c>
      <c r="G1263" s="4">
        <f t="shared" si="30"/>
        <v>536</v>
      </c>
    </row>
    <row r="1264" spans="5:7" x14ac:dyDescent="0.25">
      <c r="E1264" s="4">
        <v>537</v>
      </c>
      <c r="F1264" s="4">
        <v>0</v>
      </c>
      <c r="G1264" s="4">
        <f t="shared" si="30"/>
        <v>537</v>
      </c>
    </row>
    <row r="1265" spans="5:7" x14ac:dyDescent="0.25">
      <c r="E1265" s="4">
        <v>538</v>
      </c>
      <c r="F1265" s="4">
        <v>0</v>
      </c>
      <c r="G1265" s="4">
        <f t="shared" si="30"/>
        <v>538</v>
      </c>
    </row>
    <row r="1266" spans="5:7" x14ac:dyDescent="0.25">
      <c r="E1266" s="4">
        <v>539</v>
      </c>
      <c r="F1266" s="4">
        <v>0</v>
      </c>
      <c r="G1266" s="4">
        <f t="shared" si="30"/>
        <v>539</v>
      </c>
    </row>
    <row r="1267" spans="5:7" x14ac:dyDescent="0.25">
      <c r="E1267" s="4">
        <v>540</v>
      </c>
      <c r="F1267" s="4">
        <v>0</v>
      </c>
      <c r="G1267" s="4">
        <f t="shared" si="30"/>
        <v>540</v>
      </c>
    </row>
    <row r="1268" spans="5:7" x14ac:dyDescent="0.25">
      <c r="E1268" s="4">
        <v>541</v>
      </c>
      <c r="F1268" s="4">
        <v>0</v>
      </c>
      <c r="G1268" s="4">
        <f t="shared" si="30"/>
        <v>541</v>
      </c>
    </row>
    <row r="1269" spans="5:7" x14ac:dyDescent="0.25">
      <c r="E1269" s="4">
        <v>542</v>
      </c>
      <c r="F1269" s="4">
        <v>0</v>
      </c>
      <c r="G1269" s="4">
        <f t="shared" si="30"/>
        <v>542</v>
      </c>
    </row>
    <row r="1270" spans="5:7" x14ac:dyDescent="0.25">
      <c r="E1270" s="4">
        <v>543</v>
      </c>
      <c r="F1270" s="4">
        <v>0</v>
      </c>
      <c r="G1270" s="4">
        <f t="shared" si="30"/>
        <v>543</v>
      </c>
    </row>
    <row r="1271" spans="5:7" x14ac:dyDescent="0.25">
      <c r="E1271" s="4">
        <v>544</v>
      </c>
      <c r="F1271" s="4">
        <v>0</v>
      </c>
      <c r="G1271" s="4">
        <f t="shared" si="30"/>
        <v>544</v>
      </c>
    </row>
    <row r="1272" spans="5:7" x14ac:dyDescent="0.25">
      <c r="E1272" s="4">
        <v>545</v>
      </c>
      <c r="F1272" s="4">
        <v>0</v>
      </c>
      <c r="G1272" s="4">
        <f t="shared" si="30"/>
        <v>545</v>
      </c>
    </row>
    <row r="1273" spans="5:7" x14ac:dyDescent="0.25">
      <c r="E1273" s="4">
        <v>546</v>
      </c>
      <c r="F1273" s="4">
        <v>0</v>
      </c>
      <c r="G1273" s="4">
        <f t="shared" si="30"/>
        <v>546</v>
      </c>
    </row>
    <row r="1274" spans="5:7" x14ac:dyDescent="0.25">
      <c r="E1274" s="4">
        <v>547</v>
      </c>
      <c r="F1274" s="4">
        <v>0</v>
      </c>
      <c r="G1274" s="4">
        <f t="shared" si="30"/>
        <v>547</v>
      </c>
    </row>
    <row r="1275" spans="5:7" x14ac:dyDescent="0.25">
      <c r="E1275" s="4">
        <v>548</v>
      </c>
      <c r="F1275" s="4">
        <v>0</v>
      </c>
      <c r="G1275" s="4">
        <f t="shared" si="30"/>
        <v>548</v>
      </c>
    </row>
    <row r="1276" spans="5:7" x14ac:dyDescent="0.25">
      <c r="E1276" s="4">
        <v>549</v>
      </c>
      <c r="F1276" s="4">
        <v>0</v>
      </c>
      <c r="G1276" s="4">
        <f t="shared" si="30"/>
        <v>549</v>
      </c>
    </row>
    <row r="1277" spans="5:7" x14ac:dyDescent="0.25">
      <c r="E1277" s="4">
        <v>550</v>
      </c>
      <c r="F1277" s="4">
        <v>0</v>
      </c>
      <c r="G1277" s="4">
        <f t="shared" si="30"/>
        <v>550</v>
      </c>
    </row>
    <row r="1278" spans="5:7" x14ac:dyDescent="0.25">
      <c r="E1278" s="4">
        <v>551</v>
      </c>
      <c r="F1278" s="4">
        <v>0</v>
      </c>
      <c r="G1278" s="4">
        <f t="shared" si="30"/>
        <v>551</v>
      </c>
    </row>
    <row r="1279" spans="5:7" x14ac:dyDescent="0.25">
      <c r="E1279" s="4">
        <v>552</v>
      </c>
      <c r="F1279" s="4">
        <v>0</v>
      </c>
      <c r="G1279" s="4">
        <f t="shared" si="30"/>
        <v>552</v>
      </c>
    </row>
    <row r="1280" spans="5:7" x14ac:dyDescent="0.25">
      <c r="E1280" s="4">
        <v>553</v>
      </c>
      <c r="F1280" s="4">
        <v>0</v>
      </c>
      <c r="G1280" s="4">
        <f t="shared" si="30"/>
        <v>553</v>
      </c>
    </row>
    <row r="1281" spans="5:7" x14ac:dyDescent="0.25">
      <c r="E1281" s="4">
        <v>554</v>
      </c>
      <c r="F1281" s="4">
        <v>0</v>
      </c>
      <c r="G1281" s="4">
        <f t="shared" si="30"/>
        <v>554</v>
      </c>
    </row>
    <row r="1282" spans="5:7" x14ac:dyDescent="0.25">
      <c r="E1282" s="4">
        <v>555</v>
      </c>
      <c r="F1282" s="4">
        <v>0</v>
      </c>
      <c r="G1282" s="4">
        <f t="shared" si="30"/>
        <v>555</v>
      </c>
    </row>
    <row r="1283" spans="5:7" x14ac:dyDescent="0.25">
      <c r="E1283" s="4">
        <v>556</v>
      </c>
      <c r="F1283" s="4">
        <v>0</v>
      </c>
      <c r="G1283" s="4">
        <f t="shared" si="30"/>
        <v>556</v>
      </c>
    </row>
    <row r="1284" spans="5:7" x14ac:dyDescent="0.25">
      <c r="E1284" s="4">
        <v>557</v>
      </c>
      <c r="F1284" s="4">
        <v>0</v>
      </c>
      <c r="G1284" s="4">
        <f t="shared" si="30"/>
        <v>557</v>
      </c>
    </row>
    <row r="1285" spans="5:7" x14ac:dyDescent="0.25">
      <c r="E1285" s="4">
        <v>558</v>
      </c>
      <c r="F1285" s="4">
        <v>0</v>
      </c>
      <c r="G1285" s="4">
        <f t="shared" si="30"/>
        <v>558</v>
      </c>
    </row>
    <row r="1286" spans="5:7" x14ac:dyDescent="0.25">
      <c r="E1286" s="4">
        <v>559</v>
      </c>
      <c r="F1286" s="4">
        <v>0</v>
      </c>
      <c r="G1286" s="4">
        <f t="shared" si="30"/>
        <v>559</v>
      </c>
    </row>
    <row r="1287" spans="5:7" x14ac:dyDescent="0.25">
      <c r="E1287" s="4">
        <v>560</v>
      </c>
      <c r="F1287" s="4">
        <v>0</v>
      </c>
      <c r="G1287" s="4">
        <f t="shared" si="30"/>
        <v>560</v>
      </c>
    </row>
    <row r="1288" spans="5:7" x14ac:dyDescent="0.25">
      <c r="E1288" s="4">
        <v>561</v>
      </c>
      <c r="F1288" s="4">
        <v>0</v>
      </c>
      <c r="G1288" s="4">
        <f t="shared" si="30"/>
        <v>561</v>
      </c>
    </row>
    <row r="1289" spans="5:7" x14ac:dyDescent="0.25">
      <c r="E1289" s="4">
        <v>562</v>
      </c>
      <c r="F1289" s="4">
        <v>0</v>
      </c>
      <c r="G1289" s="4">
        <f t="shared" si="30"/>
        <v>562</v>
      </c>
    </row>
    <row r="1290" spans="5:7" x14ac:dyDescent="0.25">
      <c r="E1290" s="4">
        <v>563</v>
      </c>
      <c r="F1290" s="4">
        <v>0</v>
      </c>
      <c r="G1290" s="4">
        <f t="shared" si="30"/>
        <v>563</v>
      </c>
    </row>
    <row r="1291" spans="5:7" x14ac:dyDescent="0.25">
      <c r="E1291" s="4">
        <v>564</v>
      </c>
      <c r="F1291" s="4">
        <v>0</v>
      </c>
      <c r="G1291" s="4">
        <f t="shared" si="30"/>
        <v>564</v>
      </c>
    </row>
    <row r="1292" spans="5:7" x14ac:dyDescent="0.25">
      <c r="E1292" s="4">
        <v>565</v>
      </c>
      <c r="F1292" s="4">
        <v>0</v>
      </c>
      <c r="G1292" s="4">
        <f t="shared" si="30"/>
        <v>565</v>
      </c>
    </row>
    <row r="1293" spans="5:7" x14ac:dyDescent="0.25">
      <c r="E1293" s="4">
        <v>566</v>
      </c>
      <c r="F1293" s="4">
        <v>0</v>
      </c>
      <c r="G1293" s="4">
        <f t="shared" ref="G1293:G1356" si="31">ROUND(E1293+F1293,0)</f>
        <v>566</v>
      </c>
    </row>
    <row r="1294" spans="5:7" x14ac:dyDescent="0.25">
      <c r="E1294" s="4">
        <v>567</v>
      </c>
      <c r="F1294" s="4">
        <v>0</v>
      </c>
      <c r="G1294" s="4">
        <f t="shared" si="31"/>
        <v>567</v>
      </c>
    </row>
    <row r="1295" spans="5:7" x14ac:dyDescent="0.25">
      <c r="E1295" s="4">
        <v>568</v>
      </c>
      <c r="F1295" s="4">
        <v>0</v>
      </c>
      <c r="G1295" s="4">
        <f t="shared" si="31"/>
        <v>568</v>
      </c>
    </row>
    <row r="1296" spans="5:7" x14ac:dyDescent="0.25">
      <c r="E1296" s="4">
        <v>569</v>
      </c>
      <c r="F1296" s="4">
        <v>0</v>
      </c>
      <c r="G1296" s="4">
        <f t="shared" si="31"/>
        <v>569</v>
      </c>
    </row>
    <row r="1297" spans="5:7" x14ac:dyDescent="0.25">
      <c r="E1297" s="4">
        <v>570</v>
      </c>
      <c r="F1297" s="4">
        <v>0</v>
      </c>
      <c r="G1297" s="4">
        <f t="shared" si="31"/>
        <v>570</v>
      </c>
    </row>
    <row r="1298" spans="5:7" x14ac:dyDescent="0.25">
      <c r="E1298" s="4">
        <v>571</v>
      </c>
      <c r="F1298" s="4">
        <v>0</v>
      </c>
      <c r="G1298" s="4">
        <f t="shared" si="31"/>
        <v>571</v>
      </c>
    </row>
    <row r="1299" spans="5:7" x14ac:dyDescent="0.25">
      <c r="E1299" s="4">
        <v>572</v>
      </c>
      <c r="F1299" s="4">
        <v>0</v>
      </c>
      <c r="G1299" s="4">
        <f t="shared" si="31"/>
        <v>572</v>
      </c>
    </row>
    <row r="1300" spans="5:7" x14ac:dyDescent="0.25">
      <c r="E1300" s="4">
        <v>573</v>
      </c>
      <c r="F1300" s="4">
        <v>0</v>
      </c>
      <c r="G1300" s="4">
        <f t="shared" si="31"/>
        <v>573</v>
      </c>
    </row>
    <row r="1301" spans="5:7" x14ac:dyDescent="0.25">
      <c r="E1301" s="4">
        <v>574</v>
      </c>
      <c r="F1301" s="4">
        <v>0</v>
      </c>
      <c r="G1301" s="4">
        <f t="shared" si="31"/>
        <v>574</v>
      </c>
    </row>
    <row r="1302" spans="5:7" x14ac:dyDescent="0.25">
      <c r="E1302" s="4">
        <v>575</v>
      </c>
      <c r="F1302" s="4">
        <v>0</v>
      </c>
      <c r="G1302" s="4">
        <f t="shared" si="31"/>
        <v>575</v>
      </c>
    </row>
    <row r="1303" spans="5:7" x14ac:dyDescent="0.25">
      <c r="E1303" s="4">
        <v>576</v>
      </c>
      <c r="F1303" s="4">
        <v>0</v>
      </c>
      <c r="G1303" s="4">
        <f t="shared" si="31"/>
        <v>576</v>
      </c>
    </row>
    <row r="1304" spans="5:7" x14ac:dyDescent="0.25">
      <c r="E1304" s="4">
        <v>577</v>
      </c>
      <c r="F1304" s="4">
        <v>0</v>
      </c>
      <c r="G1304" s="4">
        <f t="shared" si="31"/>
        <v>577</v>
      </c>
    </row>
    <row r="1305" spans="5:7" x14ac:dyDescent="0.25">
      <c r="E1305" s="4">
        <v>578</v>
      </c>
      <c r="F1305" s="4">
        <v>0</v>
      </c>
      <c r="G1305" s="4">
        <f t="shared" si="31"/>
        <v>578</v>
      </c>
    </row>
    <row r="1306" spans="5:7" x14ac:dyDescent="0.25">
      <c r="E1306" s="4">
        <v>579</v>
      </c>
      <c r="F1306" s="4">
        <v>0</v>
      </c>
      <c r="G1306" s="4">
        <f t="shared" si="31"/>
        <v>579</v>
      </c>
    </row>
    <row r="1307" spans="5:7" x14ac:dyDescent="0.25">
      <c r="E1307" s="4">
        <v>580</v>
      </c>
      <c r="F1307" s="4">
        <v>0</v>
      </c>
      <c r="G1307" s="4">
        <f t="shared" si="31"/>
        <v>580</v>
      </c>
    </row>
    <row r="1308" spans="5:7" x14ac:dyDescent="0.25">
      <c r="E1308" s="4">
        <v>581</v>
      </c>
      <c r="F1308" s="4">
        <v>0</v>
      </c>
      <c r="G1308" s="4">
        <f t="shared" si="31"/>
        <v>581</v>
      </c>
    </row>
    <row r="1309" spans="5:7" x14ac:dyDescent="0.25">
      <c r="E1309" s="4">
        <v>582</v>
      </c>
      <c r="F1309" s="4">
        <v>0</v>
      </c>
      <c r="G1309" s="4">
        <f t="shared" si="31"/>
        <v>582</v>
      </c>
    </row>
    <row r="1310" spans="5:7" x14ac:dyDescent="0.25">
      <c r="E1310" s="4">
        <v>583</v>
      </c>
      <c r="F1310" s="4">
        <v>0</v>
      </c>
      <c r="G1310" s="4">
        <f t="shared" si="31"/>
        <v>583</v>
      </c>
    </row>
    <row r="1311" spans="5:7" x14ac:dyDescent="0.25">
      <c r="E1311" s="4">
        <v>584</v>
      </c>
      <c r="F1311" s="4">
        <v>0</v>
      </c>
      <c r="G1311" s="4">
        <f t="shared" si="31"/>
        <v>584</v>
      </c>
    </row>
    <row r="1312" spans="5:7" x14ac:dyDescent="0.25">
      <c r="E1312" s="4">
        <v>585</v>
      </c>
      <c r="F1312" s="4">
        <v>0</v>
      </c>
      <c r="G1312" s="4">
        <f t="shared" si="31"/>
        <v>585</v>
      </c>
    </row>
    <row r="1313" spans="5:7" x14ac:dyDescent="0.25">
      <c r="E1313" s="4">
        <v>586</v>
      </c>
      <c r="F1313" s="4">
        <v>0</v>
      </c>
      <c r="G1313" s="4">
        <f t="shared" si="31"/>
        <v>586</v>
      </c>
    </row>
    <row r="1314" spans="5:7" x14ac:dyDescent="0.25">
      <c r="E1314" s="4">
        <v>587</v>
      </c>
      <c r="F1314" s="4">
        <v>0</v>
      </c>
      <c r="G1314" s="4">
        <f t="shared" si="31"/>
        <v>587</v>
      </c>
    </row>
    <row r="1315" spans="5:7" x14ac:dyDescent="0.25">
      <c r="E1315" s="4">
        <v>588</v>
      </c>
      <c r="F1315" s="4">
        <v>0</v>
      </c>
      <c r="G1315" s="4">
        <f t="shared" si="31"/>
        <v>588</v>
      </c>
    </row>
    <row r="1316" spans="5:7" x14ac:dyDescent="0.25">
      <c r="E1316" s="4">
        <v>589</v>
      </c>
      <c r="F1316" s="4">
        <v>0</v>
      </c>
      <c r="G1316" s="4">
        <f t="shared" si="31"/>
        <v>589</v>
      </c>
    </row>
    <row r="1317" spans="5:7" x14ac:dyDescent="0.25">
      <c r="E1317" s="4">
        <v>590</v>
      </c>
      <c r="F1317" s="4">
        <v>0</v>
      </c>
      <c r="G1317" s="4">
        <f t="shared" si="31"/>
        <v>590</v>
      </c>
    </row>
    <row r="1318" spans="5:7" x14ac:dyDescent="0.25">
      <c r="E1318" s="4">
        <v>591</v>
      </c>
      <c r="F1318" s="4">
        <v>0</v>
      </c>
      <c r="G1318" s="4">
        <f t="shared" si="31"/>
        <v>591</v>
      </c>
    </row>
    <row r="1319" spans="5:7" x14ac:dyDescent="0.25">
      <c r="E1319" s="4">
        <v>592</v>
      </c>
      <c r="F1319" s="4">
        <v>0</v>
      </c>
      <c r="G1319" s="4">
        <f t="shared" si="31"/>
        <v>592</v>
      </c>
    </row>
    <row r="1320" spans="5:7" x14ac:dyDescent="0.25">
      <c r="E1320" s="4">
        <v>593</v>
      </c>
      <c r="F1320" s="4">
        <v>0</v>
      </c>
      <c r="G1320" s="4">
        <f t="shared" si="31"/>
        <v>593</v>
      </c>
    </row>
    <row r="1321" spans="5:7" x14ac:dyDescent="0.25">
      <c r="E1321" s="4">
        <v>594</v>
      </c>
      <c r="F1321" s="4">
        <v>0</v>
      </c>
      <c r="G1321" s="4">
        <f t="shared" si="31"/>
        <v>594</v>
      </c>
    </row>
    <row r="1322" spans="5:7" x14ac:dyDescent="0.25">
      <c r="E1322" s="4">
        <v>595</v>
      </c>
      <c r="F1322" s="4">
        <v>0</v>
      </c>
      <c r="G1322" s="4">
        <f t="shared" si="31"/>
        <v>595</v>
      </c>
    </row>
    <row r="1323" spans="5:7" x14ac:dyDescent="0.25">
      <c r="E1323" s="4">
        <v>596</v>
      </c>
      <c r="F1323" s="4">
        <v>0</v>
      </c>
      <c r="G1323" s="4">
        <f t="shared" si="31"/>
        <v>596</v>
      </c>
    </row>
    <row r="1324" spans="5:7" x14ac:dyDescent="0.25">
      <c r="E1324" s="4">
        <v>597</v>
      </c>
      <c r="F1324" s="4">
        <v>0</v>
      </c>
      <c r="G1324" s="4">
        <f t="shared" si="31"/>
        <v>597</v>
      </c>
    </row>
    <row r="1325" spans="5:7" x14ac:dyDescent="0.25">
      <c r="E1325" s="4">
        <v>598</v>
      </c>
      <c r="F1325" s="4">
        <v>0</v>
      </c>
      <c r="G1325" s="4">
        <f t="shared" si="31"/>
        <v>598</v>
      </c>
    </row>
    <row r="1326" spans="5:7" x14ac:dyDescent="0.25">
      <c r="E1326" s="4">
        <v>599</v>
      </c>
      <c r="F1326" s="4">
        <v>0</v>
      </c>
      <c r="G1326" s="4">
        <f t="shared" si="31"/>
        <v>599</v>
      </c>
    </row>
    <row r="1327" spans="5:7" x14ac:dyDescent="0.25">
      <c r="E1327" s="4">
        <v>600</v>
      </c>
      <c r="F1327" s="4">
        <v>0</v>
      </c>
      <c r="G1327" s="4">
        <f t="shared" si="31"/>
        <v>600</v>
      </c>
    </row>
    <row r="1328" spans="5:7" x14ac:dyDescent="0.25">
      <c r="E1328" s="4">
        <v>601</v>
      </c>
      <c r="F1328" s="4">
        <v>0</v>
      </c>
      <c r="G1328" s="4">
        <f t="shared" si="31"/>
        <v>601</v>
      </c>
    </row>
    <row r="1329" spans="5:7" x14ac:dyDescent="0.25">
      <c r="E1329" s="4">
        <v>602</v>
      </c>
      <c r="F1329" s="4">
        <v>0</v>
      </c>
      <c r="G1329" s="4">
        <f t="shared" si="31"/>
        <v>602</v>
      </c>
    </row>
    <row r="1330" spans="5:7" x14ac:dyDescent="0.25">
      <c r="E1330" s="4">
        <v>603</v>
      </c>
      <c r="F1330" s="4">
        <v>0</v>
      </c>
      <c r="G1330" s="4">
        <f t="shared" si="31"/>
        <v>603</v>
      </c>
    </row>
    <row r="1331" spans="5:7" x14ac:dyDescent="0.25">
      <c r="E1331" s="4">
        <v>604</v>
      </c>
      <c r="F1331" s="4">
        <v>0</v>
      </c>
      <c r="G1331" s="4">
        <f t="shared" si="31"/>
        <v>604</v>
      </c>
    </row>
    <row r="1332" spans="5:7" x14ac:dyDescent="0.25">
      <c r="E1332" s="4">
        <v>605</v>
      </c>
      <c r="F1332" s="4">
        <v>0</v>
      </c>
      <c r="G1332" s="4">
        <f t="shared" si="31"/>
        <v>605</v>
      </c>
    </row>
    <row r="1333" spans="5:7" x14ac:dyDescent="0.25">
      <c r="E1333" s="4">
        <v>606</v>
      </c>
      <c r="F1333" s="4">
        <v>0</v>
      </c>
      <c r="G1333" s="4">
        <f t="shared" si="31"/>
        <v>606</v>
      </c>
    </row>
    <row r="1334" spans="5:7" x14ac:dyDescent="0.25">
      <c r="E1334" s="4">
        <v>607</v>
      </c>
      <c r="F1334" s="4">
        <v>0</v>
      </c>
      <c r="G1334" s="4">
        <f t="shared" si="31"/>
        <v>607</v>
      </c>
    </row>
    <row r="1335" spans="5:7" x14ac:dyDescent="0.25">
      <c r="E1335" s="4">
        <v>608</v>
      </c>
      <c r="F1335" s="4">
        <v>0</v>
      </c>
      <c r="G1335" s="4">
        <f t="shared" si="31"/>
        <v>608</v>
      </c>
    </row>
    <row r="1336" spans="5:7" x14ac:dyDescent="0.25">
      <c r="E1336" s="4">
        <v>609</v>
      </c>
      <c r="F1336" s="4">
        <v>0</v>
      </c>
      <c r="G1336" s="4">
        <f t="shared" si="31"/>
        <v>609</v>
      </c>
    </row>
    <row r="1337" spans="5:7" x14ac:dyDescent="0.25">
      <c r="E1337" s="4">
        <v>610</v>
      </c>
      <c r="F1337" s="4">
        <v>0</v>
      </c>
      <c r="G1337" s="4">
        <f t="shared" si="31"/>
        <v>610</v>
      </c>
    </row>
    <row r="1338" spans="5:7" x14ac:dyDescent="0.25">
      <c r="E1338" s="4">
        <v>611</v>
      </c>
      <c r="F1338" s="4">
        <v>0</v>
      </c>
      <c r="G1338" s="4">
        <f t="shared" si="31"/>
        <v>611</v>
      </c>
    </row>
    <row r="1339" spans="5:7" x14ac:dyDescent="0.25">
      <c r="E1339" s="4">
        <v>612</v>
      </c>
      <c r="F1339" s="4">
        <v>0</v>
      </c>
      <c r="G1339" s="4">
        <f t="shared" si="31"/>
        <v>612</v>
      </c>
    </row>
    <row r="1340" spans="5:7" x14ac:dyDescent="0.25">
      <c r="E1340" s="4">
        <v>613</v>
      </c>
      <c r="F1340" s="4">
        <v>0</v>
      </c>
      <c r="G1340" s="4">
        <f t="shared" si="31"/>
        <v>613</v>
      </c>
    </row>
    <row r="1341" spans="5:7" x14ac:dyDescent="0.25">
      <c r="E1341" s="4">
        <v>614</v>
      </c>
      <c r="F1341" s="4">
        <v>0</v>
      </c>
      <c r="G1341" s="4">
        <f t="shared" si="31"/>
        <v>614</v>
      </c>
    </row>
    <row r="1342" spans="5:7" x14ac:dyDescent="0.25">
      <c r="E1342" s="4">
        <v>615</v>
      </c>
      <c r="F1342" s="4">
        <v>0</v>
      </c>
      <c r="G1342" s="4">
        <f t="shared" si="31"/>
        <v>615</v>
      </c>
    </row>
    <row r="1343" spans="5:7" x14ac:dyDescent="0.25">
      <c r="E1343" s="4">
        <v>616</v>
      </c>
      <c r="F1343" s="4">
        <v>0</v>
      </c>
      <c r="G1343" s="4">
        <f t="shared" si="31"/>
        <v>616</v>
      </c>
    </row>
    <row r="1344" spans="5:7" x14ac:dyDescent="0.25">
      <c r="E1344" s="4">
        <v>617</v>
      </c>
      <c r="F1344" s="4">
        <v>0</v>
      </c>
      <c r="G1344" s="4">
        <f t="shared" si="31"/>
        <v>617</v>
      </c>
    </row>
    <row r="1345" spans="5:7" x14ac:dyDescent="0.25">
      <c r="E1345" s="4">
        <v>618</v>
      </c>
      <c r="F1345" s="4">
        <v>0</v>
      </c>
      <c r="G1345" s="4">
        <f t="shared" si="31"/>
        <v>618</v>
      </c>
    </row>
    <row r="1346" spans="5:7" x14ac:dyDescent="0.25">
      <c r="E1346" s="4">
        <v>619</v>
      </c>
      <c r="F1346" s="4">
        <v>0</v>
      </c>
      <c r="G1346" s="4">
        <f t="shared" si="31"/>
        <v>619</v>
      </c>
    </row>
    <row r="1347" spans="5:7" x14ac:dyDescent="0.25">
      <c r="E1347" s="4">
        <v>620</v>
      </c>
      <c r="F1347" s="4">
        <v>0</v>
      </c>
      <c r="G1347" s="4">
        <f t="shared" si="31"/>
        <v>620</v>
      </c>
    </row>
    <row r="1348" spans="5:7" x14ac:dyDescent="0.25">
      <c r="E1348" s="4">
        <v>621</v>
      </c>
      <c r="F1348" s="4">
        <v>0</v>
      </c>
      <c r="G1348" s="4">
        <f t="shared" si="31"/>
        <v>621</v>
      </c>
    </row>
    <row r="1349" spans="5:7" x14ac:dyDescent="0.25">
      <c r="E1349" s="4">
        <v>622</v>
      </c>
      <c r="F1349" s="4">
        <v>0</v>
      </c>
      <c r="G1349" s="4">
        <f t="shared" si="31"/>
        <v>622</v>
      </c>
    </row>
    <row r="1350" spans="5:7" x14ac:dyDescent="0.25">
      <c r="E1350" s="4">
        <v>623</v>
      </c>
      <c r="F1350" s="4">
        <v>0</v>
      </c>
      <c r="G1350" s="4">
        <f t="shared" si="31"/>
        <v>623</v>
      </c>
    </row>
    <row r="1351" spans="5:7" x14ac:dyDescent="0.25">
      <c r="E1351" s="4">
        <v>624</v>
      </c>
      <c r="F1351" s="4">
        <v>0</v>
      </c>
      <c r="G1351" s="4">
        <f t="shared" si="31"/>
        <v>624</v>
      </c>
    </row>
    <row r="1352" spans="5:7" x14ac:dyDescent="0.25">
      <c r="E1352" s="4">
        <v>625</v>
      </c>
      <c r="F1352" s="4">
        <v>0</v>
      </c>
      <c r="G1352" s="4">
        <f t="shared" si="31"/>
        <v>625</v>
      </c>
    </row>
    <row r="1353" spans="5:7" x14ac:dyDescent="0.25">
      <c r="E1353" s="4">
        <v>626</v>
      </c>
      <c r="F1353" s="4">
        <v>0</v>
      </c>
      <c r="G1353" s="4">
        <f t="shared" si="31"/>
        <v>626</v>
      </c>
    </row>
    <row r="1354" spans="5:7" x14ac:dyDescent="0.25">
      <c r="E1354" s="4">
        <v>627</v>
      </c>
      <c r="F1354" s="4">
        <v>0</v>
      </c>
      <c r="G1354" s="4">
        <f t="shared" si="31"/>
        <v>627</v>
      </c>
    </row>
    <row r="1355" spans="5:7" x14ac:dyDescent="0.25">
      <c r="E1355" s="4">
        <v>628</v>
      </c>
      <c r="F1355" s="4">
        <v>0</v>
      </c>
      <c r="G1355" s="4">
        <f t="shared" si="31"/>
        <v>628</v>
      </c>
    </row>
    <row r="1356" spans="5:7" x14ac:dyDescent="0.25">
      <c r="E1356" s="4">
        <v>629</v>
      </c>
      <c r="F1356" s="4">
        <v>0</v>
      </c>
      <c r="G1356" s="4">
        <f t="shared" si="31"/>
        <v>629</v>
      </c>
    </row>
    <row r="1357" spans="5:7" x14ac:dyDescent="0.25">
      <c r="E1357" s="4">
        <v>630</v>
      </c>
      <c r="F1357" s="4">
        <v>0</v>
      </c>
      <c r="G1357" s="4">
        <f t="shared" ref="G1357:G1420" si="32">ROUND(E1357+F1357,0)</f>
        <v>630</v>
      </c>
    </row>
    <row r="1358" spans="5:7" x14ac:dyDescent="0.25">
      <c r="E1358" s="4">
        <v>631</v>
      </c>
      <c r="F1358" s="4">
        <v>0</v>
      </c>
      <c r="G1358" s="4">
        <f t="shared" si="32"/>
        <v>631</v>
      </c>
    </row>
    <row r="1359" spans="5:7" x14ac:dyDescent="0.25">
      <c r="E1359" s="4">
        <v>632</v>
      </c>
      <c r="F1359" s="4">
        <v>0</v>
      </c>
      <c r="G1359" s="4">
        <f t="shared" si="32"/>
        <v>632</v>
      </c>
    </row>
    <row r="1360" spans="5:7" x14ac:dyDescent="0.25">
      <c r="E1360" s="4">
        <v>633</v>
      </c>
      <c r="F1360" s="4">
        <v>0</v>
      </c>
      <c r="G1360" s="4">
        <f t="shared" si="32"/>
        <v>633</v>
      </c>
    </row>
    <row r="1361" spans="5:7" x14ac:dyDescent="0.25">
      <c r="E1361" s="4">
        <v>634</v>
      </c>
      <c r="F1361" s="4">
        <v>0</v>
      </c>
      <c r="G1361" s="4">
        <f t="shared" si="32"/>
        <v>634</v>
      </c>
    </row>
    <row r="1362" spans="5:7" x14ac:dyDescent="0.25">
      <c r="E1362" s="4">
        <v>635</v>
      </c>
      <c r="F1362" s="4">
        <v>0</v>
      </c>
      <c r="G1362" s="4">
        <f t="shared" si="32"/>
        <v>635</v>
      </c>
    </row>
    <row r="1363" spans="5:7" x14ac:dyDescent="0.25">
      <c r="E1363" s="4">
        <v>636</v>
      </c>
      <c r="F1363" s="4">
        <v>0</v>
      </c>
      <c r="G1363" s="4">
        <f t="shared" si="32"/>
        <v>636</v>
      </c>
    </row>
    <row r="1364" spans="5:7" x14ac:dyDescent="0.25">
      <c r="E1364" s="4">
        <v>637</v>
      </c>
      <c r="F1364" s="4">
        <v>0</v>
      </c>
      <c r="G1364" s="4">
        <f t="shared" si="32"/>
        <v>637</v>
      </c>
    </row>
    <row r="1365" spans="5:7" x14ac:dyDescent="0.25">
      <c r="E1365" s="4">
        <v>638</v>
      </c>
      <c r="F1365" s="4">
        <v>0</v>
      </c>
      <c r="G1365" s="4">
        <f t="shared" si="32"/>
        <v>638</v>
      </c>
    </row>
    <row r="1366" spans="5:7" x14ac:dyDescent="0.25">
      <c r="E1366" s="4">
        <v>639</v>
      </c>
      <c r="F1366" s="4">
        <v>0</v>
      </c>
      <c r="G1366" s="4">
        <f t="shared" si="32"/>
        <v>639</v>
      </c>
    </row>
    <row r="1367" spans="5:7" x14ac:dyDescent="0.25">
      <c r="E1367" s="4">
        <v>640</v>
      </c>
      <c r="F1367" s="4">
        <v>0</v>
      </c>
      <c r="G1367" s="4">
        <f t="shared" si="32"/>
        <v>640</v>
      </c>
    </row>
    <row r="1368" spans="5:7" x14ac:dyDescent="0.25">
      <c r="E1368" s="4">
        <v>641</v>
      </c>
      <c r="F1368" s="4">
        <v>0</v>
      </c>
      <c r="G1368" s="4">
        <f t="shared" si="32"/>
        <v>641</v>
      </c>
    </row>
    <row r="1369" spans="5:7" x14ac:dyDescent="0.25">
      <c r="E1369" s="4">
        <v>642</v>
      </c>
      <c r="F1369" s="4">
        <v>0</v>
      </c>
      <c r="G1369" s="4">
        <f t="shared" si="32"/>
        <v>642</v>
      </c>
    </row>
    <row r="1370" spans="5:7" x14ac:dyDescent="0.25">
      <c r="E1370" s="4">
        <v>643</v>
      </c>
      <c r="F1370" s="4">
        <v>0</v>
      </c>
      <c r="G1370" s="4">
        <f t="shared" si="32"/>
        <v>643</v>
      </c>
    </row>
    <row r="1371" spans="5:7" x14ac:dyDescent="0.25">
      <c r="E1371" s="4">
        <v>644</v>
      </c>
      <c r="F1371" s="4">
        <v>0</v>
      </c>
      <c r="G1371" s="4">
        <f t="shared" si="32"/>
        <v>644</v>
      </c>
    </row>
    <row r="1372" spans="5:7" x14ac:dyDescent="0.25">
      <c r="E1372" s="4">
        <v>645</v>
      </c>
      <c r="F1372" s="4">
        <v>0</v>
      </c>
      <c r="G1372" s="4">
        <f t="shared" si="32"/>
        <v>645</v>
      </c>
    </row>
    <row r="1373" spans="5:7" x14ac:dyDescent="0.25">
      <c r="E1373" s="4">
        <v>646</v>
      </c>
      <c r="F1373" s="4">
        <v>0</v>
      </c>
      <c r="G1373" s="4">
        <f t="shared" si="32"/>
        <v>646</v>
      </c>
    </row>
    <row r="1374" spans="5:7" x14ac:dyDescent="0.25">
      <c r="E1374" s="4">
        <v>647</v>
      </c>
      <c r="F1374" s="4">
        <v>0</v>
      </c>
      <c r="G1374" s="4">
        <f t="shared" si="32"/>
        <v>647</v>
      </c>
    </row>
    <row r="1375" spans="5:7" x14ac:dyDescent="0.25">
      <c r="E1375" s="4">
        <v>648</v>
      </c>
      <c r="F1375" s="4">
        <v>0</v>
      </c>
      <c r="G1375" s="4">
        <f t="shared" si="32"/>
        <v>648</v>
      </c>
    </row>
    <row r="1376" spans="5:7" x14ac:dyDescent="0.25">
      <c r="E1376" s="4">
        <v>649</v>
      </c>
      <c r="F1376" s="4">
        <v>0</v>
      </c>
      <c r="G1376" s="4">
        <f t="shared" si="32"/>
        <v>649</v>
      </c>
    </row>
    <row r="1377" spans="5:7" x14ac:dyDescent="0.25">
      <c r="E1377" s="4">
        <v>650</v>
      </c>
      <c r="F1377" s="4">
        <v>0</v>
      </c>
      <c r="G1377" s="4">
        <f t="shared" si="32"/>
        <v>650</v>
      </c>
    </row>
    <row r="1378" spans="5:7" x14ac:dyDescent="0.25">
      <c r="E1378" s="4">
        <v>651</v>
      </c>
      <c r="F1378" s="4">
        <v>0</v>
      </c>
      <c r="G1378" s="4">
        <f t="shared" si="32"/>
        <v>651</v>
      </c>
    </row>
    <row r="1379" spans="5:7" x14ac:dyDescent="0.25">
      <c r="E1379" s="4">
        <v>652</v>
      </c>
      <c r="F1379" s="4">
        <v>0</v>
      </c>
      <c r="G1379" s="4">
        <f t="shared" si="32"/>
        <v>652</v>
      </c>
    </row>
    <row r="1380" spans="5:7" x14ac:dyDescent="0.25">
      <c r="E1380" s="4">
        <v>653</v>
      </c>
      <c r="F1380" s="4">
        <v>0</v>
      </c>
      <c r="G1380" s="4">
        <f t="shared" si="32"/>
        <v>653</v>
      </c>
    </row>
    <row r="1381" spans="5:7" x14ac:dyDescent="0.25">
      <c r="E1381" s="4">
        <v>654</v>
      </c>
      <c r="F1381" s="4">
        <v>0</v>
      </c>
      <c r="G1381" s="4">
        <f t="shared" si="32"/>
        <v>654</v>
      </c>
    </row>
    <row r="1382" spans="5:7" x14ac:dyDescent="0.25">
      <c r="E1382" s="4">
        <v>655</v>
      </c>
      <c r="F1382" s="4">
        <v>0</v>
      </c>
      <c r="G1382" s="4">
        <f t="shared" si="32"/>
        <v>655</v>
      </c>
    </row>
    <row r="1383" spans="5:7" x14ac:dyDescent="0.25">
      <c r="E1383" s="4">
        <v>656</v>
      </c>
      <c r="F1383" s="4">
        <v>0</v>
      </c>
      <c r="G1383" s="4">
        <f t="shared" si="32"/>
        <v>656</v>
      </c>
    </row>
    <row r="1384" spans="5:7" x14ac:dyDescent="0.25">
      <c r="E1384" s="4">
        <v>657</v>
      </c>
      <c r="F1384" s="4">
        <v>0</v>
      </c>
      <c r="G1384" s="4">
        <f t="shared" si="32"/>
        <v>657</v>
      </c>
    </row>
    <row r="1385" spans="5:7" x14ac:dyDescent="0.25">
      <c r="E1385" s="4">
        <v>658</v>
      </c>
      <c r="F1385" s="4">
        <v>0</v>
      </c>
      <c r="G1385" s="4">
        <f t="shared" si="32"/>
        <v>658</v>
      </c>
    </row>
    <row r="1386" spans="5:7" x14ac:dyDescent="0.25">
      <c r="E1386" s="4">
        <v>659</v>
      </c>
      <c r="F1386" s="4">
        <v>0</v>
      </c>
      <c r="G1386" s="4">
        <f t="shared" si="32"/>
        <v>659</v>
      </c>
    </row>
    <row r="1387" spans="5:7" x14ac:dyDescent="0.25">
      <c r="E1387" s="4">
        <v>660</v>
      </c>
      <c r="F1387" s="4">
        <v>0</v>
      </c>
      <c r="G1387" s="4">
        <f t="shared" si="32"/>
        <v>660</v>
      </c>
    </row>
    <row r="1388" spans="5:7" x14ac:dyDescent="0.25">
      <c r="E1388" s="4">
        <v>661</v>
      </c>
      <c r="F1388" s="4">
        <v>0</v>
      </c>
      <c r="G1388" s="4">
        <f t="shared" si="32"/>
        <v>661</v>
      </c>
    </row>
    <row r="1389" spans="5:7" x14ac:dyDescent="0.25">
      <c r="E1389" s="4">
        <v>662</v>
      </c>
      <c r="F1389" s="4">
        <v>0</v>
      </c>
      <c r="G1389" s="4">
        <f t="shared" si="32"/>
        <v>662</v>
      </c>
    </row>
    <row r="1390" spans="5:7" x14ac:dyDescent="0.25">
      <c r="E1390" s="4">
        <v>663</v>
      </c>
      <c r="F1390" s="4">
        <v>0</v>
      </c>
      <c r="G1390" s="4">
        <f t="shared" si="32"/>
        <v>663</v>
      </c>
    </row>
    <row r="1391" spans="5:7" x14ac:dyDescent="0.25">
      <c r="E1391" s="4">
        <v>664</v>
      </c>
      <c r="F1391" s="4">
        <v>0</v>
      </c>
      <c r="G1391" s="4">
        <f t="shared" si="32"/>
        <v>664</v>
      </c>
    </row>
    <row r="1392" spans="5:7" x14ac:dyDescent="0.25">
      <c r="E1392" s="4">
        <v>665</v>
      </c>
      <c r="F1392" s="4">
        <v>0</v>
      </c>
      <c r="G1392" s="4">
        <f t="shared" si="32"/>
        <v>665</v>
      </c>
    </row>
    <row r="1393" spans="5:7" x14ac:dyDescent="0.25">
      <c r="E1393" s="4">
        <v>666</v>
      </c>
      <c r="F1393" s="4">
        <v>0</v>
      </c>
      <c r="G1393" s="4">
        <f t="shared" si="32"/>
        <v>666</v>
      </c>
    </row>
    <row r="1394" spans="5:7" x14ac:dyDescent="0.25">
      <c r="E1394" s="4">
        <v>667</v>
      </c>
      <c r="F1394" s="4">
        <v>0</v>
      </c>
      <c r="G1394" s="4">
        <f t="shared" si="32"/>
        <v>667</v>
      </c>
    </row>
    <row r="1395" spans="5:7" x14ac:dyDescent="0.25">
      <c r="E1395" s="4">
        <v>668</v>
      </c>
      <c r="F1395" s="4">
        <v>0</v>
      </c>
      <c r="G1395" s="4">
        <f t="shared" si="32"/>
        <v>668</v>
      </c>
    </row>
    <row r="1396" spans="5:7" x14ac:dyDescent="0.25">
      <c r="E1396" s="4">
        <v>669</v>
      </c>
      <c r="F1396" s="4">
        <v>0</v>
      </c>
      <c r="G1396" s="4">
        <f t="shared" si="32"/>
        <v>669</v>
      </c>
    </row>
    <row r="1397" spans="5:7" x14ac:dyDescent="0.25">
      <c r="E1397" s="4">
        <v>670</v>
      </c>
      <c r="F1397" s="4">
        <v>0</v>
      </c>
      <c r="G1397" s="4">
        <f t="shared" si="32"/>
        <v>670</v>
      </c>
    </row>
    <row r="1398" spans="5:7" x14ac:dyDescent="0.25">
      <c r="E1398" s="4">
        <v>671</v>
      </c>
      <c r="F1398" s="4">
        <v>0</v>
      </c>
      <c r="G1398" s="4">
        <f t="shared" si="32"/>
        <v>671</v>
      </c>
    </row>
    <row r="1399" spans="5:7" x14ac:dyDescent="0.25">
      <c r="E1399" s="4">
        <v>672</v>
      </c>
      <c r="F1399" s="4">
        <v>0</v>
      </c>
      <c r="G1399" s="4">
        <f t="shared" si="32"/>
        <v>672</v>
      </c>
    </row>
    <row r="1400" spans="5:7" x14ac:dyDescent="0.25">
      <c r="E1400" s="4">
        <v>673</v>
      </c>
      <c r="F1400" s="4">
        <v>0</v>
      </c>
      <c r="G1400" s="4">
        <f t="shared" si="32"/>
        <v>673</v>
      </c>
    </row>
    <row r="1401" spans="5:7" x14ac:dyDescent="0.25">
      <c r="E1401" s="4">
        <v>674</v>
      </c>
      <c r="F1401" s="4">
        <v>0</v>
      </c>
      <c r="G1401" s="4">
        <f t="shared" si="32"/>
        <v>674</v>
      </c>
    </row>
    <row r="1402" spans="5:7" x14ac:dyDescent="0.25">
      <c r="E1402" s="4">
        <v>675</v>
      </c>
      <c r="F1402" s="4">
        <v>0</v>
      </c>
      <c r="G1402" s="4">
        <f t="shared" si="32"/>
        <v>675</v>
      </c>
    </row>
    <row r="1403" spans="5:7" x14ac:dyDescent="0.25">
      <c r="E1403" s="4">
        <v>676</v>
      </c>
      <c r="F1403" s="4">
        <v>0</v>
      </c>
      <c r="G1403" s="4">
        <f t="shared" si="32"/>
        <v>676</v>
      </c>
    </row>
    <row r="1404" spans="5:7" x14ac:dyDescent="0.25">
      <c r="E1404" s="4">
        <v>677</v>
      </c>
      <c r="F1404" s="4">
        <v>0</v>
      </c>
      <c r="G1404" s="4">
        <f t="shared" si="32"/>
        <v>677</v>
      </c>
    </row>
    <row r="1405" spans="5:7" x14ac:dyDescent="0.25">
      <c r="E1405" s="4">
        <v>678</v>
      </c>
      <c r="F1405" s="4">
        <v>0</v>
      </c>
      <c r="G1405" s="4">
        <f t="shared" si="32"/>
        <v>678</v>
      </c>
    </row>
    <row r="1406" spans="5:7" x14ac:dyDescent="0.25">
      <c r="E1406" s="4">
        <v>679</v>
      </c>
      <c r="F1406" s="4">
        <v>0</v>
      </c>
      <c r="G1406" s="4">
        <f t="shared" si="32"/>
        <v>679</v>
      </c>
    </row>
    <row r="1407" spans="5:7" x14ac:dyDescent="0.25">
      <c r="E1407" s="4">
        <v>680</v>
      </c>
      <c r="F1407" s="4">
        <v>0</v>
      </c>
      <c r="G1407" s="4">
        <f t="shared" si="32"/>
        <v>680</v>
      </c>
    </row>
    <row r="1408" spans="5:7" x14ac:dyDescent="0.25">
      <c r="E1408" s="4">
        <v>681</v>
      </c>
      <c r="F1408" s="4">
        <v>0</v>
      </c>
      <c r="G1408" s="4">
        <f t="shared" si="32"/>
        <v>681</v>
      </c>
    </row>
    <row r="1409" spans="5:7" x14ac:dyDescent="0.25">
      <c r="E1409" s="4">
        <v>682</v>
      </c>
      <c r="F1409" s="4">
        <v>0</v>
      </c>
      <c r="G1409" s="4">
        <f t="shared" si="32"/>
        <v>682</v>
      </c>
    </row>
    <row r="1410" spans="5:7" x14ac:dyDescent="0.25">
      <c r="E1410" s="4">
        <v>683</v>
      </c>
      <c r="F1410" s="4">
        <v>0</v>
      </c>
      <c r="G1410" s="4">
        <f t="shared" si="32"/>
        <v>683</v>
      </c>
    </row>
    <row r="1411" spans="5:7" x14ac:dyDescent="0.25">
      <c r="E1411" s="4">
        <v>684</v>
      </c>
      <c r="F1411" s="4">
        <v>0</v>
      </c>
      <c r="G1411" s="4">
        <f t="shared" si="32"/>
        <v>684</v>
      </c>
    </row>
    <row r="1412" spans="5:7" x14ac:dyDescent="0.25">
      <c r="E1412" s="4">
        <v>685</v>
      </c>
      <c r="F1412" s="4">
        <v>0</v>
      </c>
      <c r="G1412" s="4">
        <f t="shared" si="32"/>
        <v>685</v>
      </c>
    </row>
    <row r="1413" spans="5:7" x14ac:dyDescent="0.25">
      <c r="E1413" s="4">
        <v>686</v>
      </c>
      <c r="F1413" s="4">
        <v>0</v>
      </c>
      <c r="G1413" s="4">
        <f t="shared" si="32"/>
        <v>686</v>
      </c>
    </row>
    <row r="1414" spans="5:7" x14ac:dyDescent="0.25">
      <c r="E1414" s="4">
        <v>687</v>
      </c>
      <c r="F1414" s="4">
        <v>0</v>
      </c>
      <c r="G1414" s="4">
        <f t="shared" si="32"/>
        <v>687</v>
      </c>
    </row>
    <row r="1415" spans="5:7" x14ac:dyDescent="0.25">
      <c r="E1415" s="4">
        <v>688</v>
      </c>
      <c r="F1415" s="4">
        <v>0</v>
      </c>
      <c r="G1415" s="4">
        <f t="shared" si="32"/>
        <v>688</v>
      </c>
    </row>
    <row r="1416" spans="5:7" x14ac:dyDescent="0.25">
      <c r="E1416" s="4">
        <v>689</v>
      </c>
      <c r="F1416" s="4">
        <v>0</v>
      </c>
      <c r="G1416" s="4">
        <f t="shared" si="32"/>
        <v>689</v>
      </c>
    </row>
    <row r="1417" spans="5:7" x14ac:dyDescent="0.25">
      <c r="E1417" s="4">
        <v>690</v>
      </c>
      <c r="F1417" s="4">
        <v>0</v>
      </c>
      <c r="G1417" s="4">
        <f t="shared" si="32"/>
        <v>690</v>
      </c>
    </row>
    <row r="1418" spans="5:7" x14ac:dyDescent="0.25">
      <c r="E1418" s="4">
        <v>691</v>
      </c>
      <c r="F1418" s="4">
        <v>0</v>
      </c>
      <c r="G1418" s="4">
        <f t="shared" si="32"/>
        <v>691</v>
      </c>
    </row>
    <row r="1419" spans="5:7" x14ac:dyDescent="0.25">
      <c r="E1419" s="4">
        <v>692</v>
      </c>
      <c r="F1419" s="4">
        <v>0</v>
      </c>
      <c r="G1419" s="4">
        <f t="shared" si="32"/>
        <v>692</v>
      </c>
    </row>
    <row r="1420" spans="5:7" x14ac:dyDescent="0.25">
      <c r="E1420" s="4">
        <v>693</v>
      </c>
      <c r="F1420" s="4">
        <v>0</v>
      </c>
      <c r="G1420" s="4">
        <f t="shared" si="32"/>
        <v>693</v>
      </c>
    </row>
    <row r="1421" spans="5:7" x14ac:dyDescent="0.25">
      <c r="E1421" s="4">
        <v>694</v>
      </c>
      <c r="F1421" s="4">
        <v>0</v>
      </c>
      <c r="G1421" s="4">
        <f t="shared" ref="G1421:G1447" si="33">ROUND(E1421+F1421,0)</f>
        <v>694</v>
      </c>
    </row>
    <row r="1422" spans="5:7" x14ac:dyDescent="0.25">
      <c r="E1422" s="4">
        <v>695</v>
      </c>
      <c r="F1422" s="4">
        <v>0</v>
      </c>
      <c r="G1422" s="4">
        <f t="shared" si="33"/>
        <v>695</v>
      </c>
    </row>
    <row r="1423" spans="5:7" x14ac:dyDescent="0.25">
      <c r="E1423" s="4">
        <v>696</v>
      </c>
      <c r="F1423" s="4">
        <v>0</v>
      </c>
      <c r="G1423" s="4">
        <f t="shared" si="33"/>
        <v>696</v>
      </c>
    </row>
    <row r="1424" spans="5:7" x14ac:dyDescent="0.25">
      <c r="E1424" s="4">
        <v>697</v>
      </c>
      <c r="F1424" s="4">
        <v>0</v>
      </c>
      <c r="G1424" s="4">
        <f t="shared" si="33"/>
        <v>697</v>
      </c>
    </row>
    <row r="1425" spans="5:7" x14ac:dyDescent="0.25">
      <c r="E1425" s="4">
        <v>698</v>
      </c>
      <c r="F1425" s="4">
        <v>0</v>
      </c>
      <c r="G1425" s="4">
        <f t="shared" si="33"/>
        <v>698</v>
      </c>
    </row>
    <row r="1426" spans="5:7" x14ac:dyDescent="0.25">
      <c r="E1426" s="4">
        <v>699</v>
      </c>
      <c r="F1426" s="4">
        <v>0</v>
      </c>
      <c r="G1426" s="4">
        <f t="shared" si="33"/>
        <v>699</v>
      </c>
    </row>
    <row r="1427" spans="5:7" x14ac:dyDescent="0.25">
      <c r="E1427" s="4">
        <v>700</v>
      </c>
      <c r="F1427" s="4">
        <v>0</v>
      </c>
      <c r="G1427" s="4">
        <f t="shared" si="33"/>
        <v>700</v>
      </c>
    </row>
    <row r="1428" spans="5:7" x14ac:dyDescent="0.25">
      <c r="E1428" s="4">
        <v>701</v>
      </c>
      <c r="F1428" s="4">
        <v>0</v>
      </c>
      <c r="G1428" s="4">
        <f t="shared" si="33"/>
        <v>701</v>
      </c>
    </row>
    <row r="1429" spans="5:7" x14ac:dyDescent="0.25">
      <c r="E1429" s="4">
        <v>702</v>
      </c>
      <c r="F1429" s="4">
        <v>0</v>
      </c>
      <c r="G1429" s="4">
        <f t="shared" si="33"/>
        <v>702</v>
      </c>
    </row>
    <row r="1430" spans="5:7" x14ac:dyDescent="0.25">
      <c r="E1430" s="4">
        <v>703</v>
      </c>
      <c r="F1430" s="4">
        <v>0</v>
      </c>
      <c r="G1430" s="4">
        <f t="shared" si="33"/>
        <v>703</v>
      </c>
    </row>
    <row r="1431" spans="5:7" x14ac:dyDescent="0.25">
      <c r="E1431" s="4">
        <v>704</v>
      </c>
      <c r="F1431" s="4">
        <v>0</v>
      </c>
      <c r="G1431" s="4">
        <f t="shared" si="33"/>
        <v>704</v>
      </c>
    </row>
    <row r="1432" spans="5:7" x14ac:dyDescent="0.25">
      <c r="E1432" s="4">
        <v>705</v>
      </c>
      <c r="F1432" s="4">
        <v>0</v>
      </c>
      <c r="G1432" s="4">
        <f t="shared" si="33"/>
        <v>705</v>
      </c>
    </row>
    <row r="1433" spans="5:7" x14ac:dyDescent="0.25">
      <c r="E1433" s="4">
        <v>706</v>
      </c>
      <c r="F1433" s="4">
        <v>0</v>
      </c>
      <c r="G1433" s="4">
        <f t="shared" si="33"/>
        <v>706</v>
      </c>
    </row>
    <row r="1434" spans="5:7" x14ac:dyDescent="0.25">
      <c r="E1434" s="4">
        <v>707</v>
      </c>
      <c r="F1434" s="4">
        <v>0</v>
      </c>
      <c r="G1434" s="4">
        <f t="shared" si="33"/>
        <v>707</v>
      </c>
    </row>
    <row r="1435" spans="5:7" x14ac:dyDescent="0.25">
      <c r="E1435" s="4">
        <v>708</v>
      </c>
      <c r="F1435" s="4">
        <v>0</v>
      </c>
      <c r="G1435" s="4">
        <f t="shared" si="33"/>
        <v>708</v>
      </c>
    </row>
    <row r="1436" spans="5:7" x14ac:dyDescent="0.25">
      <c r="E1436" s="4">
        <v>709</v>
      </c>
      <c r="F1436" s="4">
        <v>0</v>
      </c>
      <c r="G1436" s="4">
        <f t="shared" si="33"/>
        <v>709</v>
      </c>
    </row>
    <row r="1437" spans="5:7" x14ac:dyDescent="0.25">
      <c r="E1437" s="4">
        <v>710</v>
      </c>
      <c r="F1437" s="4">
        <v>0</v>
      </c>
      <c r="G1437" s="4">
        <f t="shared" si="33"/>
        <v>710</v>
      </c>
    </row>
    <row r="1438" spans="5:7" x14ac:dyDescent="0.25">
      <c r="E1438" s="4">
        <v>711</v>
      </c>
      <c r="F1438" s="4">
        <v>0</v>
      </c>
      <c r="G1438" s="4">
        <f t="shared" si="33"/>
        <v>711</v>
      </c>
    </row>
    <row r="1439" spans="5:7" x14ac:dyDescent="0.25">
      <c r="E1439" s="4">
        <v>712</v>
      </c>
      <c r="F1439" s="4">
        <v>0</v>
      </c>
      <c r="G1439" s="4">
        <f t="shared" si="33"/>
        <v>712</v>
      </c>
    </row>
    <row r="1440" spans="5:7" x14ac:dyDescent="0.25">
      <c r="E1440" s="4">
        <v>713</v>
      </c>
      <c r="F1440" s="4">
        <v>0</v>
      </c>
      <c r="G1440" s="4">
        <f t="shared" si="33"/>
        <v>713</v>
      </c>
    </row>
    <row r="1441" spans="5:7" x14ac:dyDescent="0.25">
      <c r="E1441" s="4">
        <v>714</v>
      </c>
      <c r="F1441" s="4">
        <v>0</v>
      </c>
      <c r="G1441" s="4">
        <f t="shared" si="33"/>
        <v>714</v>
      </c>
    </row>
    <row r="1442" spans="5:7" x14ac:dyDescent="0.25">
      <c r="E1442" s="4">
        <v>715</v>
      </c>
      <c r="F1442" s="4">
        <v>0</v>
      </c>
      <c r="G1442" s="4">
        <f t="shared" si="33"/>
        <v>715</v>
      </c>
    </row>
    <row r="1443" spans="5:7" x14ac:dyDescent="0.25">
      <c r="E1443" s="4">
        <v>716</v>
      </c>
      <c r="F1443" s="4">
        <v>0</v>
      </c>
      <c r="G1443" s="4">
        <f t="shared" si="33"/>
        <v>716</v>
      </c>
    </row>
    <row r="1444" spans="5:7" x14ac:dyDescent="0.25">
      <c r="E1444" s="4">
        <v>717</v>
      </c>
      <c r="F1444" s="4">
        <v>0</v>
      </c>
      <c r="G1444" s="4">
        <f t="shared" si="33"/>
        <v>717</v>
      </c>
    </row>
    <row r="1445" spans="5:7" x14ac:dyDescent="0.25">
      <c r="E1445" s="4">
        <v>718</v>
      </c>
      <c r="F1445" s="4">
        <v>0</v>
      </c>
      <c r="G1445" s="4">
        <f t="shared" si="33"/>
        <v>718</v>
      </c>
    </row>
    <row r="1446" spans="5:7" x14ac:dyDescent="0.25">
      <c r="E1446" s="4">
        <v>719</v>
      </c>
      <c r="F1446" s="4">
        <v>0</v>
      </c>
      <c r="G1446" s="4">
        <f t="shared" si="33"/>
        <v>719</v>
      </c>
    </row>
    <row r="1447" spans="5:7" x14ac:dyDescent="0.25">
      <c r="E1447" s="4">
        <v>720</v>
      </c>
      <c r="F1447" s="4">
        <v>0</v>
      </c>
      <c r="G1447" s="4">
        <f t="shared" si="33"/>
        <v>720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9" tint="0.79998168889431442"/>
  </sheetPr>
  <dimension ref="A2:G510"/>
  <sheetViews>
    <sheetView workbookViewId="0">
      <selection activeCell="H13" sqref="H13"/>
    </sheetView>
  </sheetViews>
  <sheetFormatPr baseColWidth="10" defaultRowHeight="15" x14ac:dyDescent="0.25"/>
  <cols>
    <col min="1" max="1" width="13.140625" customWidth="1"/>
    <col min="3" max="7" width="22.42578125" bestFit="1" customWidth="1"/>
  </cols>
  <sheetData>
    <row r="2" spans="1:7" ht="28.5" x14ac:dyDescent="0.45">
      <c r="A2" s="5" t="s">
        <v>51</v>
      </c>
      <c r="B2" s="5"/>
      <c r="C2" s="5"/>
      <c r="D2" s="5"/>
      <c r="E2" s="5"/>
      <c r="F2" s="5"/>
      <c r="G2" s="5"/>
    </row>
    <row r="4" spans="1:7" x14ac:dyDescent="0.25">
      <c r="A4" t="s">
        <v>52</v>
      </c>
      <c r="B4" s="11">
        <f>ROUND(SQRT((B11-B10)^2+(C11-C10)^2+(D11-D10)^2)*10,0)</f>
        <v>2</v>
      </c>
      <c r="C4" t="s">
        <v>38</v>
      </c>
    </row>
    <row r="5" spans="1:7" x14ac:dyDescent="0.25">
      <c r="A5" t="s">
        <v>53</v>
      </c>
      <c r="B5" s="10">
        <v>-20</v>
      </c>
      <c r="C5" t="s">
        <v>54</v>
      </c>
    </row>
    <row r="7" spans="1:7" ht="20.25" thickBot="1" x14ac:dyDescent="0.35">
      <c r="A7" s="2" t="s">
        <v>17</v>
      </c>
      <c r="B7" s="2"/>
      <c r="C7" s="2"/>
      <c r="D7" s="2"/>
      <c r="E7" s="2"/>
      <c r="F7" s="2"/>
      <c r="G7" s="2"/>
    </row>
    <row r="8" spans="1:7" ht="15.75" thickTop="1" x14ac:dyDescent="0.25"/>
    <row r="9" spans="1:7" x14ac:dyDescent="0.25">
      <c r="A9" s="9" t="s">
        <v>55</v>
      </c>
      <c r="B9" s="9" t="s">
        <v>20</v>
      </c>
      <c r="C9" s="9" t="s">
        <v>21</v>
      </c>
      <c r="D9" s="9" t="s">
        <v>22</v>
      </c>
      <c r="E9" s="9" t="s">
        <v>56</v>
      </c>
      <c r="F9" s="9" t="s">
        <v>57</v>
      </c>
      <c r="G9" s="9" t="s">
        <v>58</v>
      </c>
    </row>
    <row r="10" spans="1:7" x14ac:dyDescent="0.25">
      <c r="A10" s="4">
        <v>0</v>
      </c>
      <c r="B10" s="4">
        <v>0</v>
      </c>
      <c r="C10" s="4">
        <v>0</v>
      </c>
      <c r="D10" s="4">
        <v>0</v>
      </c>
      <c r="E10" s="4">
        <v>1</v>
      </c>
      <c r="F10" s="4">
        <v>0</v>
      </c>
      <c r="G10" s="4">
        <v>0</v>
      </c>
    </row>
    <row r="11" spans="1:7" x14ac:dyDescent="0.25">
      <c r="A11" s="4">
        <v>1</v>
      </c>
      <c r="B11" s="4">
        <v>0.21260642982231301</v>
      </c>
      <c r="C11" s="4">
        <v>0</v>
      </c>
      <c r="D11" s="4">
        <v>0</v>
      </c>
      <c r="E11" s="4">
        <v>1</v>
      </c>
      <c r="F11" s="4">
        <v>0</v>
      </c>
      <c r="G11" s="4">
        <v>0</v>
      </c>
    </row>
    <row r="12" spans="1:7" x14ac:dyDescent="0.25">
      <c r="A12" s="4">
        <v>2</v>
      </c>
      <c r="B12" s="4">
        <v>0.42521285964462702</v>
      </c>
      <c r="C12" s="4">
        <v>0</v>
      </c>
      <c r="D12" s="4">
        <v>0</v>
      </c>
      <c r="E12" s="4">
        <v>1</v>
      </c>
      <c r="F12" s="4">
        <v>0</v>
      </c>
      <c r="G12" s="4">
        <v>0</v>
      </c>
    </row>
    <row r="13" spans="1:7" x14ac:dyDescent="0.25">
      <c r="A13" s="4">
        <v>3</v>
      </c>
      <c r="B13" s="4">
        <v>0.637819289466941</v>
      </c>
      <c r="C13" s="4">
        <v>0</v>
      </c>
      <c r="D13" s="4">
        <v>0</v>
      </c>
      <c r="E13" s="4">
        <v>1</v>
      </c>
      <c r="F13" s="4">
        <v>0</v>
      </c>
      <c r="G13" s="4">
        <v>0</v>
      </c>
    </row>
    <row r="14" spans="1:7" x14ac:dyDescent="0.25">
      <c r="A14" s="4">
        <v>4</v>
      </c>
      <c r="B14" s="4">
        <v>0.85042571928925503</v>
      </c>
      <c r="C14" s="4">
        <v>0</v>
      </c>
      <c r="D14" s="4">
        <v>0</v>
      </c>
      <c r="E14" s="4">
        <v>1</v>
      </c>
      <c r="F14" s="4">
        <v>0</v>
      </c>
      <c r="G14" s="4">
        <v>0</v>
      </c>
    </row>
    <row r="15" spans="1:7" x14ac:dyDescent="0.25">
      <c r="A15" s="4">
        <v>5</v>
      </c>
      <c r="B15" s="4">
        <v>1.06303214911156</v>
      </c>
      <c r="C15" s="4">
        <v>0</v>
      </c>
      <c r="D15" s="4">
        <v>0</v>
      </c>
      <c r="E15" s="4">
        <v>1</v>
      </c>
      <c r="F15" s="4">
        <v>0</v>
      </c>
      <c r="G15" s="4">
        <v>0</v>
      </c>
    </row>
    <row r="16" spans="1:7" x14ac:dyDescent="0.25">
      <c r="A16" s="4">
        <v>6</v>
      </c>
      <c r="B16" s="4">
        <v>1.27563857893388</v>
      </c>
      <c r="C16" s="4">
        <v>0</v>
      </c>
      <c r="D16" s="4">
        <v>0</v>
      </c>
      <c r="E16" s="4">
        <v>1</v>
      </c>
      <c r="F16" s="4">
        <v>0</v>
      </c>
      <c r="G16" s="4">
        <v>0</v>
      </c>
    </row>
    <row r="17" spans="1:7" x14ac:dyDescent="0.25">
      <c r="A17" s="4">
        <v>7</v>
      </c>
      <c r="B17" s="4">
        <v>1.48824500875619</v>
      </c>
      <c r="C17" s="4">
        <v>0</v>
      </c>
      <c r="D17" s="4">
        <v>0</v>
      </c>
      <c r="E17" s="4">
        <v>1</v>
      </c>
      <c r="F17" s="4">
        <v>0</v>
      </c>
      <c r="G17" s="4">
        <v>0</v>
      </c>
    </row>
    <row r="18" spans="1:7" x14ac:dyDescent="0.25">
      <c r="A18" s="4">
        <v>8</v>
      </c>
      <c r="B18" s="4">
        <v>1.7008514385785101</v>
      </c>
      <c r="C18" s="4">
        <v>0</v>
      </c>
      <c r="D18" s="4">
        <v>0</v>
      </c>
      <c r="E18" s="4">
        <v>1</v>
      </c>
      <c r="F18" s="4">
        <v>0</v>
      </c>
      <c r="G18" s="4">
        <v>0</v>
      </c>
    </row>
    <row r="19" spans="1:7" x14ac:dyDescent="0.25">
      <c r="A19" s="4">
        <v>9</v>
      </c>
      <c r="B19" s="4">
        <v>1.9134578684008201</v>
      </c>
      <c r="C19" s="4">
        <v>0</v>
      </c>
      <c r="D19" s="4">
        <v>0</v>
      </c>
      <c r="E19" s="4">
        <v>1</v>
      </c>
      <c r="F19" s="4">
        <v>0</v>
      </c>
      <c r="G19" s="4">
        <v>0</v>
      </c>
    </row>
    <row r="20" spans="1:7" x14ac:dyDescent="0.25">
      <c r="A20" s="4">
        <v>10</v>
      </c>
      <c r="B20" s="4">
        <v>2.1260642982231301</v>
      </c>
      <c r="C20" s="4">
        <v>0</v>
      </c>
      <c r="D20" s="4">
        <v>0</v>
      </c>
      <c r="E20" s="4">
        <v>1</v>
      </c>
      <c r="F20" s="4">
        <v>0</v>
      </c>
      <c r="G20" s="4">
        <v>0</v>
      </c>
    </row>
    <row r="21" spans="1:7" x14ac:dyDescent="0.25">
      <c r="A21" s="4">
        <v>11</v>
      </c>
      <c r="B21" s="4">
        <v>2.3386707280454502</v>
      </c>
      <c r="C21" s="4">
        <v>0</v>
      </c>
      <c r="D21" s="4">
        <v>0</v>
      </c>
      <c r="E21" s="4">
        <v>1</v>
      </c>
      <c r="F21" s="4">
        <v>0</v>
      </c>
      <c r="G21" s="4">
        <v>0</v>
      </c>
    </row>
    <row r="22" spans="1:7" x14ac:dyDescent="0.25">
      <c r="A22" s="4">
        <v>12</v>
      </c>
      <c r="B22" s="4">
        <v>2.5461424962999799</v>
      </c>
      <c r="C22" s="4">
        <v>0</v>
      </c>
      <c r="D22" s="4">
        <v>-2.2365530492281599E-2</v>
      </c>
      <c r="E22" s="4">
        <v>0.89986454434511998</v>
      </c>
      <c r="F22" s="4">
        <v>0</v>
      </c>
      <c r="G22" s="4">
        <v>-0.436169464578331</v>
      </c>
    </row>
    <row r="23" spans="1:7" x14ac:dyDescent="0.25">
      <c r="A23" s="4">
        <v>13</v>
      </c>
      <c r="B23" s="4">
        <v>2.7374594843968798</v>
      </c>
      <c r="C23" s="4">
        <v>0</v>
      </c>
      <c r="D23" s="4">
        <v>-0.11509796315379001</v>
      </c>
      <c r="E23" s="4">
        <v>0.89986454434511998</v>
      </c>
      <c r="F23" s="4">
        <v>0</v>
      </c>
      <c r="G23" s="4">
        <v>-0.436169464578331</v>
      </c>
    </row>
    <row r="24" spans="1:7" x14ac:dyDescent="0.25">
      <c r="A24" s="4">
        <v>14</v>
      </c>
      <c r="B24" s="4">
        <v>2.9287764724937801</v>
      </c>
      <c r="C24" s="4">
        <v>0</v>
      </c>
      <c r="D24" s="4">
        <v>-0.2078303958153</v>
      </c>
      <c r="E24" s="4">
        <v>0.89986454434511998</v>
      </c>
      <c r="F24" s="4">
        <v>0</v>
      </c>
      <c r="G24" s="4">
        <v>-0.436169464578331</v>
      </c>
    </row>
    <row r="25" spans="1:7" x14ac:dyDescent="0.25">
      <c r="A25" s="4">
        <v>15</v>
      </c>
      <c r="B25" s="4">
        <v>3.12009346059068</v>
      </c>
      <c r="C25" s="4">
        <v>0</v>
      </c>
      <c r="D25" s="4">
        <v>-0.30056282847680899</v>
      </c>
      <c r="E25" s="4">
        <v>0.89986454434511998</v>
      </c>
      <c r="F25" s="4">
        <v>0</v>
      </c>
      <c r="G25" s="4">
        <v>-0.436169464578331</v>
      </c>
    </row>
    <row r="26" spans="1:7" x14ac:dyDescent="0.25">
      <c r="A26" s="4">
        <v>16</v>
      </c>
      <c r="B26" s="4">
        <v>3.3114104486875799</v>
      </c>
      <c r="C26" s="4">
        <v>0</v>
      </c>
      <c r="D26" s="4">
        <v>-0.39329526113831798</v>
      </c>
      <c r="E26" s="4">
        <v>0.89986454434511998</v>
      </c>
      <c r="F26" s="4">
        <v>0</v>
      </c>
      <c r="G26" s="4">
        <v>-0.436169464578331</v>
      </c>
    </row>
    <row r="27" spans="1:7" x14ac:dyDescent="0.25">
      <c r="A27" s="4">
        <v>17</v>
      </c>
      <c r="B27" s="4">
        <v>3.5027274367844798</v>
      </c>
      <c r="C27" s="4">
        <v>0</v>
      </c>
      <c r="D27" s="4">
        <v>-0.48602769379982802</v>
      </c>
      <c r="E27" s="4">
        <v>0.89986454434511998</v>
      </c>
      <c r="F27" s="4">
        <v>0</v>
      </c>
      <c r="G27" s="4">
        <v>-0.436169464578331</v>
      </c>
    </row>
    <row r="28" spans="1:7" x14ac:dyDescent="0.25">
      <c r="A28" s="4">
        <v>18</v>
      </c>
      <c r="B28" s="4">
        <v>3.6940444248813802</v>
      </c>
      <c r="C28" s="4">
        <v>0</v>
      </c>
      <c r="D28" s="4">
        <v>-0.57876012646133701</v>
      </c>
      <c r="E28" s="4">
        <v>0.89986454434511998</v>
      </c>
      <c r="F28" s="4">
        <v>0</v>
      </c>
      <c r="G28" s="4">
        <v>-0.436169464578331</v>
      </c>
    </row>
    <row r="29" spans="1:7" x14ac:dyDescent="0.25">
      <c r="A29" s="4">
        <v>19</v>
      </c>
      <c r="B29" s="4">
        <v>3.8853614129782801</v>
      </c>
      <c r="C29" s="4">
        <v>0</v>
      </c>
      <c r="D29" s="4">
        <v>-0.671492559122847</v>
      </c>
      <c r="E29" s="4">
        <v>0.89986454434511998</v>
      </c>
      <c r="F29" s="4">
        <v>0</v>
      </c>
      <c r="G29" s="4">
        <v>-0.436169464578331</v>
      </c>
    </row>
    <row r="30" spans="1:7" x14ac:dyDescent="0.25">
      <c r="A30" s="4">
        <v>20</v>
      </c>
      <c r="B30" s="4">
        <v>4.0766784010751804</v>
      </c>
      <c r="C30" s="4">
        <v>0</v>
      </c>
      <c r="D30" s="4">
        <v>-0.76422499178435599</v>
      </c>
      <c r="E30" s="4">
        <v>0.89986454434511998</v>
      </c>
      <c r="F30" s="4">
        <v>0</v>
      </c>
      <c r="G30" s="4">
        <v>-0.436169464578331</v>
      </c>
    </row>
    <row r="31" spans="1:7" x14ac:dyDescent="0.25">
      <c r="A31" s="4">
        <v>21</v>
      </c>
      <c r="B31" s="4">
        <v>4.2679953891720803</v>
      </c>
      <c r="C31" s="4">
        <v>0</v>
      </c>
      <c r="D31" s="4">
        <v>-0.85695742444586498</v>
      </c>
      <c r="E31" s="4">
        <v>0.89986454434511998</v>
      </c>
      <c r="F31" s="4">
        <v>0</v>
      </c>
      <c r="G31" s="4">
        <v>-0.436169464578331</v>
      </c>
    </row>
    <row r="32" spans="1:7" x14ac:dyDescent="0.25">
      <c r="A32" s="4">
        <v>22</v>
      </c>
      <c r="B32" s="4">
        <v>4.4527520491206696</v>
      </c>
      <c r="C32" s="4">
        <v>0</v>
      </c>
      <c r="D32" s="4">
        <v>-0.96175782029929002</v>
      </c>
      <c r="E32" s="4">
        <v>0.83031743013471004</v>
      </c>
      <c r="F32" s="4">
        <v>0</v>
      </c>
      <c r="G32" s="4">
        <v>-0.55729073670256801</v>
      </c>
    </row>
    <row r="33" spans="1:7" x14ac:dyDescent="0.25">
      <c r="A33" s="4">
        <v>23</v>
      </c>
      <c r="B33" s="4">
        <v>4.6196753180585297</v>
      </c>
      <c r="C33" s="4">
        <v>0</v>
      </c>
      <c r="D33" s="4">
        <v>-1.09310524103222</v>
      </c>
      <c r="E33" s="4">
        <v>0.736948669608532</v>
      </c>
      <c r="F33" s="4">
        <v>0</v>
      </c>
      <c r="G33" s="4">
        <v>-0.67594870986060296</v>
      </c>
    </row>
    <row r="34" spans="1:7" x14ac:dyDescent="0.25">
      <c r="A34" s="4">
        <v>24</v>
      </c>
      <c r="B34" s="4">
        <v>4.7649205585952004</v>
      </c>
      <c r="C34" s="4">
        <v>0</v>
      </c>
      <c r="D34" s="4">
        <v>-1.2480869907563099</v>
      </c>
      <c r="E34" s="4">
        <v>0.62677936597722095</v>
      </c>
      <c r="F34" s="4">
        <v>0</v>
      </c>
      <c r="G34" s="4">
        <v>-0.77919678283806604</v>
      </c>
    </row>
    <row r="35" spans="1:7" x14ac:dyDescent="0.25">
      <c r="A35" s="4">
        <v>25</v>
      </c>
      <c r="B35" s="4">
        <v>4.8851765510690202</v>
      </c>
      <c r="C35" s="4">
        <v>0</v>
      </c>
      <c r="D35" s="4">
        <v>-1.4231698823255201</v>
      </c>
      <c r="E35" s="4">
        <v>0.50232109733413699</v>
      </c>
      <c r="F35" s="4">
        <v>0</v>
      </c>
      <c r="G35" s="4">
        <v>-0.86468116388240301</v>
      </c>
    </row>
    <row r="36" spans="1:7" x14ac:dyDescent="0.25">
      <c r="A36" s="4">
        <v>26</v>
      </c>
      <c r="B36" s="4">
        <v>4.9777017667025598</v>
      </c>
      <c r="C36" s="4">
        <v>0</v>
      </c>
      <c r="D36" s="4">
        <v>-1.6143624740179401</v>
      </c>
      <c r="E36" s="4">
        <v>0.36641119359567598</v>
      </c>
      <c r="F36" s="4">
        <v>0</v>
      </c>
      <c r="G36" s="4">
        <v>-0.93045302794272799</v>
      </c>
    </row>
    <row r="37" spans="1:7" x14ac:dyDescent="0.25">
      <c r="A37" s="4">
        <v>27</v>
      </c>
      <c r="B37" s="4">
        <v>5.0403868674405903</v>
      </c>
      <c r="C37" s="4">
        <v>0</v>
      </c>
      <c r="D37" s="4">
        <v>-1.8173060641890999</v>
      </c>
      <c r="E37" s="4">
        <v>0.22214805264263701</v>
      </c>
      <c r="F37" s="4">
        <v>0</v>
      </c>
      <c r="G37" s="4">
        <v>-0.97501294489205803</v>
      </c>
    </row>
    <row r="38" spans="1:7" x14ac:dyDescent="0.25">
      <c r="A38" s="4">
        <v>28</v>
      </c>
      <c r="B38" s="4">
        <v>5.07180279345787</v>
      </c>
      <c r="C38" s="4">
        <v>0</v>
      </c>
      <c r="D38" s="4">
        <v>-2.02737405851135</v>
      </c>
      <c r="E38" s="4">
        <v>7.2820504780326797E-2</v>
      </c>
      <c r="F38" s="4">
        <v>0</v>
      </c>
      <c r="G38" s="4">
        <v>-0.99734506269572398</v>
      </c>
    </row>
    <row r="39" spans="1:7" x14ac:dyDescent="0.25">
      <c r="A39" s="4">
        <v>29</v>
      </c>
      <c r="B39" s="4">
        <v>5.0712333420648399</v>
      </c>
      <c r="C39" s="4">
        <v>0</v>
      </c>
      <c r="D39" s="4">
        <v>-2.2397774444806098</v>
      </c>
      <c r="E39" s="4">
        <v>-7.8167164173115797E-2</v>
      </c>
      <c r="F39" s="4">
        <v>0</v>
      </c>
      <c r="G39" s="4">
        <v>-0.99694026623721699</v>
      </c>
    </row>
    <row r="40" spans="1:7" x14ac:dyDescent="0.25">
      <c r="A40" s="4">
        <v>30</v>
      </c>
      <c r="B40" s="4">
        <v>5.03869149529549</v>
      </c>
      <c r="C40" s="4">
        <v>0</v>
      </c>
      <c r="D40" s="4">
        <v>-2.4496739686417701</v>
      </c>
      <c r="E40" s="4">
        <v>-0.22737282188852501</v>
      </c>
      <c r="F40" s="4">
        <v>0</v>
      </c>
      <c r="G40" s="4">
        <v>-0.97380778383952504</v>
      </c>
    </row>
    <row r="41" spans="1:7" x14ac:dyDescent="0.25">
      <c r="A41" s="4">
        <v>31</v>
      </c>
      <c r="B41" s="4">
        <v>4.9749191239502197</v>
      </c>
      <c r="C41" s="4">
        <v>0</v>
      </c>
      <c r="D41" s="4">
        <v>-2.65227852757147</v>
      </c>
      <c r="E41" s="4">
        <v>-0.37139496133107702</v>
      </c>
      <c r="F41" s="4">
        <v>0</v>
      </c>
      <c r="G41" s="4">
        <v>-0.92847497688299996</v>
      </c>
    </row>
    <row r="42" spans="1:7" x14ac:dyDescent="0.25">
      <c r="A42" s="4">
        <v>32</v>
      </c>
      <c r="B42" s="4">
        <v>4.8813700748407101</v>
      </c>
      <c r="C42" s="4">
        <v>0</v>
      </c>
      <c r="D42" s="4">
        <v>-2.8429722559864401</v>
      </c>
      <c r="E42" s="4">
        <v>-0.50695024641294995</v>
      </c>
      <c r="F42" s="4">
        <v>0</v>
      </c>
      <c r="G42" s="4">
        <v>-0.86197531731590105</v>
      </c>
    </row>
    <row r="43" spans="1:7" x14ac:dyDescent="0.25">
      <c r="A43" s="4">
        <v>33</v>
      </c>
      <c r="B43" s="4">
        <v>4.7601770268044996</v>
      </c>
      <c r="C43" s="4">
        <v>0</v>
      </c>
      <c r="D43" s="4">
        <v>-3.01740782504789</v>
      </c>
      <c r="E43" s="4">
        <v>-0.63094836365090201</v>
      </c>
      <c r="F43" s="4">
        <v>0</v>
      </c>
      <c r="G43" s="4">
        <v>-0.77582482713963696</v>
      </c>
    </row>
    <row r="44" spans="1:7" x14ac:dyDescent="0.25">
      <c r="A44" s="4">
        <v>34</v>
      </c>
      <c r="B44" s="4">
        <v>4.61410287108699</v>
      </c>
      <c r="C44" s="4">
        <v>0</v>
      </c>
      <c r="D44" s="4">
        <v>-3.1716085503299398</v>
      </c>
      <c r="E44" s="4">
        <v>-0.74056247340260495</v>
      </c>
      <c r="F44" s="4">
        <v>0</v>
      </c>
      <c r="G44" s="4">
        <v>-0.67198751698808701</v>
      </c>
    </row>
    <row r="45" spans="1:7" x14ac:dyDescent="0.25">
      <c r="A45" s="4">
        <v>35</v>
      </c>
      <c r="B45" s="4">
        <v>4.4464777244939802</v>
      </c>
      <c r="C45" s="4">
        <v>0</v>
      </c>
      <c r="D45" s="4">
        <v>-3.30205905004446</v>
      </c>
      <c r="E45" s="4">
        <v>-0.83329365457387605</v>
      </c>
      <c r="F45" s="4">
        <v>0</v>
      </c>
      <c r="G45" s="4">
        <v>-0.552830611712949</v>
      </c>
    </row>
    <row r="46" spans="1:7" x14ac:dyDescent="0.25">
      <c r="A46" s="4">
        <v>36</v>
      </c>
      <c r="B46" s="4">
        <v>4.2628020223243004</v>
      </c>
      <c r="C46" s="4">
        <v>0</v>
      </c>
      <c r="D46" s="4">
        <v>-3.4087492948422402</v>
      </c>
      <c r="E46" s="4">
        <v>-0.83205029433784405</v>
      </c>
      <c r="F46" s="4">
        <v>0</v>
      </c>
      <c r="G46" s="4">
        <v>-0.55470019622522804</v>
      </c>
    </row>
    <row r="47" spans="1:7" x14ac:dyDescent="0.25">
      <c r="A47" s="4">
        <v>37</v>
      </c>
      <c r="B47" s="4">
        <v>4.08590277981253</v>
      </c>
      <c r="C47" s="4">
        <v>0</v>
      </c>
      <c r="D47" s="4">
        <v>-3.52668212318342</v>
      </c>
      <c r="E47" s="4">
        <v>-0.83205029433784405</v>
      </c>
      <c r="F47" s="4">
        <v>0</v>
      </c>
      <c r="G47" s="4">
        <v>-0.55470019622522804</v>
      </c>
    </row>
    <row r="48" spans="1:7" x14ac:dyDescent="0.25">
      <c r="A48" s="4">
        <v>38</v>
      </c>
      <c r="B48" s="4">
        <v>3.9090035373007499</v>
      </c>
      <c r="C48" s="4">
        <v>0</v>
      </c>
      <c r="D48" s="4">
        <v>-3.64461495152461</v>
      </c>
      <c r="E48" s="4">
        <v>-0.83205029433784405</v>
      </c>
      <c r="F48" s="4">
        <v>0</v>
      </c>
      <c r="G48" s="4">
        <v>-0.55470019622522804</v>
      </c>
    </row>
    <row r="49" spans="1:7" x14ac:dyDescent="0.25">
      <c r="A49" s="4">
        <v>39</v>
      </c>
      <c r="B49" s="4">
        <v>3.73210429478898</v>
      </c>
      <c r="C49" s="4">
        <v>0</v>
      </c>
      <c r="D49" s="4">
        <v>-3.7625477798657898</v>
      </c>
      <c r="E49" s="4">
        <v>-0.83205029433784405</v>
      </c>
      <c r="F49" s="4">
        <v>0</v>
      </c>
      <c r="G49" s="4">
        <v>-0.55470019622522804</v>
      </c>
    </row>
    <row r="50" spans="1:7" x14ac:dyDescent="0.25">
      <c r="A50" s="4">
        <v>40</v>
      </c>
      <c r="B50" s="4">
        <v>3.5552050522771999</v>
      </c>
      <c r="C50" s="4">
        <v>0</v>
      </c>
      <c r="D50" s="4">
        <v>-3.8804806082069701</v>
      </c>
      <c r="E50" s="4">
        <v>-0.83205029433784405</v>
      </c>
      <c r="F50" s="4">
        <v>0</v>
      </c>
      <c r="G50" s="4">
        <v>-0.55470019622522804</v>
      </c>
    </row>
    <row r="51" spans="1:7" x14ac:dyDescent="0.25">
      <c r="A51" s="4">
        <v>41</v>
      </c>
      <c r="B51" s="4">
        <v>3.3783058097654299</v>
      </c>
      <c r="C51" s="4">
        <v>0</v>
      </c>
      <c r="D51" s="4">
        <v>-3.9984134365481498</v>
      </c>
      <c r="E51" s="4">
        <v>-0.83205029433784405</v>
      </c>
      <c r="F51" s="4">
        <v>0</v>
      </c>
      <c r="G51" s="4">
        <v>-0.55470019622522804</v>
      </c>
    </row>
    <row r="52" spans="1:7" x14ac:dyDescent="0.25">
      <c r="A52" s="4">
        <v>42</v>
      </c>
      <c r="B52" s="4">
        <v>3.20140656725366</v>
      </c>
      <c r="C52" s="4">
        <v>0</v>
      </c>
      <c r="D52" s="4">
        <v>-4.1163462648893399</v>
      </c>
      <c r="E52" s="4">
        <v>-0.83205029433784405</v>
      </c>
      <c r="F52" s="4">
        <v>0</v>
      </c>
      <c r="G52" s="4">
        <v>-0.55470019622522804</v>
      </c>
    </row>
    <row r="53" spans="1:7" x14ac:dyDescent="0.25">
      <c r="A53" s="4">
        <v>43</v>
      </c>
      <c r="B53" s="4">
        <v>3.0245073247418799</v>
      </c>
      <c r="C53" s="4">
        <v>0</v>
      </c>
      <c r="D53" s="4">
        <v>-4.2342790932305201</v>
      </c>
      <c r="E53" s="4">
        <v>-0.83205029433784405</v>
      </c>
      <c r="F53" s="4">
        <v>0</v>
      </c>
      <c r="G53" s="4">
        <v>-0.55470019622522804</v>
      </c>
    </row>
    <row r="54" spans="1:7" x14ac:dyDescent="0.25">
      <c r="A54" s="4">
        <v>44</v>
      </c>
      <c r="B54" s="4">
        <v>2.84760808223011</v>
      </c>
      <c r="C54" s="4">
        <v>0</v>
      </c>
      <c r="D54" s="4">
        <v>-4.3522119215717003</v>
      </c>
      <c r="E54" s="4">
        <v>-0.83205029433784405</v>
      </c>
      <c r="F54" s="4">
        <v>0</v>
      </c>
      <c r="G54" s="4">
        <v>-0.55470019622522804</v>
      </c>
    </row>
    <row r="55" spans="1:7" x14ac:dyDescent="0.25">
      <c r="A55" s="4">
        <v>45</v>
      </c>
      <c r="B55" s="4">
        <v>2.6707088397183298</v>
      </c>
      <c r="C55" s="4">
        <v>0</v>
      </c>
      <c r="D55" s="4">
        <v>-4.4701447499128797</v>
      </c>
      <c r="E55" s="4">
        <v>-0.83205029433784405</v>
      </c>
      <c r="F55" s="4">
        <v>0</v>
      </c>
      <c r="G55" s="4">
        <v>-0.55470019622522804</v>
      </c>
    </row>
    <row r="56" spans="1:7" x14ac:dyDescent="0.25">
      <c r="A56" s="4">
        <v>46</v>
      </c>
      <c r="B56" s="4">
        <v>2.4938095972065599</v>
      </c>
      <c r="C56" s="4">
        <v>0</v>
      </c>
      <c r="D56" s="4">
        <v>-4.5880775782540697</v>
      </c>
      <c r="E56" s="4">
        <v>-0.83205029433784405</v>
      </c>
      <c r="F56" s="4">
        <v>0</v>
      </c>
      <c r="G56" s="4">
        <v>-0.55470019622522804</v>
      </c>
    </row>
    <row r="57" spans="1:7" x14ac:dyDescent="0.25">
      <c r="A57" s="4">
        <v>47</v>
      </c>
      <c r="B57" s="4">
        <v>2.31691035469479</v>
      </c>
      <c r="C57" s="4">
        <v>0</v>
      </c>
      <c r="D57" s="4">
        <v>-4.7060104065952499</v>
      </c>
      <c r="E57" s="4">
        <v>-0.83205029433784405</v>
      </c>
      <c r="F57" s="4">
        <v>0</v>
      </c>
      <c r="G57" s="4">
        <v>-0.55470019622522804</v>
      </c>
    </row>
    <row r="58" spans="1:7" x14ac:dyDescent="0.25">
      <c r="A58" s="4">
        <v>48</v>
      </c>
      <c r="B58" s="4">
        <v>2.1400111121830099</v>
      </c>
      <c r="C58" s="4">
        <v>0</v>
      </c>
      <c r="D58" s="4">
        <v>-4.8239432349364302</v>
      </c>
      <c r="E58" s="4">
        <v>-0.83205029433784405</v>
      </c>
      <c r="F58" s="4">
        <v>0</v>
      </c>
      <c r="G58" s="4">
        <v>-0.55470019622522804</v>
      </c>
    </row>
    <row r="59" spans="1:7" x14ac:dyDescent="0.25">
      <c r="A59" s="4">
        <v>49</v>
      </c>
      <c r="B59" s="4">
        <v>1.96311186967124</v>
      </c>
      <c r="C59" s="4">
        <v>0</v>
      </c>
      <c r="D59" s="4">
        <v>-4.9418760632776104</v>
      </c>
      <c r="E59" s="4">
        <v>-0.83205029433784405</v>
      </c>
      <c r="F59" s="4">
        <v>0</v>
      </c>
      <c r="G59" s="4">
        <v>-0.55470019622522804</v>
      </c>
    </row>
    <row r="60" spans="1:7" x14ac:dyDescent="0.25">
      <c r="A60" s="4">
        <v>50</v>
      </c>
      <c r="B60" s="4">
        <v>1.7862126271594601</v>
      </c>
      <c r="C60" s="4">
        <v>0</v>
      </c>
      <c r="D60" s="4">
        <v>-5.0598088916188004</v>
      </c>
      <c r="E60" s="4">
        <v>-0.83205029433784405</v>
      </c>
      <c r="F60" s="4">
        <v>0</v>
      </c>
      <c r="G60" s="4">
        <v>-0.55470019622522804</v>
      </c>
    </row>
    <row r="61" spans="1:7" x14ac:dyDescent="0.25">
      <c r="A61" s="4"/>
      <c r="B61" s="4"/>
      <c r="C61" s="4"/>
      <c r="D61" s="4"/>
      <c r="E61" s="4"/>
      <c r="F61" s="4"/>
      <c r="G61" s="4"/>
    </row>
    <row r="62" spans="1:7" x14ac:dyDescent="0.25">
      <c r="A62" s="4"/>
      <c r="B62" s="4"/>
      <c r="C62" s="4"/>
      <c r="D62" s="4"/>
      <c r="E62" s="4"/>
      <c r="F62" s="4"/>
      <c r="G62" s="4"/>
    </row>
    <row r="63" spans="1:7" x14ac:dyDescent="0.25">
      <c r="A63" s="4"/>
      <c r="B63" s="4"/>
      <c r="C63" s="4"/>
      <c r="D63" s="4"/>
      <c r="E63" s="4"/>
      <c r="F63" s="4"/>
      <c r="G63" s="4"/>
    </row>
    <row r="64" spans="1:7" x14ac:dyDescent="0.25">
      <c r="A64" s="4"/>
      <c r="B64" s="4"/>
      <c r="C64" s="4"/>
      <c r="D64" s="4"/>
      <c r="E64" s="4"/>
      <c r="F64" s="4"/>
      <c r="G64" s="4"/>
    </row>
    <row r="65" spans="1:7" x14ac:dyDescent="0.25">
      <c r="A65" s="4"/>
      <c r="B65" s="4"/>
      <c r="C65" s="4"/>
      <c r="D65" s="4"/>
      <c r="E65" s="4"/>
      <c r="F65" s="4"/>
      <c r="G65" s="4"/>
    </row>
    <row r="66" spans="1:7" x14ac:dyDescent="0.25">
      <c r="A66" s="4"/>
      <c r="B66" s="4"/>
      <c r="C66" s="4"/>
      <c r="D66" s="4"/>
      <c r="E66" s="4"/>
      <c r="F66" s="4"/>
      <c r="G66" s="4"/>
    </row>
    <row r="67" spans="1:7" x14ac:dyDescent="0.25">
      <c r="A67" s="4"/>
      <c r="B67" s="4"/>
      <c r="C67" s="4"/>
      <c r="D67" s="4"/>
      <c r="E67" s="4"/>
      <c r="F67" s="4"/>
      <c r="G67" s="4"/>
    </row>
    <row r="68" spans="1:7" x14ac:dyDescent="0.25">
      <c r="A68" s="4"/>
      <c r="B68" s="4"/>
      <c r="C68" s="4"/>
      <c r="D68" s="4"/>
      <c r="E68" s="4"/>
      <c r="F68" s="4"/>
      <c r="G68" s="4"/>
    </row>
    <row r="69" spans="1:7" x14ac:dyDescent="0.25">
      <c r="A69" s="4"/>
      <c r="B69" s="4"/>
      <c r="C69" s="4"/>
      <c r="D69" s="4"/>
      <c r="E69" s="4"/>
      <c r="F69" s="4"/>
      <c r="G69" s="4"/>
    </row>
    <row r="70" spans="1:7" x14ac:dyDescent="0.25">
      <c r="A70" s="4"/>
      <c r="B70" s="4"/>
      <c r="C70" s="4"/>
      <c r="D70" s="4"/>
      <c r="E70" s="4"/>
      <c r="F70" s="4"/>
      <c r="G70" s="4"/>
    </row>
    <row r="71" spans="1:7" x14ac:dyDescent="0.25">
      <c r="A71" s="4"/>
      <c r="B71" s="4"/>
      <c r="C71" s="4"/>
      <c r="D71" s="4"/>
      <c r="E71" s="4"/>
      <c r="F71" s="4"/>
      <c r="G71" s="4"/>
    </row>
    <row r="72" spans="1:7" x14ac:dyDescent="0.25">
      <c r="A72" s="4"/>
      <c r="B72" s="4"/>
      <c r="C72" s="4"/>
      <c r="D72" s="4"/>
      <c r="E72" s="4"/>
      <c r="F72" s="4"/>
      <c r="G72" s="4"/>
    </row>
    <row r="73" spans="1:7" x14ac:dyDescent="0.25">
      <c r="A73" s="4"/>
      <c r="B73" s="4"/>
      <c r="C73" s="4"/>
      <c r="D73" s="4"/>
      <c r="E73" s="4"/>
      <c r="F73" s="4"/>
      <c r="G73" s="4"/>
    </row>
    <row r="74" spans="1:7" x14ac:dyDescent="0.25">
      <c r="A74" s="4"/>
      <c r="B74" s="4"/>
      <c r="C74" s="4"/>
      <c r="D74" s="4"/>
      <c r="E74" s="4"/>
      <c r="F74" s="4"/>
      <c r="G74" s="4"/>
    </row>
    <row r="75" spans="1:7" x14ac:dyDescent="0.25">
      <c r="A75" s="4"/>
      <c r="B75" s="4"/>
      <c r="C75" s="4"/>
      <c r="D75" s="4"/>
      <c r="E75" s="4"/>
      <c r="F75" s="4"/>
      <c r="G75" s="4"/>
    </row>
    <row r="76" spans="1:7" x14ac:dyDescent="0.25">
      <c r="A76" s="4"/>
      <c r="B76" s="4"/>
      <c r="C76" s="4"/>
      <c r="D76" s="4"/>
      <c r="E76" s="4"/>
      <c r="F76" s="4"/>
      <c r="G76" s="4"/>
    </row>
    <row r="77" spans="1:7" x14ac:dyDescent="0.25">
      <c r="A77" s="4"/>
      <c r="B77" s="4"/>
      <c r="C77" s="4"/>
      <c r="D77" s="4"/>
      <c r="E77" s="4"/>
      <c r="F77" s="4"/>
      <c r="G77" s="4"/>
    </row>
    <row r="78" spans="1:7" x14ac:dyDescent="0.25">
      <c r="A78" s="4"/>
      <c r="B78" s="4"/>
      <c r="C78" s="4"/>
      <c r="D78" s="4"/>
      <c r="E78" s="4"/>
      <c r="F78" s="4"/>
      <c r="G78" s="4"/>
    </row>
    <row r="79" spans="1:7" x14ac:dyDescent="0.25">
      <c r="A79" s="4"/>
      <c r="B79" s="4"/>
      <c r="C79" s="4"/>
      <c r="D79" s="4"/>
      <c r="E79" s="4"/>
      <c r="F79" s="4"/>
      <c r="G79" s="4"/>
    </row>
    <row r="80" spans="1:7" x14ac:dyDescent="0.25">
      <c r="A80" s="4"/>
      <c r="B80" s="4"/>
      <c r="C80" s="4"/>
      <c r="D80" s="4"/>
      <c r="E80" s="4"/>
      <c r="F80" s="4"/>
      <c r="G80" s="4"/>
    </row>
    <row r="81" spans="1:7" x14ac:dyDescent="0.25">
      <c r="A81" s="4"/>
      <c r="B81" s="4"/>
      <c r="C81" s="4"/>
      <c r="D81" s="4"/>
      <c r="E81" s="4"/>
      <c r="F81" s="4"/>
      <c r="G81" s="4"/>
    </row>
    <row r="82" spans="1:7" x14ac:dyDescent="0.25">
      <c r="A82" s="4"/>
      <c r="B82" s="4"/>
      <c r="C82" s="4"/>
      <c r="D82" s="4"/>
      <c r="E82" s="4"/>
      <c r="F82" s="4"/>
      <c r="G82" s="4"/>
    </row>
    <row r="83" spans="1:7" x14ac:dyDescent="0.25">
      <c r="A83" s="4"/>
      <c r="B83" s="4"/>
      <c r="C83" s="4"/>
      <c r="D83" s="4"/>
      <c r="E83" s="4"/>
      <c r="F83" s="4"/>
      <c r="G83" s="4"/>
    </row>
    <row r="84" spans="1:7" x14ac:dyDescent="0.25">
      <c r="A84" s="4"/>
      <c r="B84" s="4"/>
      <c r="C84" s="4"/>
      <c r="D84" s="4"/>
      <c r="E84" s="4"/>
      <c r="F84" s="4"/>
      <c r="G84" s="4"/>
    </row>
    <row r="85" spans="1:7" x14ac:dyDescent="0.25">
      <c r="A85" s="4"/>
      <c r="B85" s="4"/>
      <c r="C85" s="4"/>
      <c r="D85" s="4"/>
      <c r="E85" s="4"/>
      <c r="F85" s="4"/>
      <c r="G85" s="4"/>
    </row>
    <row r="86" spans="1:7" x14ac:dyDescent="0.25">
      <c r="A86" s="4"/>
      <c r="B86" s="4"/>
      <c r="C86" s="4"/>
      <c r="D86" s="4"/>
      <c r="E86" s="4"/>
      <c r="F86" s="4"/>
      <c r="G86" s="4"/>
    </row>
    <row r="87" spans="1:7" x14ac:dyDescent="0.25">
      <c r="A87" s="4"/>
      <c r="B87" s="4"/>
      <c r="C87" s="4"/>
      <c r="D87" s="4"/>
      <c r="E87" s="4"/>
      <c r="F87" s="4"/>
      <c r="G87" s="4"/>
    </row>
    <row r="88" spans="1:7" x14ac:dyDescent="0.25">
      <c r="A88" s="4"/>
      <c r="B88" s="4"/>
      <c r="C88" s="4"/>
      <c r="D88" s="4"/>
      <c r="E88" s="4"/>
      <c r="F88" s="4"/>
      <c r="G88" s="4"/>
    </row>
    <row r="89" spans="1:7" x14ac:dyDescent="0.25">
      <c r="A89" s="4"/>
      <c r="B89" s="4"/>
      <c r="C89" s="4"/>
      <c r="D89" s="4"/>
      <c r="E89" s="4"/>
      <c r="F89" s="4"/>
      <c r="G89" s="4"/>
    </row>
    <row r="90" spans="1:7" x14ac:dyDescent="0.25">
      <c r="A90" s="4"/>
      <c r="B90" s="4"/>
      <c r="C90" s="4"/>
      <c r="D90" s="4"/>
      <c r="E90" s="4"/>
      <c r="F90" s="4"/>
      <c r="G90" s="4"/>
    </row>
    <row r="91" spans="1:7" x14ac:dyDescent="0.25">
      <c r="A91" s="4"/>
      <c r="B91" s="4"/>
      <c r="C91" s="4"/>
      <c r="D91" s="4"/>
      <c r="E91" s="4"/>
      <c r="F91" s="4"/>
      <c r="G91" s="4"/>
    </row>
    <row r="92" spans="1:7" x14ac:dyDescent="0.25">
      <c r="A92" s="4"/>
      <c r="B92" s="4"/>
      <c r="C92" s="4"/>
      <c r="D92" s="4"/>
      <c r="E92" s="4"/>
      <c r="F92" s="4"/>
      <c r="G92" s="4"/>
    </row>
    <row r="93" spans="1:7" x14ac:dyDescent="0.25">
      <c r="A93" s="4"/>
      <c r="B93" s="4"/>
      <c r="C93" s="4"/>
      <c r="D93" s="4"/>
      <c r="E93" s="4"/>
      <c r="F93" s="4"/>
      <c r="G93" s="4"/>
    </row>
    <row r="94" spans="1:7" x14ac:dyDescent="0.25">
      <c r="A94" s="4"/>
      <c r="B94" s="4"/>
      <c r="C94" s="4"/>
      <c r="D94" s="4"/>
      <c r="E94" s="4"/>
      <c r="F94" s="4"/>
      <c r="G94" s="4"/>
    </row>
    <row r="95" spans="1:7" x14ac:dyDescent="0.25">
      <c r="A95" s="4"/>
      <c r="B95" s="4"/>
      <c r="C95" s="4"/>
      <c r="D95" s="4"/>
      <c r="E95" s="4"/>
      <c r="F95" s="4"/>
      <c r="G95" s="4"/>
    </row>
    <row r="96" spans="1:7" x14ac:dyDescent="0.25">
      <c r="A96" s="4"/>
      <c r="B96" s="4"/>
      <c r="C96" s="4"/>
      <c r="D96" s="4"/>
      <c r="E96" s="4"/>
      <c r="F96" s="4"/>
      <c r="G96" s="4"/>
    </row>
    <row r="97" spans="1:7" x14ac:dyDescent="0.25">
      <c r="A97" s="4"/>
      <c r="B97" s="4"/>
      <c r="C97" s="4"/>
      <c r="D97" s="4"/>
      <c r="E97" s="4"/>
      <c r="F97" s="4"/>
      <c r="G97" s="4"/>
    </row>
    <row r="98" spans="1:7" x14ac:dyDescent="0.25">
      <c r="A98" s="4"/>
      <c r="B98" s="4"/>
      <c r="C98" s="4"/>
      <c r="D98" s="4"/>
      <c r="E98" s="4"/>
      <c r="F98" s="4"/>
      <c r="G98" s="4"/>
    </row>
    <row r="99" spans="1:7" x14ac:dyDescent="0.25">
      <c r="A99" s="4"/>
      <c r="B99" s="4"/>
      <c r="C99" s="4"/>
      <c r="D99" s="4"/>
      <c r="E99" s="4"/>
      <c r="F99" s="4"/>
      <c r="G99" s="4"/>
    </row>
    <row r="100" spans="1:7" x14ac:dyDescent="0.25">
      <c r="A100" s="4"/>
      <c r="B100" s="4"/>
      <c r="C100" s="4"/>
      <c r="D100" s="4"/>
      <c r="E100" s="4"/>
      <c r="F100" s="4"/>
      <c r="G100" s="4"/>
    </row>
    <row r="101" spans="1:7" x14ac:dyDescent="0.25">
      <c r="A101" s="4"/>
      <c r="B101" s="4"/>
      <c r="C101" s="4"/>
      <c r="D101" s="4"/>
      <c r="E101" s="4"/>
      <c r="F101" s="4"/>
      <c r="G101" s="4"/>
    </row>
    <row r="102" spans="1:7" x14ac:dyDescent="0.25">
      <c r="A102" s="4"/>
      <c r="B102" s="4"/>
      <c r="C102" s="4"/>
      <c r="D102" s="4"/>
      <c r="E102" s="4"/>
      <c r="F102" s="4"/>
      <c r="G102" s="4"/>
    </row>
    <row r="103" spans="1:7" x14ac:dyDescent="0.25">
      <c r="A103" s="4"/>
      <c r="B103" s="4"/>
      <c r="C103" s="4"/>
      <c r="D103" s="4"/>
      <c r="E103" s="4"/>
      <c r="F103" s="4"/>
      <c r="G103" s="4"/>
    </row>
    <row r="104" spans="1:7" x14ac:dyDescent="0.25">
      <c r="A104" s="4"/>
      <c r="B104" s="4"/>
      <c r="C104" s="4"/>
      <c r="D104" s="4"/>
      <c r="E104" s="4"/>
      <c r="F104" s="4"/>
      <c r="G104" s="4"/>
    </row>
    <row r="105" spans="1:7" x14ac:dyDescent="0.25">
      <c r="A105" s="4"/>
      <c r="B105" s="4"/>
      <c r="C105" s="4"/>
      <c r="D105" s="4"/>
      <c r="E105" s="4"/>
      <c r="F105" s="4"/>
      <c r="G105" s="4"/>
    </row>
    <row r="106" spans="1:7" x14ac:dyDescent="0.25">
      <c r="A106" s="4"/>
      <c r="B106" s="4"/>
      <c r="C106" s="4"/>
      <c r="D106" s="4"/>
      <c r="E106" s="4"/>
      <c r="F106" s="4"/>
      <c r="G106" s="4"/>
    </row>
    <row r="107" spans="1:7" x14ac:dyDescent="0.25">
      <c r="A107" s="4"/>
      <c r="B107" s="4"/>
      <c r="C107" s="4"/>
      <c r="D107" s="4"/>
      <c r="E107" s="4"/>
      <c r="F107" s="4"/>
      <c r="G107" s="4"/>
    </row>
    <row r="108" spans="1:7" x14ac:dyDescent="0.25">
      <c r="A108" s="4"/>
      <c r="B108" s="4"/>
      <c r="C108" s="4"/>
      <c r="D108" s="4"/>
      <c r="E108" s="4"/>
      <c r="F108" s="4"/>
      <c r="G108" s="4"/>
    </row>
    <row r="109" spans="1:7" x14ac:dyDescent="0.25">
      <c r="A109" s="4"/>
      <c r="B109" s="4"/>
      <c r="C109" s="4"/>
      <c r="D109" s="4"/>
      <c r="E109" s="4"/>
      <c r="F109" s="4"/>
      <c r="G109" s="4"/>
    </row>
    <row r="110" spans="1:7" x14ac:dyDescent="0.25">
      <c r="A110" s="4"/>
      <c r="B110" s="4"/>
      <c r="C110" s="4"/>
      <c r="D110" s="4"/>
      <c r="E110" s="4"/>
      <c r="F110" s="4"/>
      <c r="G110" s="4"/>
    </row>
    <row r="111" spans="1:7" x14ac:dyDescent="0.25">
      <c r="A111" s="4"/>
      <c r="B111" s="4"/>
      <c r="C111" s="4"/>
      <c r="D111" s="4"/>
      <c r="E111" s="4"/>
      <c r="F111" s="4"/>
      <c r="G111" s="4"/>
    </row>
    <row r="112" spans="1:7" x14ac:dyDescent="0.25">
      <c r="A112" s="4"/>
      <c r="B112" s="4"/>
      <c r="C112" s="4"/>
      <c r="D112" s="4"/>
      <c r="E112" s="4"/>
      <c r="F112" s="4"/>
      <c r="G112" s="4"/>
    </row>
    <row r="113" spans="1:7" x14ac:dyDescent="0.25">
      <c r="A113" s="4"/>
      <c r="B113" s="4"/>
      <c r="C113" s="4"/>
      <c r="D113" s="4"/>
      <c r="E113" s="4"/>
      <c r="F113" s="4"/>
      <c r="G113" s="4"/>
    </row>
    <row r="114" spans="1:7" x14ac:dyDescent="0.25">
      <c r="A114" s="4"/>
      <c r="B114" s="4"/>
      <c r="C114" s="4"/>
      <c r="D114" s="4"/>
      <c r="E114" s="4"/>
      <c r="F114" s="4"/>
      <c r="G114" s="4"/>
    </row>
    <row r="115" spans="1:7" x14ac:dyDescent="0.25">
      <c r="A115" s="4"/>
      <c r="B115" s="4"/>
      <c r="C115" s="4"/>
      <c r="D115" s="4"/>
      <c r="E115" s="4"/>
      <c r="F115" s="4"/>
      <c r="G115" s="4"/>
    </row>
    <row r="116" spans="1:7" x14ac:dyDescent="0.25">
      <c r="A116" s="4"/>
      <c r="B116" s="4"/>
      <c r="C116" s="4"/>
      <c r="D116" s="4"/>
      <c r="E116" s="4"/>
      <c r="F116" s="4"/>
      <c r="G116" s="4"/>
    </row>
    <row r="117" spans="1:7" x14ac:dyDescent="0.25">
      <c r="A117" s="4"/>
      <c r="B117" s="4"/>
      <c r="C117" s="4"/>
      <c r="D117" s="4"/>
      <c r="E117" s="4"/>
      <c r="F117" s="4"/>
      <c r="G117" s="4"/>
    </row>
    <row r="118" spans="1:7" x14ac:dyDescent="0.25">
      <c r="A118" s="4"/>
      <c r="B118" s="4"/>
      <c r="C118" s="4"/>
      <c r="D118" s="4"/>
      <c r="E118" s="4"/>
      <c r="F118" s="4"/>
      <c r="G118" s="4"/>
    </row>
    <row r="119" spans="1:7" x14ac:dyDescent="0.25">
      <c r="A119" s="4"/>
      <c r="B119" s="4"/>
      <c r="C119" s="4"/>
      <c r="D119" s="4"/>
      <c r="E119" s="4"/>
      <c r="F119" s="4"/>
      <c r="G119" s="4"/>
    </row>
    <row r="120" spans="1:7" x14ac:dyDescent="0.25">
      <c r="A120" s="4"/>
      <c r="B120" s="4"/>
      <c r="C120" s="4"/>
      <c r="D120" s="4"/>
      <c r="E120" s="4"/>
      <c r="F120" s="4"/>
      <c r="G120" s="4"/>
    </row>
    <row r="121" spans="1:7" x14ac:dyDescent="0.25">
      <c r="A121" s="4"/>
      <c r="B121" s="4"/>
      <c r="C121" s="4"/>
      <c r="D121" s="4"/>
      <c r="E121" s="4"/>
      <c r="F121" s="4"/>
      <c r="G121" s="4"/>
    </row>
    <row r="122" spans="1:7" x14ac:dyDescent="0.25">
      <c r="A122" s="4"/>
      <c r="B122" s="4"/>
      <c r="C122" s="4"/>
      <c r="D122" s="4"/>
      <c r="E122" s="4"/>
      <c r="F122" s="4"/>
      <c r="G122" s="4"/>
    </row>
    <row r="123" spans="1:7" x14ac:dyDescent="0.25">
      <c r="A123" s="4"/>
      <c r="B123" s="4"/>
      <c r="C123" s="4"/>
      <c r="D123" s="4"/>
      <c r="E123" s="4"/>
      <c r="F123" s="4"/>
      <c r="G123" s="4"/>
    </row>
    <row r="124" spans="1:7" x14ac:dyDescent="0.25">
      <c r="A124" s="4"/>
      <c r="B124" s="4"/>
      <c r="C124" s="4"/>
      <c r="D124" s="4"/>
      <c r="E124" s="4"/>
      <c r="F124" s="4"/>
      <c r="G124" s="4"/>
    </row>
    <row r="125" spans="1:7" x14ac:dyDescent="0.25">
      <c r="A125" s="4"/>
      <c r="B125" s="4"/>
      <c r="C125" s="4"/>
      <c r="D125" s="4"/>
      <c r="E125" s="4"/>
      <c r="F125" s="4"/>
      <c r="G125" s="4"/>
    </row>
    <row r="126" spans="1:7" x14ac:dyDescent="0.25">
      <c r="A126" s="4"/>
      <c r="B126" s="4"/>
      <c r="C126" s="4"/>
      <c r="D126" s="4"/>
      <c r="E126" s="4"/>
      <c r="F126" s="4"/>
      <c r="G126" s="4"/>
    </row>
    <row r="127" spans="1:7" x14ac:dyDescent="0.25">
      <c r="A127" s="4"/>
      <c r="B127" s="4"/>
      <c r="C127" s="4"/>
      <c r="D127" s="4"/>
      <c r="E127" s="4"/>
      <c r="F127" s="4"/>
      <c r="G127" s="4"/>
    </row>
    <row r="128" spans="1:7" x14ac:dyDescent="0.25">
      <c r="A128" s="4"/>
      <c r="B128" s="4"/>
      <c r="C128" s="4"/>
      <c r="D128" s="4"/>
      <c r="E128" s="4"/>
      <c r="F128" s="4"/>
      <c r="G128" s="4"/>
    </row>
    <row r="129" spans="1:7" x14ac:dyDescent="0.25">
      <c r="A129" s="4"/>
      <c r="B129" s="4"/>
      <c r="C129" s="4"/>
      <c r="D129" s="4"/>
      <c r="E129" s="4"/>
      <c r="F129" s="4"/>
      <c r="G129" s="4"/>
    </row>
    <row r="130" spans="1:7" x14ac:dyDescent="0.25">
      <c r="A130" s="4"/>
      <c r="B130" s="4"/>
      <c r="C130" s="4"/>
      <c r="D130" s="4"/>
      <c r="E130" s="4"/>
      <c r="F130" s="4"/>
      <c r="G130" s="4"/>
    </row>
    <row r="131" spans="1:7" x14ac:dyDescent="0.25">
      <c r="A131" s="4"/>
      <c r="B131" s="4"/>
      <c r="C131" s="4"/>
      <c r="D131" s="4"/>
      <c r="E131" s="4"/>
      <c r="F131" s="4"/>
      <c r="G131" s="4"/>
    </row>
    <row r="132" spans="1:7" x14ac:dyDescent="0.25">
      <c r="A132" s="4"/>
      <c r="B132" s="4"/>
      <c r="C132" s="4"/>
      <c r="D132" s="4"/>
      <c r="E132" s="4"/>
      <c r="F132" s="4"/>
      <c r="G132" s="4"/>
    </row>
    <row r="133" spans="1:7" x14ac:dyDescent="0.25">
      <c r="A133" s="4"/>
      <c r="B133" s="4"/>
      <c r="C133" s="4"/>
      <c r="D133" s="4"/>
      <c r="E133" s="4"/>
      <c r="F133" s="4"/>
      <c r="G133" s="4"/>
    </row>
    <row r="134" spans="1:7" x14ac:dyDescent="0.25">
      <c r="A134" s="4"/>
      <c r="B134" s="4"/>
      <c r="C134" s="4"/>
      <c r="D134" s="4"/>
      <c r="E134" s="4"/>
      <c r="F134" s="4"/>
      <c r="G134" s="4"/>
    </row>
    <row r="135" spans="1:7" x14ac:dyDescent="0.25">
      <c r="A135" s="4"/>
      <c r="B135" s="4"/>
      <c r="C135" s="4"/>
      <c r="D135" s="4"/>
      <c r="E135" s="4"/>
      <c r="F135" s="4"/>
      <c r="G135" s="4"/>
    </row>
    <row r="136" spans="1:7" x14ac:dyDescent="0.25">
      <c r="A136" s="4"/>
      <c r="B136" s="4"/>
      <c r="C136" s="4"/>
      <c r="D136" s="4"/>
      <c r="E136" s="4"/>
      <c r="F136" s="4"/>
      <c r="G136" s="4"/>
    </row>
    <row r="137" spans="1:7" x14ac:dyDescent="0.25">
      <c r="A137" s="4"/>
      <c r="B137" s="4"/>
      <c r="C137" s="4"/>
      <c r="D137" s="4"/>
      <c r="E137" s="4"/>
      <c r="F137" s="4"/>
      <c r="G137" s="4"/>
    </row>
    <row r="138" spans="1:7" x14ac:dyDescent="0.25">
      <c r="A138" s="4"/>
      <c r="B138" s="4"/>
      <c r="C138" s="4"/>
      <c r="D138" s="4"/>
      <c r="E138" s="4"/>
      <c r="F138" s="4"/>
      <c r="G138" s="4"/>
    </row>
    <row r="139" spans="1:7" x14ac:dyDescent="0.25">
      <c r="A139" s="4"/>
      <c r="B139" s="4"/>
      <c r="C139" s="4"/>
      <c r="D139" s="4"/>
      <c r="E139" s="4"/>
      <c r="F139" s="4"/>
      <c r="G139" s="4"/>
    </row>
    <row r="140" spans="1:7" x14ac:dyDescent="0.25">
      <c r="A140" s="4"/>
      <c r="B140" s="4"/>
      <c r="C140" s="4"/>
      <c r="D140" s="4"/>
      <c r="E140" s="4"/>
      <c r="F140" s="4"/>
      <c r="G140" s="4"/>
    </row>
    <row r="141" spans="1:7" x14ac:dyDescent="0.25">
      <c r="A141" s="4"/>
      <c r="B141" s="4"/>
      <c r="C141" s="4"/>
      <c r="D141" s="4"/>
      <c r="E141" s="4"/>
      <c r="F141" s="4"/>
      <c r="G141" s="4"/>
    </row>
    <row r="142" spans="1:7" x14ac:dyDescent="0.25">
      <c r="A142" s="4"/>
      <c r="B142" s="4"/>
      <c r="C142" s="4"/>
      <c r="D142" s="4"/>
      <c r="E142" s="4"/>
      <c r="F142" s="4"/>
      <c r="G142" s="4"/>
    </row>
    <row r="143" spans="1:7" x14ac:dyDescent="0.25">
      <c r="A143" s="4"/>
      <c r="B143" s="4"/>
      <c r="C143" s="4"/>
      <c r="D143" s="4"/>
      <c r="E143" s="4"/>
      <c r="F143" s="4"/>
      <c r="G143" s="4"/>
    </row>
    <row r="144" spans="1:7" x14ac:dyDescent="0.25">
      <c r="A144" s="4"/>
      <c r="B144" s="4"/>
      <c r="C144" s="4"/>
      <c r="D144" s="4"/>
      <c r="E144" s="4"/>
      <c r="F144" s="4"/>
      <c r="G144" s="4"/>
    </row>
    <row r="145" spans="1:7" x14ac:dyDescent="0.25">
      <c r="A145" s="4"/>
      <c r="B145" s="4"/>
      <c r="C145" s="4"/>
      <c r="D145" s="4"/>
      <c r="E145" s="4"/>
      <c r="F145" s="4"/>
      <c r="G145" s="4"/>
    </row>
    <row r="146" spans="1:7" x14ac:dyDescent="0.25">
      <c r="A146" s="4"/>
      <c r="B146" s="4"/>
      <c r="C146" s="4"/>
      <c r="D146" s="4"/>
      <c r="E146" s="4"/>
      <c r="F146" s="4"/>
      <c r="G146" s="4"/>
    </row>
    <row r="147" spans="1:7" x14ac:dyDescent="0.25">
      <c r="A147" s="4"/>
      <c r="B147" s="4"/>
      <c r="C147" s="4"/>
      <c r="D147" s="4"/>
      <c r="E147" s="4"/>
      <c r="F147" s="4"/>
      <c r="G147" s="4"/>
    </row>
    <row r="148" spans="1:7" x14ac:dyDescent="0.25">
      <c r="A148" s="4"/>
      <c r="B148" s="4"/>
      <c r="C148" s="4"/>
      <c r="D148" s="4"/>
      <c r="E148" s="4"/>
      <c r="F148" s="4"/>
      <c r="G148" s="4"/>
    </row>
    <row r="149" spans="1:7" x14ac:dyDescent="0.25">
      <c r="A149" s="4"/>
      <c r="B149" s="4"/>
      <c r="C149" s="4"/>
      <c r="D149" s="4"/>
      <c r="E149" s="4"/>
      <c r="F149" s="4"/>
      <c r="G149" s="4"/>
    </row>
    <row r="150" spans="1:7" x14ac:dyDescent="0.25">
      <c r="A150" s="4"/>
      <c r="B150" s="4"/>
      <c r="C150" s="4"/>
      <c r="D150" s="4"/>
      <c r="E150" s="4"/>
      <c r="F150" s="4"/>
      <c r="G150" s="4"/>
    </row>
    <row r="151" spans="1:7" x14ac:dyDescent="0.25">
      <c r="A151" s="4"/>
      <c r="B151" s="4"/>
      <c r="C151" s="4"/>
      <c r="D151" s="4"/>
      <c r="E151" s="4"/>
      <c r="F151" s="4"/>
      <c r="G151" s="4"/>
    </row>
    <row r="152" spans="1:7" x14ac:dyDescent="0.25">
      <c r="A152" s="4"/>
      <c r="B152" s="4"/>
      <c r="C152" s="4"/>
      <c r="D152" s="4"/>
      <c r="E152" s="4"/>
      <c r="F152" s="4"/>
      <c r="G152" s="4"/>
    </row>
    <row r="153" spans="1:7" x14ac:dyDescent="0.25">
      <c r="A153" s="4"/>
      <c r="B153" s="4"/>
      <c r="C153" s="4"/>
      <c r="D153" s="4"/>
      <c r="E153" s="4"/>
      <c r="F153" s="4"/>
      <c r="G153" s="4"/>
    </row>
    <row r="154" spans="1:7" x14ac:dyDescent="0.25">
      <c r="A154" s="4"/>
      <c r="B154" s="4"/>
      <c r="C154" s="4"/>
      <c r="D154" s="4"/>
      <c r="E154" s="4"/>
      <c r="F154" s="4"/>
      <c r="G154" s="4"/>
    </row>
    <row r="155" spans="1:7" x14ac:dyDescent="0.25">
      <c r="A155" s="4"/>
      <c r="B155" s="4"/>
      <c r="C155" s="4"/>
      <c r="D155" s="4"/>
      <c r="E155" s="4"/>
      <c r="F155" s="4"/>
      <c r="G155" s="4"/>
    </row>
    <row r="156" spans="1:7" x14ac:dyDescent="0.25">
      <c r="A156" s="4"/>
      <c r="B156" s="4"/>
      <c r="C156" s="4"/>
      <c r="D156" s="4"/>
      <c r="E156" s="4"/>
      <c r="F156" s="4"/>
      <c r="G156" s="4"/>
    </row>
    <row r="157" spans="1:7" x14ac:dyDescent="0.25">
      <c r="A157" s="4"/>
      <c r="B157" s="4"/>
      <c r="C157" s="4"/>
      <c r="D157" s="4"/>
      <c r="E157" s="4"/>
      <c r="F157" s="4"/>
      <c r="G157" s="4"/>
    </row>
    <row r="158" spans="1:7" x14ac:dyDescent="0.25">
      <c r="A158" s="4"/>
      <c r="B158" s="4"/>
      <c r="C158" s="4"/>
      <c r="D158" s="4"/>
      <c r="E158" s="4"/>
      <c r="F158" s="4"/>
      <c r="G158" s="4"/>
    </row>
    <row r="159" spans="1:7" x14ac:dyDescent="0.25">
      <c r="A159" s="4"/>
      <c r="B159" s="4"/>
      <c r="C159" s="4"/>
      <c r="D159" s="4"/>
      <c r="E159" s="4"/>
      <c r="F159" s="4"/>
      <c r="G159" s="4"/>
    </row>
    <row r="160" spans="1:7" x14ac:dyDescent="0.25">
      <c r="A160" s="4"/>
      <c r="B160" s="4"/>
      <c r="C160" s="4"/>
      <c r="D160" s="4"/>
      <c r="E160" s="4"/>
      <c r="F160" s="4"/>
      <c r="G160" s="4"/>
    </row>
    <row r="161" spans="1:7" x14ac:dyDescent="0.25">
      <c r="A161" s="4"/>
      <c r="B161" s="4"/>
      <c r="C161" s="4"/>
      <c r="D161" s="4"/>
      <c r="E161" s="4"/>
      <c r="F161" s="4"/>
      <c r="G161" s="4"/>
    </row>
    <row r="162" spans="1:7" x14ac:dyDescent="0.25">
      <c r="A162" s="4"/>
      <c r="B162" s="4"/>
      <c r="C162" s="4"/>
      <c r="D162" s="4"/>
      <c r="E162" s="4"/>
      <c r="F162" s="4"/>
      <c r="G162" s="4"/>
    </row>
    <row r="163" spans="1:7" x14ac:dyDescent="0.25">
      <c r="A163" s="4"/>
      <c r="B163" s="4"/>
      <c r="C163" s="4"/>
      <c r="D163" s="4"/>
      <c r="E163" s="4"/>
      <c r="F163" s="4"/>
      <c r="G163" s="4"/>
    </row>
    <row r="164" spans="1:7" x14ac:dyDescent="0.25">
      <c r="A164" s="4"/>
      <c r="B164" s="4"/>
      <c r="C164" s="4"/>
      <c r="D164" s="4"/>
      <c r="E164" s="4"/>
      <c r="F164" s="4"/>
      <c r="G164" s="4"/>
    </row>
    <row r="165" spans="1:7" x14ac:dyDescent="0.25">
      <c r="A165" s="4"/>
      <c r="B165" s="4"/>
      <c r="C165" s="4"/>
      <c r="D165" s="4"/>
      <c r="E165" s="4"/>
      <c r="F165" s="4"/>
      <c r="G165" s="4"/>
    </row>
    <row r="166" spans="1:7" x14ac:dyDescent="0.25">
      <c r="A166" s="4"/>
      <c r="B166" s="4"/>
      <c r="C166" s="4"/>
      <c r="D166" s="4"/>
      <c r="E166" s="4"/>
      <c r="F166" s="4"/>
      <c r="G166" s="4"/>
    </row>
    <row r="167" spans="1:7" x14ac:dyDescent="0.25">
      <c r="A167" s="4"/>
      <c r="B167" s="4"/>
      <c r="C167" s="4"/>
      <c r="D167" s="4"/>
      <c r="E167" s="4"/>
      <c r="F167" s="4"/>
      <c r="G167" s="4"/>
    </row>
    <row r="168" spans="1:7" x14ac:dyDescent="0.25">
      <c r="A168" s="4"/>
      <c r="B168" s="4"/>
      <c r="C168" s="4"/>
      <c r="D168" s="4"/>
      <c r="E168" s="4"/>
      <c r="F168" s="4"/>
      <c r="G168" s="4"/>
    </row>
    <row r="169" spans="1:7" x14ac:dyDescent="0.25">
      <c r="A169" s="4"/>
      <c r="B169" s="4"/>
      <c r="C169" s="4"/>
      <c r="D169" s="4"/>
      <c r="E169" s="4"/>
      <c r="F169" s="4"/>
      <c r="G169" s="4"/>
    </row>
    <row r="170" spans="1:7" x14ac:dyDescent="0.25">
      <c r="A170" s="4"/>
      <c r="B170" s="4"/>
      <c r="C170" s="4"/>
      <c r="D170" s="4"/>
      <c r="E170" s="4"/>
      <c r="F170" s="4"/>
      <c r="G170" s="4"/>
    </row>
    <row r="171" spans="1:7" x14ac:dyDescent="0.25">
      <c r="A171" s="4"/>
      <c r="B171" s="4"/>
      <c r="C171" s="4"/>
      <c r="D171" s="4"/>
      <c r="E171" s="4"/>
      <c r="F171" s="4"/>
      <c r="G171" s="4"/>
    </row>
    <row r="172" spans="1:7" x14ac:dyDescent="0.25">
      <c r="A172" s="4"/>
      <c r="B172" s="4"/>
      <c r="C172" s="4"/>
      <c r="D172" s="4"/>
      <c r="E172" s="4"/>
      <c r="F172" s="4"/>
      <c r="G172" s="4"/>
    </row>
    <row r="173" spans="1:7" x14ac:dyDescent="0.25">
      <c r="A173" s="4"/>
      <c r="B173" s="4"/>
      <c r="C173" s="4"/>
      <c r="D173" s="4"/>
      <c r="E173" s="4"/>
      <c r="F173" s="4"/>
      <c r="G173" s="4"/>
    </row>
    <row r="174" spans="1:7" x14ac:dyDescent="0.25">
      <c r="A174" s="4"/>
      <c r="B174" s="4"/>
      <c r="C174" s="4"/>
      <c r="D174" s="4"/>
      <c r="E174" s="4"/>
      <c r="F174" s="4"/>
      <c r="G174" s="4"/>
    </row>
    <row r="175" spans="1:7" x14ac:dyDescent="0.25">
      <c r="A175" s="4"/>
      <c r="B175" s="4"/>
      <c r="C175" s="4"/>
      <c r="D175" s="4"/>
      <c r="E175" s="4"/>
      <c r="F175" s="4"/>
      <c r="G175" s="4"/>
    </row>
    <row r="176" spans="1:7" x14ac:dyDescent="0.25">
      <c r="A176" s="4"/>
      <c r="B176" s="4"/>
      <c r="C176" s="4"/>
      <c r="D176" s="4"/>
      <c r="E176" s="4"/>
      <c r="F176" s="4"/>
      <c r="G176" s="4"/>
    </row>
    <row r="177" spans="1:7" x14ac:dyDescent="0.25">
      <c r="A177" s="4"/>
      <c r="B177" s="4"/>
      <c r="C177" s="4"/>
      <c r="D177" s="4"/>
      <c r="E177" s="4"/>
      <c r="F177" s="4"/>
      <c r="G177" s="4"/>
    </row>
    <row r="178" spans="1:7" x14ac:dyDescent="0.25">
      <c r="A178" s="4"/>
      <c r="B178" s="4"/>
      <c r="C178" s="4"/>
      <c r="D178" s="4"/>
      <c r="E178" s="4"/>
      <c r="F178" s="4"/>
      <c r="G178" s="4"/>
    </row>
    <row r="179" spans="1:7" x14ac:dyDescent="0.25">
      <c r="A179" s="4"/>
      <c r="B179" s="4"/>
      <c r="C179" s="4"/>
      <c r="D179" s="4"/>
      <c r="E179" s="4"/>
      <c r="F179" s="4"/>
      <c r="G179" s="4"/>
    </row>
    <row r="180" spans="1:7" x14ac:dyDescent="0.25">
      <c r="A180" s="4"/>
      <c r="B180" s="4"/>
      <c r="C180" s="4"/>
      <c r="D180" s="4"/>
      <c r="E180" s="4"/>
      <c r="F180" s="4"/>
      <c r="G180" s="4"/>
    </row>
    <row r="181" spans="1:7" x14ac:dyDescent="0.25">
      <c r="A181" s="4"/>
      <c r="B181" s="4"/>
      <c r="C181" s="4"/>
      <c r="D181" s="4"/>
      <c r="E181" s="4"/>
      <c r="F181" s="4"/>
      <c r="G181" s="4"/>
    </row>
    <row r="182" spans="1:7" x14ac:dyDescent="0.25">
      <c r="A182" s="4"/>
      <c r="B182" s="4"/>
      <c r="C182" s="4"/>
      <c r="D182" s="4"/>
      <c r="E182" s="4"/>
      <c r="F182" s="4"/>
      <c r="G182" s="4"/>
    </row>
    <row r="183" spans="1:7" x14ac:dyDescent="0.25">
      <c r="A183" s="4"/>
      <c r="B183" s="4"/>
      <c r="C183" s="4"/>
      <c r="D183" s="4"/>
      <c r="E183" s="4"/>
      <c r="F183" s="4"/>
      <c r="G183" s="4"/>
    </row>
    <row r="184" spans="1:7" x14ac:dyDescent="0.25">
      <c r="A184" s="4"/>
      <c r="B184" s="4"/>
      <c r="C184" s="4"/>
      <c r="D184" s="4"/>
      <c r="E184" s="4"/>
      <c r="F184" s="4"/>
      <c r="G184" s="4"/>
    </row>
    <row r="185" spans="1:7" x14ac:dyDescent="0.25">
      <c r="A185" s="4"/>
      <c r="B185" s="4"/>
      <c r="C185" s="4"/>
      <c r="D185" s="4"/>
      <c r="E185" s="4"/>
      <c r="F185" s="4"/>
      <c r="G185" s="4"/>
    </row>
    <row r="186" spans="1:7" x14ac:dyDescent="0.25">
      <c r="A186" s="4"/>
      <c r="B186" s="4"/>
      <c r="C186" s="4"/>
      <c r="D186" s="4"/>
      <c r="E186" s="4"/>
      <c r="F186" s="4"/>
      <c r="G186" s="4"/>
    </row>
    <row r="187" spans="1:7" x14ac:dyDescent="0.25">
      <c r="A187" s="4"/>
      <c r="B187" s="4"/>
      <c r="C187" s="4"/>
      <c r="D187" s="4"/>
      <c r="E187" s="4"/>
      <c r="F187" s="4"/>
      <c r="G187" s="4"/>
    </row>
    <row r="188" spans="1:7" x14ac:dyDescent="0.25">
      <c r="A188" s="4"/>
      <c r="B188" s="4"/>
      <c r="C188" s="4"/>
      <c r="D188" s="4"/>
      <c r="E188" s="4"/>
      <c r="F188" s="4"/>
      <c r="G188" s="4"/>
    </row>
    <row r="189" spans="1:7" x14ac:dyDescent="0.25">
      <c r="A189" s="4"/>
      <c r="B189" s="4"/>
      <c r="C189" s="4"/>
      <c r="D189" s="4"/>
      <c r="E189" s="4"/>
      <c r="F189" s="4"/>
      <c r="G189" s="4"/>
    </row>
    <row r="190" spans="1:7" x14ac:dyDescent="0.25">
      <c r="A190" s="4"/>
      <c r="B190" s="4"/>
      <c r="C190" s="4"/>
      <c r="D190" s="4"/>
      <c r="E190" s="4"/>
      <c r="F190" s="4"/>
      <c r="G190" s="4"/>
    </row>
    <row r="191" spans="1:7" x14ac:dyDescent="0.25">
      <c r="A191" s="4"/>
      <c r="B191" s="4"/>
      <c r="C191" s="4"/>
      <c r="D191" s="4"/>
      <c r="E191" s="4"/>
      <c r="F191" s="4"/>
      <c r="G191" s="4"/>
    </row>
    <row r="192" spans="1:7" x14ac:dyDescent="0.25">
      <c r="A192" s="4"/>
      <c r="B192" s="4"/>
      <c r="C192" s="4"/>
      <c r="D192" s="4"/>
      <c r="E192" s="4"/>
      <c r="F192" s="4"/>
      <c r="G192" s="4"/>
    </row>
    <row r="193" spans="1:7" x14ac:dyDescent="0.25">
      <c r="A193" s="4"/>
      <c r="B193" s="4"/>
      <c r="C193" s="4"/>
      <c r="D193" s="4"/>
      <c r="E193" s="4"/>
      <c r="F193" s="4"/>
      <c r="G193" s="4"/>
    </row>
    <row r="194" spans="1:7" x14ac:dyDescent="0.25">
      <c r="A194" s="4"/>
      <c r="B194" s="4"/>
      <c r="C194" s="4"/>
      <c r="D194" s="4"/>
      <c r="E194" s="4"/>
      <c r="F194" s="4"/>
      <c r="G194" s="4"/>
    </row>
    <row r="195" spans="1:7" x14ac:dyDescent="0.25">
      <c r="A195" s="4"/>
      <c r="B195" s="4"/>
      <c r="C195" s="4"/>
      <c r="D195" s="4"/>
      <c r="E195" s="4"/>
      <c r="F195" s="4"/>
      <c r="G195" s="4"/>
    </row>
    <row r="196" spans="1:7" x14ac:dyDescent="0.25">
      <c r="A196" s="4"/>
      <c r="B196" s="4"/>
      <c r="C196" s="4"/>
      <c r="D196" s="4"/>
      <c r="E196" s="4"/>
      <c r="F196" s="4"/>
      <c r="G196" s="4"/>
    </row>
    <row r="197" spans="1:7" x14ac:dyDescent="0.25">
      <c r="A197" s="4"/>
      <c r="B197" s="4"/>
      <c r="C197" s="4"/>
      <c r="D197" s="4"/>
      <c r="E197" s="4"/>
      <c r="F197" s="4"/>
      <c r="G197" s="4"/>
    </row>
    <row r="198" spans="1:7" x14ac:dyDescent="0.25">
      <c r="A198" s="4"/>
      <c r="B198" s="4"/>
      <c r="C198" s="4"/>
      <c r="D198" s="4"/>
      <c r="E198" s="4"/>
      <c r="F198" s="4"/>
      <c r="G198" s="4"/>
    </row>
    <row r="199" spans="1:7" x14ac:dyDescent="0.25">
      <c r="A199" s="4"/>
      <c r="B199" s="4"/>
      <c r="C199" s="4"/>
      <c r="D199" s="4"/>
      <c r="E199" s="4"/>
      <c r="F199" s="4"/>
      <c r="G199" s="4"/>
    </row>
    <row r="200" spans="1:7" x14ac:dyDescent="0.25">
      <c r="A200" s="4"/>
      <c r="B200" s="4"/>
      <c r="C200" s="4"/>
      <c r="D200" s="4"/>
      <c r="E200" s="4"/>
      <c r="F200" s="4"/>
      <c r="G200" s="4"/>
    </row>
    <row r="201" spans="1:7" x14ac:dyDescent="0.25">
      <c r="A201" s="4"/>
      <c r="B201" s="4"/>
      <c r="C201" s="4"/>
      <c r="D201" s="4"/>
      <c r="E201" s="4"/>
      <c r="F201" s="4"/>
      <c r="G201" s="4"/>
    </row>
    <row r="202" spans="1:7" x14ac:dyDescent="0.25">
      <c r="A202" s="4"/>
      <c r="B202" s="4"/>
      <c r="C202" s="4"/>
      <c r="D202" s="4"/>
      <c r="E202" s="4"/>
      <c r="F202" s="4"/>
      <c r="G202" s="4"/>
    </row>
    <row r="203" spans="1:7" x14ac:dyDescent="0.25">
      <c r="A203" s="4"/>
      <c r="B203" s="4"/>
      <c r="C203" s="4"/>
      <c r="D203" s="4"/>
      <c r="E203" s="4"/>
      <c r="F203" s="4"/>
      <c r="G203" s="4"/>
    </row>
    <row r="204" spans="1:7" x14ac:dyDescent="0.25">
      <c r="A204" s="4"/>
      <c r="B204" s="4"/>
      <c r="C204" s="4"/>
      <c r="D204" s="4"/>
      <c r="E204" s="4"/>
      <c r="F204" s="4"/>
      <c r="G204" s="4"/>
    </row>
    <row r="205" spans="1:7" x14ac:dyDescent="0.25">
      <c r="A205" s="4"/>
      <c r="B205" s="4"/>
      <c r="C205" s="4"/>
      <c r="D205" s="4"/>
      <c r="E205" s="4"/>
      <c r="F205" s="4"/>
      <c r="G205" s="4"/>
    </row>
    <row r="206" spans="1:7" x14ac:dyDescent="0.25">
      <c r="A206" s="4"/>
      <c r="B206" s="4"/>
      <c r="C206" s="4"/>
      <c r="D206" s="4"/>
      <c r="E206" s="4"/>
      <c r="F206" s="4"/>
      <c r="G206" s="4"/>
    </row>
    <row r="207" spans="1:7" x14ac:dyDescent="0.25">
      <c r="A207" s="4"/>
      <c r="B207" s="4"/>
      <c r="C207" s="4"/>
      <c r="D207" s="4"/>
      <c r="E207" s="4"/>
      <c r="F207" s="4"/>
      <c r="G207" s="4"/>
    </row>
    <row r="208" spans="1:7" x14ac:dyDescent="0.25">
      <c r="A208" s="4"/>
      <c r="B208" s="4"/>
      <c r="C208" s="4"/>
      <c r="D208" s="4"/>
      <c r="E208" s="4"/>
      <c r="F208" s="4"/>
      <c r="G208" s="4"/>
    </row>
    <row r="209" spans="1:7" x14ac:dyDescent="0.25">
      <c r="A209" s="4"/>
      <c r="B209" s="4"/>
      <c r="C209" s="4"/>
      <c r="D209" s="4"/>
      <c r="E209" s="4"/>
      <c r="F209" s="4"/>
      <c r="G209" s="4"/>
    </row>
    <row r="210" spans="1:7" x14ac:dyDescent="0.25">
      <c r="A210" s="4"/>
      <c r="B210" s="4"/>
      <c r="C210" s="4"/>
      <c r="D210" s="4"/>
      <c r="E210" s="4"/>
      <c r="F210" s="4"/>
      <c r="G210" s="4"/>
    </row>
    <row r="211" spans="1:7" x14ac:dyDescent="0.25">
      <c r="A211" s="4"/>
      <c r="B211" s="4"/>
      <c r="C211" s="4"/>
      <c r="D211" s="4"/>
      <c r="E211" s="4"/>
      <c r="F211" s="4"/>
      <c r="G211" s="4"/>
    </row>
    <row r="212" spans="1:7" x14ac:dyDescent="0.25">
      <c r="A212" s="4"/>
      <c r="B212" s="4"/>
      <c r="C212" s="4"/>
      <c r="D212" s="4"/>
      <c r="E212" s="4"/>
      <c r="F212" s="4"/>
      <c r="G212" s="4"/>
    </row>
    <row r="213" spans="1:7" x14ac:dyDescent="0.25">
      <c r="A213" s="4"/>
      <c r="B213" s="4"/>
      <c r="C213" s="4"/>
      <c r="D213" s="4"/>
      <c r="E213" s="4"/>
      <c r="F213" s="4"/>
      <c r="G213" s="4"/>
    </row>
    <row r="214" spans="1:7" x14ac:dyDescent="0.25">
      <c r="A214" s="4"/>
      <c r="B214" s="4"/>
      <c r="C214" s="4"/>
      <c r="D214" s="4"/>
      <c r="E214" s="4"/>
      <c r="F214" s="4"/>
      <c r="G214" s="4"/>
    </row>
    <row r="215" spans="1:7" x14ac:dyDescent="0.25">
      <c r="A215" s="4"/>
      <c r="B215" s="4"/>
      <c r="C215" s="4"/>
      <c r="D215" s="4"/>
      <c r="E215" s="4"/>
      <c r="F215" s="4"/>
      <c r="G215" s="4"/>
    </row>
    <row r="216" spans="1:7" x14ac:dyDescent="0.25">
      <c r="A216" s="4"/>
      <c r="B216" s="4"/>
      <c r="C216" s="4"/>
      <c r="D216" s="4"/>
      <c r="E216" s="4"/>
      <c r="F216" s="4"/>
      <c r="G216" s="4"/>
    </row>
    <row r="217" spans="1:7" x14ac:dyDescent="0.25">
      <c r="A217" s="4"/>
      <c r="B217" s="4"/>
      <c r="C217" s="4"/>
      <c r="D217" s="4"/>
      <c r="E217" s="4"/>
      <c r="F217" s="4"/>
      <c r="G217" s="4"/>
    </row>
    <row r="218" spans="1:7" x14ac:dyDescent="0.25">
      <c r="A218" s="4"/>
      <c r="B218" s="4"/>
      <c r="C218" s="4"/>
      <c r="D218" s="4"/>
      <c r="E218" s="4"/>
      <c r="F218" s="4"/>
      <c r="G218" s="4"/>
    </row>
    <row r="219" spans="1:7" x14ac:dyDescent="0.25">
      <c r="A219" s="4"/>
      <c r="B219" s="4"/>
      <c r="C219" s="4"/>
      <c r="D219" s="4"/>
      <c r="E219" s="4"/>
      <c r="F219" s="4"/>
      <c r="G219" s="4"/>
    </row>
    <row r="220" spans="1:7" x14ac:dyDescent="0.25">
      <c r="A220" s="4"/>
      <c r="B220" s="4"/>
      <c r="C220" s="4"/>
      <c r="D220" s="4"/>
      <c r="E220" s="4"/>
      <c r="F220" s="4"/>
      <c r="G220" s="4"/>
    </row>
    <row r="221" spans="1:7" x14ac:dyDescent="0.25">
      <c r="A221" s="4"/>
      <c r="B221" s="4"/>
      <c r="C221" s="4"/>
      <c r="D221" s="4"/>
      <c r="E221" s="4"/>
      <c r="F221" s="4"/>
      <c r="G221" s="4"/>
    </row>
    <row r="222" spans="1:7" x14ac:dyDescent="0.25">
      <c r="A222" s="4"/>
      <c r="B222" s="4"/>
      <c r="C222" s="4"/>
      <c r="D222" s="4"/>
      <c r="E222" s="4"/>
      <c r="F222" s="4"/>
      <c r="G222" s="4"/>
    </row>
    <row r="223" spans="1:7" x14ac:dyDescent="0.25">
      <c r="A223" s="4"/>
      <c r="B223" s="4"/>
      <c r="C223" s="4"/>
      <c r="D223" s="4"/>
      <c r="E223" s="4"/>
      <c r="F223" s="4"/>
      <c r="G223" s="4"/>
    </row>
    <row r="224" spans="1:7" x14ac:dyDescent="0.25">
      <c r="A224" s="4"/>
      <c r="B224" s="4"/>
      <c r="C224" s="4"/>
      <c r="D224" s="4"/>
      <c r="E224" s="4"/>
      <c r="F224" s="4"/>
      <c r="G224" s="4"/>
    </row>
    <row r="225" spans="1:7" x14ac:dyDescent="0.25">
      <c r="A225" s="4"/>
      <c r="B225" s="4"/>
      <c r="C225" s="4"/>
      <c r="D225" s="4"/>
      <c r="E225" s="4"/>
      <c r="F225" s="4"/>
      <c r="G225" s="4"/>
    </row>
    <row r="226" spans="1:7" x14ac:dyDescent="0.25">
      <c r="A226" s="4"/>
      <c r="B226" s="4"/>
      <c r="C226" s="4"/>
      <c r="D226" s="4"/>
      <c r="E226" s="4"/>
      <c r="F226" s="4"/>
      <c r="G226" s="4"/>
    </row>
    <row r="227" spans="1:7" x14ac:dyDescent="0.25">
      <c r="A227" s="4"/>
      <c r="B227" s="4"/>
      <c r="C227" s="4"/>
      <c r="D227" s="4"/>
      <c r="E227" s="4"/>
      <c r="F227" s="4"/>
      <c r="G227" s="4"/>
    </row>
    <row r="228" spans="1:7" x14ac:dyDescent="0.25">
      <c r="A228" s="4"/>
      <c r="B228" s="4"/>
      <c r="C228" s="4"/>
      <c r="D228" s="4"/>
      <c r="E228" s="4"/>
      <c r="F228" s="4"/>
      <c r="G228" s="4"/>
    </row>
    <row r="229" spans="1:7" x14ac:dyDescent="0.25">
      <c r="A229" s="4"/>
      <c r="B229" s="4"/>
      <c r="C229" s="4"/>
      <c r="D229" s="4"/>
      <c r="E229" s="4"/>
      <c r="F229" s="4"/>
      <c r="G229" s="4"/>
    </row>
    <row r="230" spans="1:7" x14ac:dyDescent="0.25">
      <c r="A230" s="4"/>
      <c r="B230" s="4"/>
      <c r="C230" s="4"/>
      <c r="D230" s="4"/>
      <c r="E230" s="4"/>
      <c r="F230" s="4"/>
      <c r="G230" s="4"/>
    </row>
    <row r="231" spans="1:7" x14ac:dyDescent="0.25">
      <c r="A231" s="4"/>
      <c r="B231" s="4"/>
      <c r="C231" s="4"/>
      <c r="D231" s="4"/>
      <c r="E231" s="4"/>
      <c r="F231" s="4"/>
      <c r="G231" s="4"/>
    </row>
    <row r="232" spans="1:7" x14ac:dyDescent="0.25">
      <c r="A232" s="4"/>
      <c r="B232" s="4"/>
      <c r="C232" s="4"/>
      <c r="D232" s="4"/>
      <c r="E232" s="4"/>
      <c r="F232" s="4"/>
      <c r="G232" s="4"/>
    </row>
    <row r="233" spans="1:7" x14ac:dyDescent="0.25">
      <c r="A233" s="4"/>
      <c r="B233" s="4"/>
      <c r="C233" s="4"/>
      <c r="D233" s="4"/>
      <c r="E233" s="4"/>
      <c r="F233" s="4"/>
      <c r="G233" s="4"/>
    </row>
    <row r="234" spans="1:7" x14ac:dyDescent="0.25">
      <c r="A234" s="4"/>
      <c r="B234" s="4"/>
      <c r="C234" s="4"/>
      <c r="D234" s="4"/>
      <c r="E234" s="4"/>
      <c r="F234" s="4"/>
      <c r="G234" s="4"/>
    </row>
    <row r="235" spans="1:7" x14ac:dyDescent="0.25">
      <c r="A235" s="4"/>
      <c r="B235" s="4"/>
      <c r="C235" s="4"/>
      <c r="D235" s="4"/>
      <c r="E235" s="4"/>
      <c r="F235" s="4"/>
      <c r="G235" s="4"/>
    </row>
    <row r="236" spans="1:7" x14ac:dyDescent="0.25">
      <c r="A236" s="4"/>
      <c r="B236" s="4"/>
      <c r="C236" s="4"/>
      <c r="D236" s="4"/>
      <c r="E236" s="4"/>
      <c r="F236" s="4"/>
      <c r="G236" s="4"/>
    </row>
    <row r="237" spans="1:7" x14ac:dyDescent="0.25">
      <c r="A237" s="4"/>
      <c r="B237" s="4"/>
      <c r="C237" s="4"/>
      <c r="D237" s="4"/>
      <c r="E237" s="4"/>
      <c r="F237" s="4"/>
      <c r="G237" s="4"/>
    </row>
    <row r="238" spans="1:7" x14ac:dyDescent="0.25">
      <c r="A238" s="4"/>
      <c r="B238" s="4"/>
      <c r="C238" s="4"/>
      <c r="D238" s="4"/>
      <c r="E238" s="4"/>
      <c r="F238" s="4"/>
      <c r="G238" s="4"/>
    </row>
    <row r="239" spans="1:7" x14ac:dyDescent="0.25">
      <c r="A239" s="4"/>
      <c r="B239" s="4"/>
      <c r="C239" s="4"/>
      <c r="D239" s="4"/>
      <c r="E239" s="4"/>
      <c r="F239" s="4"/>
      <c r="G239" s="4"/>
    </row>
    <row r="240" spans="1:7" x14ac:dyDescent="0.25">
      <c r="A240" s="4"/>
      <c r="B240" s="4"/>
      <c r="C240" s="4"/>
      <c r="D240" s="4"/>
      <c r="E240" s="4"/>
      <c r="F240" s="4"/>
      <c r="G240" s="4"/>
    </row>
    <row r="241" spans="1:7" x14ac:dyDescent="0.25">
      <c r="A241" s="4"/>
      <c r="B241" s="4"/>
      <c r="C241" s="4"/>
      <c r="D241" s="4"/>
      <c r="E241" s="4"/>
      <c r="F241" s="4"/>
      <c r="G241" s="4"/>
    </row>
    <row r="242" spans="1:7" x14ac:dyDescent="0.25">
      <c r="A242" s="4"/>
      <c r="B242" s="4"/>
      <c r="C242" s="4"/>
      <c r="D242" s="4"/>
      <c r="E242" s="4"/>
      <c r="F242" s="4"/>
      <c r="G242" s="4"/>
    </row>
    <row r="243" spans="1:7" x14ac:dyDescent="0.25">
      <c r="A243" s="4"/>
      <c r="B243" s="4"/>
      <c r="C243" s="4"/>
      <c r="D243" s="4"/>
      <c r="E243" s="4"/>
      <c r="F243" s="4"/>
      <c r="G243" s="4"/>
    </row>
    <row r="244" spans="1:7" x14ac:dyDescent="0.25">
      <c r="A244" s="4"/>
      <c r="B244" s="4"/>
      <c r="C244" s="4"/>
      <c r="D244" s="4"/>
      <c r="E244" s="4"/>
      <c r="F244" s="4"/>
      <c r="G244" s="4"/>
    </row>
    <row r="245" spans="1:7" x14ac:dyDescent="0.25">
      <c r="A245" s="4"/>
      <c r="B245" s="4"/>
      <c r="C245" s="4"/>
      <c r="D245" s="4"/>
      <c r="E245" s="4"/>
      <c r="F245" s="4"/>
      <c r="G245" s="4"/>
    </row>
    <row r="246" spans="1:7" x14ac:dyDescent="0.25">
      <c r="A246" s="4"/>
      <c r="B246" s="4"/>
      <c r="C246" s="4"/>
      <c r="D246" s="4"/>
      <c r="E246" s="4"/>
      <c r="F246" s="4"/>
      <c r="G246" s="4"/>
    </row>
    <row r="247" spans="1:7" x14ac:dyDescent="0.25">
      <c r="A247" s="4"/>
      <c r="B247" s="4"/>
      <c r="C247" s="4"/>
      <c r="D247" s="4"/>
      <c r="E247" s="4"/>
      <c r="F247" s="4"/>
      <c r="G247" s="4"/>
    </row>
    <row r="248" spans="1:7" x14ac:dyDescent="0.25">
      <c r="A248" s="4"/>
      <c r="B248" s="4"/>
      <c r="C248" s="4"/>
      <c r="D248" s="4"/>
      <c r="E248" s="4"/>
      <c r="F248" s="4"/>
      <c r="G248" s="4"/>
    </row>
    <row r="249" spans="1:7" x14ac:dyDescent="0.25">
      <c r="A249" s="4"/>
      <c r="B249" s="4"/>
      <c r="C249" s="4"/>
      <c r="D249" s="4"/>
      <c r="E249" s="4"/>
      <c r="F249" s="4"/>
      <c r="G249" s="4"/>
    </row>
    <row r="250" spans="1:7" x14ac:dyDescent="0.25">
      <c r="A250" s="4"/>
      <c r="B250" s="4"/>
      <c r="C250" s="4"/>
      <c r="D250" s="4"/>
      <c r="E250" s="4"/>
      <c r="F250" s="4"/>
      <c r="G250" s="4"/>
    </row>
    <row r="251" spans="1:7" x14ac:dyDescent="0.25">
      <c r="A251" s="4"/>
      <c r="B251" s="4"/>
      <c r="C251" s="4"/>
      <c r="D251" s="4"/>
      <c r="E251" s="4"/>
      <c r="F251" s="4"/>
      <c r="G251" s="4"/>
    </row>
    <row r="252" spans="1:7" x14ac:dyDescent="0.25">
      <c r="A252" s="4"/>
      <c r="B252" s="4"/>
      <c r="C252" s="4"/>
      <c r="D252" s="4"/>
      <c r="E252" s="4"/>
      <c r="F252" s="4"/>
      <c r="G252" s="4"/>
    </row>
    <row r="253" spans="1:7" x14ac:dyDescent="0.25">
      <c r="A253" s="4"/>
      <c r="B253" s="4"/>
      <c r="C253" s="4"/>
      <c r="D253" s="4"/>
      <c r="E253" s="4"/>
      <c r="F253" s="4"/>
      <c r="G253" s="4"/>
    </row>
    <row r="254" spans="1:7" x14ac:dyDescent="0.25">
      <c r="A254" s="4"/>
      <c r="B254" s="4"/>
      <c r="C254" s="4"/>
      <c r="D254" s="4"/>
      <c r="E254" s="4"/>
      <c r="F254" s="4"/>
      <c r="G254" s="4"/>
    </row>
    <row r="255" spans="1:7" x14ac:dyDescent="0.25">
      <c r="A255" s="4"/>
      <c r="B255" s="4"/>
      <c r="C255" s="4"/>
      <c r="D255" s="4"/>
      <c r="E255" s="4"/>
      <c r="F255" s="4"/>
      <c r="G255" s="4"/>
    </row>
    <row r="256" spans="1:7" x14ac:dyDescent="0.25">
      <c r="A256" s="4"/>
      <c r="B256" s="4"/>
      <c r="C256" s="4"/>
      <c r="D256" s="4"/>
      <c r="E256" s="4"/>
      <c r="F256" s="4"/>
      <c r="G256" s="4"/>
    </row>
    <row r="257" spans="1:7" x14ac:dyDescent="0.25">
      <c r="A257" s="4"/>
      <c r="B257" s="4"/>
      <c r="C257" s="4"/>
      <c r="D257" s="4"/>
      <c r="E257" s="4"/>
      <c r="F257" s="4"/>
      <c r="G257" s="4"/>
    </row>
    <row r="258" spans="1:7" x14ac:dyDescent="0.25">
      <c r="A258" s="4"/>
      <c r="B258" s="4"/>
      <c r="C258" s="4"/>
      <c r="D258" s="4"/>
      <c r="E258" s="4"/>
      <c r="F258" s="4"/>
      <c r="G258" s="4"/>
    </row>
    <row r="259" spans="1:7" x14ac:dyDescent="0.25">
      <c r="A259" s="4"/>
      <c r="B259" s="4"/>
      <c r="C259" s="4"/>
      <c r="D259" s="4"/>
      <c r="E259" s="4"/>
      <c r="F259" s="4"/>
      <c r="G259" s="4"/>
    </row>
    <row r="260" spans="1:7" x14ac:dyDescent="0.25">
      <c r="A260" s="4"/>
      <c r="B260" s="4"/>
      <c r="C260" s="4"/>
      <c r="D260" s="4"/>
      <c r="E260" s="4"/>
      <c r="F260" s="4"/>
      <c r="G260" s="4"/>
    </row>
    <row r="261" spans="1:7" x14ac:dyDescent="0.25">
      <c r="A261" s="4"/>
      <c r="B261" s="4"/>
      <c r="C261" s="4"/>
      <c r="D261" s="4"/>
      <c r="E261" s="4"/>
      <c r="F261" s="4"/>
      <c r="G261" s="4"/>
    </row>
    <row r="262" spans="1:7" x14ac:dyDescent="0.25">
      <c r="A262" s="4"/>
      <c r="B262" s="4"/>
      <c r="C262" s="4"/>
      <c r="D262" s="4"/>
      <c r="E262" s="4"/>
      <c r="F262" s="4"/>
      <c r="G262" s="4"/>
    </row>
    <row r="263" spans="1:7" x14ac:dyDescent="0.25">
      <c r="A263" s="4"/>
      <c r="B263" s="4"/>
      <c r="C263" s="4"/>
      <c r="D263" s="4"/>
      <c r="E263" s="4"/>
      <c r="F263" s="4"/>
      <c r="G263" s="4"/>
    </row>
    <row r="264" spans="1:7" x14ac:dyDescent="0.25">
      <c r="A264" s="4"/>
      <c r="B264" s="4"/>
      <c r="C264" s="4"/>
      <c r="D264" s="4"/>
      <c r="E264" s="4"/>
      <c r="F264" s="4"/>
      <c r="G264" s="4"/>
    </row>
    <row r="265" spans="1:7" x14ac:dyDescent="0.25">
      <c r="A265" s="4"/>
      <c r="B265" s="4"/>
      <c r="C265" s="4"/>
      <c r="D265" s="4"/>
      <c r="E265" s="4"/>
      <c r="F265" s="4"/>
      <c r="G265" s="4"/>
    </row>
    <row r="266" spans="1:7" x14ac:dyDescent="0.25">
      <c r="A266" s="4"/>
      <c r="B266" s="4"/>
      <c r="C266" s="4"/>
      <c r="D266" s="4"/>
      <c r="E266" s="4"/>
      <c r="F266" s="4"/>
      <c r="G266" s="4"/>
    </row>
    <row r="267" spans="1:7" x14ac:dyDescent="0.25">
      <c r="A267" s="4"/>
      <c r="B267" s="4"/>
      <c r="C267" s="4"/>
      <c r="D267" s="4"/>
      <c r="E267" s="4"/>
      <c r="F267" s="4"/>
      <c r="G267" s="4"/>
    </row>
    <row r="268" spans="1:7" x14ac:dyDescent="0.25">
      <c r="A268" s="4"/>
      <c r="B268" s="4"/>
      <c r="C268" s="4"/>
      <c r="D268" s="4"/>
      <c r="E268" s="4"/>
      <c r="F268" s="4"/>
      <c r="G268" s="4"/>
    </row>
    <row r="269" spans="1:7" x14ac:dyDescent="0.25">
      <c r="A269" s="4"/>
      <c r="B269" s="4"/>
      <c r="C269" s="4"/>
      <c r="D269" s="4"/>
      <c r="E269" s="4"/>
      <c r="F269" s="4"/>
      <c r="G269" s="4"/>
    </row>
    <row r="270" spans="1:7" x14ac:dyDescent="0.25">
      <c r="A270" s="4"/>
      <c r="B270" s="4"/>
      <c r="C270" s="4"/>
      <c r="D270" s="4"/>
      <c r="E270" s="4"/>
      <c r="F270" s="4"/>
      <c r="G270" s="4"/>
    </row>
    <row r="271" spans="1:7" x14ac:dyDescent="0.25">
      <c r="A271" s="4"/>
      <c r="B271" s="4"/>
      <c r="C271" s="4"/>
      <c r="D271" s="4"/>
      <c r="E271" s="4"/>
      <c r="F271" s="4"/>
      <c r="G271" s="4"/>
    </row>
    <row r="272" spans="1:7" x14ac:dyDescent="0.25">
      <c r="A272" s="4"/>
      <c r="B272" s="4"/>
      <c r="C272" s="4"/>
      <c r="D272" s="4"/>
      <c r="E272" s="4"/>
      <c r="F272" s="4"/>
      <c r="G272" s="4"/>
    </row>
    <row r="273" spans="1:7" x14ac:dyDescent="0.25">
      <c r="A273" s="4"/>
      <c r="B273" s="4"/>
      <c r="C273" s="4"/>
      <c r="D273" s="4"/>
      <c r="E273" s="4"/>
      <c r="F273" s="4"/>
      <c r="G273" s="4"/>
    </row>
    <row r="274" spans="1:7" x14ac:dyDescent="0.25">
      <c r="A274" s="4"/>
      <c r="B274" s="4"/>
      <c r="C274" s="4"/>
      <c r="D274" s="4"/>
      <c r="E274" s="4"/>
      <c r="F274" s="4"/>
      <c r="G274" s="4"/>
    </row>
    <row r="275" spans="1:7" x14ac:dyDescent="0.25">
      <c r="A275" s="4"/>
      <c r="B275" s="4"/>
      <c r="C275" s="4"/>
      <c r="D275" s="4"/>
      <c r="E275" s="4"/>
      <c r="F275" s="4"/>
      <c r="G275" s="4"/>
    </row>
    <row r="276" spans="1:7" x14ac:dyDescent="0.25">
      <c r="A276" s="4"/>
      <c r="B276" s="4"/>
      <c r="C276" s="4"/>
      <c r="D276" s="4"/>
      <c r="E276" s="4"/>
      <c r="F276" s="4"/>
      <c r="G276" s="4"/>
    </row>
    <row r="277" spans="1:7" x14ac:dyDescent="0.25">
      <c r="A277" s="4"/>
      <c r="B277" s="4"/>
      <c r="C277" s="4"/>
      <c r="D277" s="4"/>
      <c r="E277" s="4"/>
      <c r="F277" s="4"/>
      <c r="G277" s="4"/>
    </row>
    <row r="278" spans="1:7" x14ac:dyDescent="0.25">
      <c r="A278" s="4"/>
      <c r="B278" s="4"/>
      <c r="C278" s="4"/>
      <c r="D278" s="4"/>
      <c r="E278" s="4"/>
      <c r="F278" s="4"/>
      <c r="G278" s="4"/>
    </row>
    <row r="279" spans="1:7" x14ac:dyDescent="0.25">
      <c r="A279" s="4"/>
      <c r="B279" s="4"/>
      <c r="C279" s="4"/>
      <c r="D279" s="4"/>
      <c r="E279" s="4"/>
      <c r="F279" s="4"/>
      <c r="G279" s="4"/>
    </row>
    <row r="280" spans="1:7" x14ac:dyDescent="0.25">
      <c r="A280" s="4"/>
      <c r="B280" s="4"/>
      <c r="C280" s="4"/>
      <c r="D280" s="4"/>
      <c r="E280" s="4"/>
      <c r="F280" s="4"/>
      <c r="G280" s="4"/>
    </row>
    <row r="281" spans="1:7" x14ac:dyDescent="0.25">
      <c r="A281" s="4"/>
      <c r="B281" s="4"/>
      <c r="C281" s="4"/>
      <c r="D281" s="4"/>
      <c r="E281" s="4"/>
      <c r="F281" s="4"/>
      <c r="G281" s="4"/>
    </row>
    <row r="282" spans="1:7" x14ac:dyDescent="0.25">
      <c r="A282" s="4"/>
      <c r="B282" s="4"/>
      <c r="C282" s="4"/>
      <c r="D282" s="4"/>
      <c r="E282" s="4"/>
      <c r="F282" s="4"/>
      <c r="G282" s="4"/>
    </row>
    <row r="283" spans="1:7" x14ac:dyDescent="0.25">
      <c r="A283" s="4"/>
      <c r="B283" s="4"/>
      <c r="C283" s="4"/>
      <c r="D283" s="4"/>
      <c r="E283" s="4"/>
      <c r="F283" s="4"/>
      <c r="G283" s="4"/>
    </row>
    <row r="284" spans="1:7" x14ac:dyDescent="0.25">
      <c r="A284" s="4"/>
      <c r="B284" s="4"/>
      <c r="C284" s="4"/>
      <c r="D284" s="4"/>
      <c r="E284" s="4"/>
      <c r="F284" s="4"/>
      <c r="G284" s="4"/>
    </row>
    <row r="285" spans="1:7" x14ac:dyDescent="0.25">
      <c r="A285" s="4"/>
      <c r="B285" s="4"/>
      <c r="C285" s="4"/>
      <c r="D285" s="4"/>
      <c r="E285" s="4"/>
      <c r="F285" s="4"/>
      <c r="G285" s="4"/>
    </row>
    <row r="286" spans="1:7" x14ac:dyDescent="0.25">
      <c r="A286" s="4"/>
      <c r="B286" s="4"/>
      <c r="C286" s="4"/>
      <c r="D286" s="4"/>
      <c r="E286" s="4"/>
      <c r="F286" s="4"/>
      <c r="G286" s="4"/>
    </row>
    <row r="287" spans="1:7" x14ac:dyDescent="0.25">
      <c r="A287" s="4"/>
      <c r="B287" s="4"/>
      <c r="C287" s="4"/>
      <c r="D287" s="4"/>
      <c r="E287" s="4"/>
      <c r="F287" s="4"/>
      <c r="G287" s="4"/>
    </row>
    <row r="288" spans="1:7" x14ac:dyDescent="0.25">
      <c r="A288" s="4"/>
      <c r="B288" s="4"/>
      <c r="C288" s="4"/>
      <c r="D288" s="4"/>
      <c r="E288" s="4"/>
      <c r="F288" s="4"/>
      <c r="G288" s="4"/>
    </row>
    <row r="289" spans="1:7" x14ac:dyDescent="0.25">
      <c r="A289" s="4"/>
      <c r="B289" s="4"/>
      <c r="C289" s="4"/>
      <c r="D289" s="4"/>
      <c r="E289" s="4"/>
      <c r="F289" s="4"/>
      <c r="G289" s="4"/>
    </row>
    <row r="290" spans="1:7" x14ac:dyDescent="0.25">
      <c r="A290" s="4"/>
      <c r="B290" s="4"/>
      <c r="C290" s="4"/>
      <c r="D290" s="4"/>
      <c r="E290" s="4"/>
      <c r="F290" s="4"/>
      <c r="G290" s="4"/>
    </row>
    <row r="291" spans="1:7" x14ac:dyDescent="0.25">
      <c r="A291" s="4"/>
      <c r="B291" s="4"/>
      <c r="C291" s="4"/>
      <c r="D291" s="4"/>
      <c r="E291" s="4"/>
      <c r="F291" s="4"/>
      <c r="G291" s="4"/>
    </row>
    <row r="292" spans="1:7" x14ac:dyDescent="0.25">
      <c r="A292" s="4"/>
      <c r="B292" s="4"/>
      <c r="C292" s="4"/>
      <c r="D292" s="4"/>
      <c r="E292" s="4"/>
      <c r="F292" s="4"/>
      <c r="G292" s="4"/>
    </row>
    <row r="293" spans="1:7" x14ac:dyDescent="0.25">
      <c r="A293" s="4"/>
      <c r="B293" s="4"/>
      <c r="C293" s="4"/>
      <c r="D293" s="4"/>
      <c r="E293" s="4"/>
      <c r="F293" s="4"/>
      <c r="G293" s="4"/>
    </row>
    <row r="294" spans="1:7" x14ac:dyDescent="0.25">
      <c r="A294" s="4"/>
      <c r="B294" s="4"/>
      <c r="C294" s="4"/>
      <c r="D294" s="4"/>
      <c r="E294" s="4"/>
      <c r="F294" s="4"/>
      <c r="G294" s="4"/>
    </row>
    <row r="295" spans="1:7" x14ac:dyDescent="0.25">
      <c r="A295" s="4"/>
      <c r="B295" s="4"/>
      <c r="C295" s="4"/>
      <c r="D295" s="4"/>
      <c r="E295" s="4"/>
      <c r="F295" s="4"/>
      <c r="G295" s="4"/>
    </row>
    <row r="296" spans="1:7" x14ac:dyDescent="0.25">
      <c r="A296" s="4"/>
      <c r="B296" s="4"/>
      <c r="C296" s="4"/>
      <c r="D296" s="4"/>
      <c r="E296" s="4"/>
      <c r="F296" s="4"/>
      <c r="G296" s="4"/>
    </row>
    <row r="297" spans="1:7" x14ac:dyDescent="0.25">
      <c r="A297" s="4"/>
      <c r="B297" s="4"/>
      <c r="C297" s="4"/>
      <c r="D297" s="4"/>
      <c r="E297" s="4"/>
      <c r="F297" s="4"/>
      <c r="G297" s="4"/>
    </row>
    <row r="298" spans="1:7" x14ac:dyDescent="0.25">
      <c r="A298" s="4"/>
      <c r="B298" s="4"/>
      <c r="C298" s="4"/>
      <c r="D298" s="4"/>
      <c r="E298" s="4"/>
      <c r="F298" s="4"/>
      <c r="G298" s="4"/>
    </row>
    <row r="299" spans="1:7" x14ac:dyDescent="0.25">
      <c r="A299" s="4"/>
      <c r="B299" s="4"/>
      <c r="C299" s="4"/>
      <c r="D299" s="4"/>
      <c r="E299" s="4"/>
      <c r="F299" s="4"/>
      <c r="G299" s="4"/>
    </row>
    <row r="300" spans="1:7" x14ac:dyDescent="0.25">
      <c r="A300" s="4"/>
      <c r="B300" s="4"/>
      <c r="C300" s="4"/>
      <c r="D300" s="4"/>
      <c r="E300" s="4"/>
      <c r="F300" s="4"/>
      <c r="G300" s="4"/>
    </row>
    <row r="301" spans="1:7" x14ac:dyDescent="0.25">
      <c r="A301" s="4"/>
      <c r="B301" s="4"/>
      <c r="C301" s="4"/>
      <c r="D301" s="4"/>
      <c r="E301" s="4"/>
      <c r="F301" s="4"/>
      <c r="G301" s="4"/>
    </row>
    <row r="302" spans="1:7" x14ac:dyDescent="0.25">
      <c r="A302" s="4"/>
      <c r="B302" s="4"/>
      <c r="C302" s="4"/>
      <c r="D302" s="4"/>
      <c r="E302" s="4"/>
      <c r="F302" s="4"/>
      <c r="G302" s="4"/>
    </row>
    <row r="303" spans="1:7" x14ac:dyDescent="0.25">
      <c r="A303" s="4"/>
      <c r="B303" s="4"/>
      <c r="C303" s="4"/>
      <c r="D303" s="4"/>
      <c r="E303" s="4"/>
      <c r="F303" s="4"/>
      <c r="G303" s="4"/>
    </row>
    <row r="304" spans="1:7" x14ac:dyDescent="0.25">
      <c r="A304" s="4"/>
      <c r="B304" s="4"/>
      <c r="C304" s="4"/>
      <c r="D304" s="4"/>
      <c r="E304" s="4"/>
      <c r="F304" s="4"/>
      <c r="G304" s="4"/>
    </row>
    <row r="305" spans="1:7" x14ac:dyDescent="0.25">
      <c r="A305" s="4"/>
      <c r="B305" s="4"/>
      <c r="C305" s="4"/>
      <c r="D305" s="4"/>
      <c r="E305" s="4"/>
      <c r="F305" s="4"/>
      <c r="G305" s="4"/>
    </row>
    <row r="306" spans="1:7" x14ac:dyDescent="0.25">
      <c r="A306" s="4"/>
      <c r="B306" s="4"/>
      <c r="C306" s="4"/>
      <c r="D306" s="4"/>
      <c r="E306" s="4"/>
      <c r="F306" s="4"/>
      <c r="G306" s="4"/>
    </row>
    <row r="307" spans="1:7" x14ac:dyDescent="0.25">
      <c r="A307" s="4"/>
      <c r="B307" s="4"/>
      <c r="C307" s="4"/>
      <c r="D307" s="4"/>
      <c r="E307" s="4"/>
      <c r="F307" s="4"/>
      <c r="G307" s="4"/>
    </row>
    <row r="308" spans="1:7" x14ac:dyDescent="0.25">
      <c r="A308" s="4"/>
      <c r="B308" s="4"/>
      <c r="C308" s="4"/>
      <c r="D308" s="4"/>
      <c r="E308" s="4"/>
      <c r="F308" s="4"/>
      <c r="G308" s="4"/>
    </row>
    <row r="309" spans="1:7" x14ac:dyDescent="0.25">
      <c r="A309" s="4"/>
      <c r="B309" s="4"/>
      <c r="C309" s="4"/>
      <c r="D309" s="4"/>
      <c r="E309" s="4"/>
      <c r="F309" s="4"/>
      <c r="G309" s="4"/>
    </row>
    <row r="310" spans="1:7" x14ac:dyDescent="0.25">
      <c r="A310" s="4"/>
      <c r="B310" s="4"/>
      <c r="C310" s="4"/>
      <c r="D310" s="4"/>
      <c r="E310" s="4"/>
      <c r="F310" s="4"/>
      <c r="G310" s="4"/>
    </row>
    <row r="311" spans="1:7" x14ac:dyDescent="0.25">
      <c r="A311" s="4"/>
      <c r="B311" s="4"/>
      <c r="C311" s="4"/>
      <c r="D311" s="4"/>
      <c r="E311" s="4"/>
      <c r="F311" s="4"/>
      <c r="G311" s="4"/>
    </row>
    <row r="312" spans="1:7" x14ac:dyDescent="0.25">
      <c r="A312" s="4"/>
      <c r="B312" s="4"/>
      <c r="C312" s="4"/>
      <c r="D312" s="4"/>
      <c r="E312" s="4"/>
      <c r="F312" s="4"/>
      <c r="G312" s="4"/>
    </row>
    <row r="313" spans="1:7" x14ac:dyDescent="0.25">
      <c r="A313" s="4"/>
      <c r="B313" s="4"/>
      <c r="C313" s="4"/>
      <c r="D313" s="4"/>
      <c r="E313" s="4"/>
      <c r="F313" s="4"/>
      <c r="G313" s="4"/>
    </row>
    <row r="314" spans="1:7" x14ac:dyDescent="0.25">
      <c r="A314" s="4"/>
      <c r="B314" s="4"/>
      <c r="C314" s="4"/>
      <c r="D314" s="4"/>
      <c r="E314" s="4"/>
      <c r="F314" s="4"/>
      <c r="G314" s="4"/>
    </row>
    <row r="315" spans="1:7" x14ac:dyDescent="0.25">
      <c r="A315" s="4"/>
      <c r="B315" s="4"/>
      <c r="C315" s="4"/>
      <c r="D315" s="4"/>
      <c r="E315" s="4"/>
      <c r="F315" s="4"/>
      <c r="G315" s="4"/>
    </row>
    <row r="316" spans="1:7" x14ac:dyDescent="0.25">
      <c r="A316" s="4"/>
      <c r="B316" s="4"/>
      <c r="C316" s="4"/>
      <c r="D316" s="4"/>
      <c r="E316" s="4"/>
      <c r="F316" s="4"/>
      <c r="G316" s="4"/>
    </row>
    <row r="317" spans="1:7" x14ac:dyDescent="0.25">
      <c r="A317" s="4"/>
      <c r="B317" s="4"/>
      <c r="C317" s="4"/>
      <c r="D317" s="4"/>
      <c r="E317" s="4"/>
      <c r="F317" s="4"/>
      <c r="G317" s="4"/>
    </row>
    <row r="318" spans="1:7" x14ac:dyDescent="0.25">
      <c r="A318" s="4"/>
      <c r="B318" s="4"/>
      <c r="C318" s="4"/>
      <c r="D318" s="4"/>
      <c r="E318" s="4"/>
      <c r="F318" s="4"/>
      <c r="G318" s="4"/>
    </row>
    <row r="319" spans="1:7" x14ac:dyDescent="0.25">
      <c r="A319" s="4"/>
      <c r="B319" s="4"/>
      <c r="C319" s="4"/>
      <c r="D319" s="4"/>
      <c r="E319" s="4"/>
      <c r="F319" s="4"/>
      <c r="G319" s="4"/>
    </row>
    <row r="320" spans="1:7" x14ac:dyDescent="0.25">
      <c r="A320" s="4"/>
      <c r="B320" s="4"/>
      <c r="C320" s="4"/>
      <c r="D320" s="4"/>
      <c r="E320" s="4"/>
      <c r="F320" s="4"/>
      <c r="G320" s="4"/>
    </row>
    <row r="321" spans="1:7" x14ac:dyDescent="0.25">
      <c r="A321" s="4"/>
      <c r="B321" s="4"/>
      <c r="C321" s="4"/>
      <c r="D321" s="4"/>
      <c r="E321" s="4"/>
      <c r="F321" s="4"/>
      <c r="G321" s="4"/>
    </row>
    <row r="322" spans="1:7" x14ac:dyDescent="0.25">
      <c r="A322" s="4"/>
      <c r="B322" s="4"/>
      <c r="C322" s="4"/>
      <c r="D322" s="4"/>
      <c r="E322" s="4"/>
      <c r="F322" s="4"/>
      <c r="G322" s="4"/>
    </row>
    <row r="323" spans="1:7" x14ac:dyDescent="0.25">
      <c r="A323" s="4"/>
      <c r="B323" s="4"/>
      <c r="C323" s="4"/>
      <c r="D323" s="4"/>
      <c r="E323" s="4"/>
      <c r="F323" s="4"/>
      <c r="G323" s="4"/>
    </row>
    <row r="324" spans="1:7" x14ac:dyDescent="0.25">
      <c r="A324" s="4"/>
      <c r="B324" s="4"/>
      <c r="C324" s="4"/>
      <c r="D324" s="4"/>
      <c r="E324" s="4"/>
      <c r="F324" s="4"/>
      <c r="G324" s="4"/>
    </row>
    <row r="325" spans="1:7" x14ac:dyDescent="0.25">
      <c r="A325" s="4"/>
      <c r="B325" s="4"/>
      <c r="C325" s="4"/>
      <c r="D325" s="4"/>
      <c r="E325" s="4"/>
      <c r="F325" s="4"/>
      <c r="G325" s="4"/>
    </row>
    <row r="326" spans="1:7" x14ac:dyDescent="0.25">
      <c r="A326" s="4"/>
      <c r="B326" s="4"/>
      <c r="C326" s="4"/>
      <c r="D326" s="4"/>
      <c r="E326" s="4"/>
      <c r="F326" s="4"/>
      <c r="G326" s="4"/>
    </row>
    <row r="327" spans="1:7" x14ac:dyDescent="0.25">
      <c r="A327" s="4"/>
      <c r="B327" s="4"/>
      <c r="C327" s="4"/>
      <c r="D327" s="4"/>
      <c r="E327" s="4"/>
      <c r="F327" s="4"/>
      <c r="G327" s="4"/>
    </row>
    <row r="328" spans="1:7" x14ac:dyDescent="0.25">
      <c r="A328" s="4"/>
      <c r="B328" s="4"/>
      <c r="C328" s="4"/>
      <c r="D328" s="4"/>
      <c r="E328" s="4"/>
      <c r="F328" s="4"/>
      <c r="G328" s="4"/>
    </row>
    <row r="329" spans="1:7" x14ac:dyDescent="0.25">
      <c r="A329" s="4"/>
      <c r="B329" s="4"/>
      <c r="C329" s="4"/>
      <c r="D329" s="4"/>
      <c r="E329" s="4"/>
      <c r="F329" s="4"/>
      <c r="G329" s="4"/>
    </row>
    <row r="330" spans="1:7" x14ac:dyDescent="0.25">
      <c r="A330" s="4"/>
      <c r="B330" s="4"/>
      <c r="C330" s="4"/>
      <c r="D330" s="4"/>
      <c r="E330" s="4"/>
      <c r="F330" s="4"/>
      <c r="G330" s="4"/>
    </row>
    <row r="331" spans="1:7" x14ac:dyDescent="0.25">
      <c r="A331" s="4"/>
      <c r="B331" s="4"/>
      <c r="C331" s="4"/>
      <c r="D331" s="4"/>
      <c r="E331" s="4"/>
      <c r="F331" s="4"/>
      <c r="G331" s="4"/>
    </row>
    <row r="332" spans="1:7" x14ac:dyDescent="0.25">
      <c r="A332" s="4"/>
      <c r="B332" s="4"/>
      <c r="C332" s="4"/>
      <c r="D332" s="4"/>
      <c r="E332" s="4"/>
      <c r="F332" s="4"/>
      <c r="G332" s="4"/>
    </row>
    <row r="333" spans="1:7" x14ac:dyDescent="0.25">
      <c r="A333" s="4"/>
      <c r="B333" s="4"/>
      <c r="C333" s="4"/>
      <c r="D333" s="4"/>
      <c r="E333" s="4"/>
      <c r="F333" s="4"/>
      <c r="G333" s="4"/>
    </row>
    <row r="334" spans="1:7" x14ac:dyDescent="0.25">
      <c r="A334" s="4"/>
      <c r="B334" s="4"/>
      <c r="C334" s="4"/>
      <c r="D334" s="4"/>
      <c r="E334" s="4"/>
      <c r="F334" s="4"/>
      <c r="G334" s="4"/>
    </row>
    <row r="335" spans="1:7" x14ac:dyDescent="0.25">
      <c r="A335" s="4"/>
      <c r="B335" s="4"/>
      <c r="C335" s="4"/>
      <c r="D335" s="4"/>
      <c r="E335" s="4"/>
      <c r="F335" s="4"/>
      <c r="G335" s="4"/>
    </row>
    <row r="336" spans="1:7" x14ac:dyDescent="0.25">
      <c r="A336" s="4"/>
      <c r="B336" s="4"/>
      <c r="C336" s="4"/>
      <c r="D336" s="4"/>
      <c r="E336" s="4"/>
      <c r="F336" s="4"/>
      <c r="G336" s="4"/>
    </row>
    <row r="337" spans="1:7" x14ac:dyDescent="0.25">
      <c r="A337" s="4"/>
      <c r="B337" s="4"/>
      <c r="C337" s="4"/>
      <c r="D337" s="4"/>
      <c r="E337" s="4"/>
      <c r="F337" s="4"/>
      <c r="G337" s="4"/>
    </row>
    <row r="338" spans="1:7" x14ac:dyDescent="0.25">
      <c r="A338" s="4"/>
      <c r="B338" s="4"/>
      <c r="C338" s="4"/>
      <c r="D338" s="4"/>
      <c r="E338" s="4"/>
      <c r="F338" s="4"/>
      <c r="G338" s="4"/>
    </row>
    <row r="339" spans="1:7" x14ac:dyDescent="0.25">
      <c r="A339" s="4"/>
      <c r="B339" s="4"/>
      <c r="C339" s="4"/>
      <c r="D339" s="4"/>
      <c r="E339" s="4"/>
      <c r="F339" s="4"/>
      <c r="G339" s="4"/>
    </row>
    <row r="340" spans="1:7" x14ac:dyDescent="0.25">
      <c r="A340" s="4"/>
      <c r="B340" s="4"/>
      <c r="C340" s="4"/>
      <c r="D340" s="4"/>
      <c r="E340" s="4"/>
      <c r="F340" s="4"/>
      <c r="G340" s="4"/>
    </row>
    <row r="341" spans="1:7" x14ac:dyDescent="0.25">
      <c r="A341" s="4"/>
      <c r="B341" s="4"/>
      <c r="C341" s="4"/>
      <c r="D341" s="4"/>
      <c r="E341" s="4"/>
      <c r="F341" s="4"/>
      <c r="G341" s="4"/>
    </row>
    <row r="342" spans="1:7" x14ac:dyDescent="0.25">
      <c r="A342" s="4"/>
      <c r="B342" s="4"/>
      <c r="C342" s="4"/>
      <c r="D342" s="4"/>
      <c r="E342" s="4"/>
      <c r="F342" s="4"/>
      <c r="G342" s="4"/>
    </row>
    <row r="343" spans="1:7" x14ac:dyDescent="0.25">
      <c r="A343" s="4"/>
      <c r="B343" s="4"/>
      <c r="C343" s="4"/>
      <c r="D343" s="4"/>
      <c r="E343" s="4"/>
      <c r="F343" s="4"/>
      <c r="G343" s="4"/>
    </row>
    <row r="344" spans="1:7" x14ac:dyDescent="0.25">
      <c r="A344" s="4"/>
      <c r="B344" s="4"/>
      <c r="C344" s="4"/>
      <c r="D344" s="4"/>
      <c r="E344" s="4"/>
      <c r="F344" s="4"/>
      <c r="G344" s="4"/>
    </row>
    <row r="345" spans="1:7" x14ac:dyDescent="0.25">
      <c r="A345" s="4"/>
      <c r="B345" s="4"/>
      <c r="C345" s="4"/>
      <c r="D345" s="4"/>
      <c r="E345" s="4"/>
      <c r="F345" s="4"/>
      <c r="G345" s="4"/>
    </row>
    <row r="346" spans="1:7" x14ac:dyDescent="0.25">
      <c r="A346" s="4"/>
      <c r="B346" s="4"/>
      <c r="C346" s="4"/>
      <c r="D346" s="4"/>
      <c r="E346" s="4"/>
      <c r="F346" s="4"/>
      <c r="G346" s="4"/>
    </row>
    <row r="347" spans="1:7" x14ac:dyDescent="0.25">
      <c r="A347" s="4"/>
      <c r="B347" s="4"/>
      <c r="C347" s="4"/>
      <c r="D347" s="4"/>
      <c r="E347" s="4"/>
      <c r="F347" s="4"/>
      <c r="G347" s="4"/>
    </row>
    <row r="348" spans="1:7" x14ac:dyDescent="0.25">
      <c r="A348" s="4"/>
      <c r="B348" s="4"/>
      <c r="C348" s="4"/>
      <c r="D348" s="4"/>
      <c r="E348" s="4"/>
      <c r="F348" s="4"/>
      <c r="G348" s="4"/>
    </row>
    <row r="349" spans="1:7" x14ac:dyDescent="0.25">
      <c r="A349" s="4"/>
      <c r="B349" s="4"/>
      <c r="C349" s="4"/>
      <c r="D349" s="4"/>
      <c r="E349" s="4"/>
      <c r="F349" s="4"/>
      <c r="G349" s="4"/>
    </row>
    <row r="350" spans="1:7" x14ac:dyDescent="0.25">
      <c r="A350" s="4"/>
      <c r="B350" s="4"/>
      <c r="C350" s="4"/>
      <c r="D350" s="4"/>
      <c r="E350" s="4"/>
      <c r="F350" s="4"/>
      <c r="G350" s="4"/>
    </row>
    <row r="351" spans="1:7" x14ac:dyDescent="0.25">
      <c r="A351" s="4"/>
      <c r="B351" s="4"/>
      <c r="C351" s="4"/>
      <c r="D351" s="4"/>
      <c r="E351" s="4"/>
      <c r="F351" s="4"/>
      <c r="G351" s="4"/>
    </row>
    <row r="352" spans="1:7" x14ac:dyDescent="0.25">
      <c r="A352" s="4"/>
      <c r="B352" s="4"/>
      <c r="C352" s="4"/>
      <c r="D352" s="4"/>
      <c r="E352" s="4"/>
      <c r="F352" s="4"/>
      <c r="G352" s="4"/>
    </row>
    <row r="353" spans="1:7" x14ac:dyDescent="0.25">
      <c r="A353" s="4"/>
      <c r="B353" s="4"/>
      <c r="C353" s="4"/>
      <c r="D353" s="4"/>
      <c r="E353" s="4"/>
      <c r="F353" s="4"/>
      <c r="G353" s="4"/>
    </row>
    <row r="354" spans="1:7" x14ac:dyDescent="0.25">
      <c r="A354" s="4"/>
      <c r="B354" s="4"/>
      <c r="C354" s="4"/>
      <c r="D354" s="4"/>
      <c r="E354" s="4"/>
      <c r="F354" s="4"/>
      <c r="G354" s="4"/>
    </row>
    <row r="355" spans="1:7" x14ac:dyDescent="0.25">
      <c r="A355" s="4"/>
      <c r="B355" s="4"/>
      <c r="C355" s="4"/>
      <c r="D355" s="4"/>
      <c r="E355" s="4"/>
      <c r="F355" s="4"/>
      <c r="G355" s="4"/>
    </row>
    <row r="356" spans="1:7" x14ac:dyDescent="0.25">
      <c r="A356" s="4"/>
      <c r="B356" s="4"/>
      <c r="C356" s="4"/>
      <c r="D356" s="4"/>
      <c r="E356" s="4"/>
      <c r="F356" s="4"/>
      <c r="G356" s="4"/>
    </row>
    <row r="357" spans="1:7" x14ac:dyDescent="0.25">
      <c r="A357" s="4"/>
      <c r="B357" s="4"/>
      <c r="C357" s="4"/>
      <c r="D357" s="4"/>
      <c r="E357" s="4"/>
      <c r="F357" s="4"/>
      <c r="G357" s="4"/>
    </row>
    <row r="358" spans="1:7" x14ac:dyDescent="0.25">
      <c r="A358" s="4"/>
      <c r="B358" s="4"/>
      <c r="C358" s="4"/>
      <c r="D358" s="4"/>
      <c r="E358" s="4"/>
      <c r="F358" s="4"/>
      <c r="G358" s="4"/>
    </row>
    <row r="359" spans="1:7" x14ac:dyDescent="0.25">
      <c r="A359" s="4"/>
      <c r="B359" s="4"/>
      <c r="C359" s="4"/>
      <c r="D359" s="4"/>
      <c r="E359" s="4"/>
      <c r="F359" s="4"/>
      <c r="G359" s="4"/>
    </row>
    <row r="360" spans="1:7" x14ac:dyDescent="0.25">
      <c r="A360" s="4"/>
      <c r="B360" s="4"/>
      <c r="C360" s="4"/>
      <c r="D360" s="4"/>
      <c r="E360" s="4"/>
      <c r="F360" s="4"/>
      <c r="G360" s="4"/>
    </row>
    <row r="361" spans="1:7" x14ac:dyDescent="0.25">
      <c r="A361" s="4"/>
      <c r="B361" s="4"/>
      <c r="C361" s="4"/>
      <c r="D361" s="4"/>
      <c r="E361" s="4"/>
      <c r="F361" s="4"/>
      <c r="G361" s="4"/>
    </row>
    <row r="362" spans="1:7" x14ac:dyDescent="0.25">
      <c r="A362" s="4"/>
      <c r="B362" s="4"/>
      <c r="C362" s="4"/>
      <c r="D362" s="4"/>
      <c r="E362" s="4"/>
      <c r="F362" s="4"/>
      <c r="G362" s="4"/>
    </row>
    <row r="363" spans="1:7" x14ac:dyDescent="0.25">
      <c r="A363" s="4"/>
      <c r="B363" s="4"/>
      <c r="C363" s="4"/>
      <c r="D363" s="4"/>
      <c r="E363" s="4"/>
      <c r="F363" s="4"/>
      <c r="G363" s="4"/>
    </row>
    <row r="364" spans="1:7" x14ac:dyDescent="0.25">
      <c r="A364" s="4"/>
      <c r="B364" s="4"/>
      <c r="C364" s="4"/>
      <c r="D364" s="4"/>
      <c r="E364" s="4"/>
      <c r="F364" s="4"/>
      <c r="G364" s="4"/>
    </row>
    <row r="365" spans="1:7" x14ac:dyDescent="0.25">
      <c r="A365" s="4"/>
      <c r="B365" s="4"/>
      <c r="C365" s="4"/>
      <c r="D365" s="4"/>
      <c r="E365" s="4"/>
      <c r="F365" s="4"/>
      <c r="G365" s="4"/>
    </row>
    <row r="366" spans="1:7" x14ac:dyDescent="0.25">
      <c r="A366" s="4"/>
      <c r="B366" s="4"/>
      <c r="C366" s="4"/>
      <c r="D366" s="4"/>
      <c r="E366" s="4"/>
      <c r="F366" s="4"/>
      <c r="G366" s="4"/>
    </row>
    <row r="367" spans="1:7" x14ac:dyDescent="0.25">
      <c r="A367" s="4"/>
      <c r="B367" s="4"/>
      <c r="C367" s="4"/>
      <c r="D367" s="4"/>
      <c r="E367" s="4"/>
      <c r="F367" s="4"/>
      <c r="G367" s="4"/>
    </row>
    <row r="368" spans="1:7" x14ac:dyDescent="0.25">
      <c r="A368" s="4"/>
      <c r="B368" s="4"/>
      <c r="C368" s="4"/>
      <c r="D368" s="4"/>
      <c r="E368" s="4"/>
      <c r="F368" s="4"/>
      <c r="G368" s="4"/>
    </row>
    <row r="369" spans="1:7" x14ac:dyDescent="0.25">
      <c r="A369" s="4"/>
      <c r="B369" s="4"/>
      <c r="C369" s="4"/>
      <c r="D369" s="4"/>
      <c r="E369" s="4"/>
      <c r="F369" s="4"/>
      <c r="G369" s="4"/>
    </row>
    <row r="370" spans="1:7" x14ac:dyDescent="0.25">
      <c r="A370" s="4"/>
      <c r="B370" s="4"/>
      <c r="C370" s="4"/>
      <c r="D370" s="4"/>
      <c r="E370" s="4"/>
      <c r="F370" s="4"/>
      <c r="G370" s="4"/>
    </row>
    <row r="371" spans="1:7" x14ac:dyDescent="0.25">
      <c r="A371" s="4"/>
      <c r="B371" s="4"/>
      <c r="C371" s="4"/>
      <c r="D371" s="4"/>
      <c r="E371" s="4"/>
      <c r="F371" s="4"/>
      <c r="G371" s="4"/>
    </row>
    <row r="372" spans="1:7" x14ac:dyDescent="0.25">
      <c r="A372" s="4"/>
      <c r="B372" s="4"/>
      <c r="C372" s="4"/>
      <c r="D372" s="4"/>
      <c r="E372" s="4"/>
      <c r="F372" s="4"/>
      <c r="G372" s="4"/>
    </row>
    <row r="373" spans="1:7" x14ac:dyDescent="0.25">
      <c r="A373" s="4"/>
      <c r="B373" s="4"/>
      <c r="C373" s="4"/>
      <c r="D373" s="4"/>
      <c r="E373" s="4"/>
      <c r="F373" s="4"/>
      <c r="G373" s="4"/>
    </row>
    <row r="374" spans="1:7" x14ac:dyDescent="0.25">
      <c r="A374" s="4"/>
      <c r="B374" s="4"/>
      <c r="C374" s="4"/>
      <c r="D374" s="4"/>
      <c r="E374" s="4"/>
      <c r="F374" s="4"/>
      <c r="G374" s="4"/>
    </row>
    <row r="375" spans="1:7" x14ac:dyDescent="0.25">
      <c r="A375" s="4"/>
      <c r="B375" s="4"/>
      <c r="C375" s="4"/>
      <c r="D375" s="4"/>
      <c r="E375" s="4"/>
      <c r="F375" s="4"/>
      <c r="G375" s="4"/>
    </row>
    <row r="376" spans="1:7" x14ac:dyDescent="0.25">
      <c r="A376" s="4"/>
      <c r="B376" s="4"/>
      <c r="C376" s="4"/>
      <c r="D376" s="4"/>
      <c r="E376" s="4"/>
      <c r="F376" s="4"/>
      <c r="G376" s="4"/>
    </row>
    <row r="377" spans="1:7" x14ac:dyDescent="0.25">
      <c r="A377" s="4"/>
      <c r="B377" s="4"/>
      <c r="C377" s="4"/>
      <c r="D377" s="4"/>
      <c r="E377" s="4"/>
      <c r="F377" s="4"/>
      <c r="G377" s="4"/>
    </row>
    <row r="378" spans="1:7" x14ac:dyDescent="0.25">
      <c r="A378" s="4"/>
      <c r="B378" s="4"/>
      <c r="C378" s="4"/>
      <c r="D378" s="4"/>
      <c r="E378" s="4"/>
      <c r="F378" s="4"/>
      <c r="G378" s="4"/>
    </row>
    <row r="379" spans="1:7" x14ac:dyDescent="0.25">
      <c r="A379" s="4"/>
      <c r="B379" s="4"/>
      <c r="C379" s="4"/>
      <c r="D379" s="4"/>
      <c r="E379" s="4"/>
      <c r="F379" s="4"/>
      <c r="G379" s="4"/>
    </row>
    <row r="380" spans="1:7" x14ac:dyDescent="0.25">
      <c r="A380" s="4"/>
      <c r="B380" s="4"/>
      <c r="C380" s="4"/>
      <c r="D380" s="4"/>
      <c r="E380" s="4"/>
      <c r="F380" s="4"/>
      <c r="G380" s="4"/>
    </row>
    <row r="381" spans="1:7" x14ac:dyDescent="0.25">
      <c r="A381" s="4"/>
      <c r="B381" s="4"/>
      <c r="C381" s="4"/>
      <c r="D381" s="4"/>
      <c r="E381" s="4"/>
      <c r="F381" s="4"/>
      <c r="G381" s="4"/>
    </row>
    <row r="382" spans="1:7" x14ac:dyDescent="0.25">
      <c r="A382" s="4"/>
      <c r="B382" s="4"/>
      <c r="C382" s="4"/>
      <c r="D382" s="4"/>
      <c r="E382" s="4"/>
      <c r="F382" s="4"/>
      <c r="G382" s="4"/>
    </row>
    <row r="383" spans="1:7" x14ac:dyDescent="0.25">
      <c r="A383" s="4"/>
      <c r="B383" s="4"/>
      <c r="C383" s="4"/>
      <c r="D383" s="4"/>
      <c r="E383" s="4"/>
      <c r="F383" s="4"/>
      <c r="G383" s="4"/>
    </row>
    <row r="384" spans="1:7" x14ac:dyDescent="0.25">
      <c r="A384" s="4"/>
      <c r="B384" s="4"/>
      <c r="C384" s="4"/>
      <c r="D384" s="4"/>
      <c r="E384" s="4"/>
      <c r="F384" s="4"/>
      <c r="G384" s="4"/>
    </row>
    <row r="385" spans="1:7" x14ac:dyDescent="0.25">
      <c r="A385" s="4"/>
      <c r="B385" s="4"/>
      <c r="C385" s="4"/>
      <c r="D385" s="4"/>
      <c r="E385" s="4"/>
      <c r="F385" s="4"/>
      <c r="G385" s="4"/>
    </row>
    <row r="386" spans="1:7" x14ac:dyDescent="0.25">
      <c r="A386" s="4"/>
      <c r="B386" s="4"/>
      <c r="C386" s="4"/>
      <c r="D386" s="4"/>
      <c r="E386" s="4"/>
      <c r="F386" s="4"/>
      <c r="G386" s="4"/>
    </row>
    <row r="387" spans="1:7" x14ac:dyDescent="0.25">
      <c r="A387" s="4"/>
      <c r="B387" s="4"/>
      <c r="C387" s="4"/>
      <c r="D387" s="4"/>
      <c r="E387" s="4"/>
      <c r="F387" s="4"/>
      <c r="G387" s="4"/>
    </row>
    <row r="388" spans="1:7" x14ac:dyDescent="0.25">
      <c r="A388" s="4"/>
      <c r="B388" s="4"/>
      <c r="C388" s="4"/>
      <c r="D388" s="4"/>
      <c r="E388" s="4"/>
      <c r="F388" s="4"/>
      <c r="G388" s="4"/>
    </row>
    <row r="389" spans="1:7" x14ac:dyDescent="0.25">
      <c r="A389" s="4"/>
      <c r="B389" s="4"/>
      <c r="C389" s="4"/>
      <c r="D389" s="4"/>
      <c r="E389" s="4"/>
      <c r="F389" s="4"/>
      <c r="G389" s="4"/>
    </row>
    <row r="390" spans="1:7" x14ac:dyDescent="0.25">
      <c r="A390" s="4"/>
      <c r="B390" s="4"/>
      <c r="C390" s="4"/>
      <c r="D390" s="4"/>
      <c r="E390" s="4"/>
      <c r="F390" s="4"/>
      <c r="G390" s="4"/>
    </row>
    <row r="391" spans="1:7" x14ac:dyDescent="0.25">
      <c r="A391" s="4"/>
      <c r="B391" s="4"/>
      <c r="C391" s="4"/>
      <c r="D391" s="4"/>
      <c r="E391" s="4"/>
      <c r="F391" s="4"/>
      <c r="G391" s="4"/>
    </row>
    <row r="392" spans="1:7" x14ac:dyDescent="0.25">
      <c r="A392" s="4"/>
      <c r="B392" s="4"/>
      <c r="C392" s="4"/>
      <c r="D392" s="4"/>
      <c r="E392" s="4"/>
      <c r="F392" s="4"/>
      <c r="G392" s="4"/>
    </row>
    <row r="393" spans="1:7" x14ac:dyDescent="0.25">
      <c r="A393" s="4"/>
      <c r="B393" s="4"/>
      <c r="C393" s="4"/>
      <c r="D393" s="4"/>
      <c r="E393" s="4"/>
      <c r="F393" s="4"/>
      <c r="G393" s="4"/>
    </row>
    <row r="394" spans="1:7" x14ac:dyDescent="0.25">
      <c r="A394" s="4"/>
      <c r="B394" s="4"/>
      <c r="C394" s="4"/>
      <c r="D394" s="4"/>
      <c r="E394" s="4"/>
      <c r="F394" s="4"/>
      <c r="G394" s="4"/>
    </row>
    <row r="395" spans="1:7" x14ac:dyDescent="0.25">
      <c r="A395" s="4"/>
      <c r="B395" s="4"/>
      <c r="C395" s="4"/>
      <c r="D395" s="4"/>
      <c r="E395" s="4"/>
      <c r="F395" s="4"/>
      <c r="G395" s="4"/>
    </row>
    <row r="396" spans="1:7" x14ac:dyDescent="0.25">
      <c r="A396" s="4"/>
      <c r="B396" s="4"/>
      <c r="C396" s="4"/>
      <c r="D396" s="4"/>
      <c r="E396" s="4"/>
      <c r="F396" s="4"/>
      <c r="G396" s="4"/>
    </row>
    <row r="397" spans="1:7" x14ac:dyDescent="0.25">
      <c r="A397" s="4"/>
      <c r="B397" s="4"/>
      <c r="C397" s="4"/>
      <c r="D397" s="4"/>
      <c r="E397" s="4"/>
      <c r="F397" s="4"/>
      <c r="G397" s="4"/>
    </row>
    <row r="398" spans="1:7" x14ac:dyDescent="0.25">
      <c r="A398" s="4"/>
      <c r="B398" s="4"/>
      <c r="C398" s="4"/>
      <c r="D398" s="4"/>
      <c r="E398" s="4"/>
      <c r="F398" s="4"/>
      <c r="G398" s="4"/>
    </row>
    <row r="399" spans="1:7" x14ac:dyDescent="0.25">
      <c r="A399" s="4"/>
      <c r="B399" s="4"/>
      <c r="C399" s="4"/>
      <c r="D399" s="4"/>
      <c r="E399" s="4"/>
      <c r="F399" s="4"/>
      <c r="G399" s="4"/>
    </row>
    <row r="400" spans="1:7" x14ac:dyDescent="0.25">
      <c r="A400" s="4"/>
      <c r="B400" s="4"/>
      <c r="C400" s="4"/>
      <c r="D400" s="4"/>
      <c r="E400" s="4"/>
      <c r="F400" s="4"/>
      <c r="G400" s="4"/>
    </row>
    <row r="401" spans="1:7" x14ac:dyDescent="0.25">
      <c r="A401" s="4"/>
      <c r="B401" s="4"/>
      <c r="C401" s="4"/>
      <c r="D401" s="4"/>
      <c r="E401" s="4"/>
      <c r="F401" s="4"/>
      <c r="G401" s="4"/>
    </row>
    <row r="402" spans="1:7" x14ac:dyDescent="0.25">
      <c r="A402" s="4"/>
      <c r="B402" s="4"/>
      <c r="C402" s="4"/>
      <c r="D402" s="4"/>
      <c r="E402" s="4"/>
      <c r="F402" s="4"/>
      <c r="G402" s="4"/>
    </row>
    <row r="403" spans="1:7" x14ac:dyDescent="0.25">
      <c r="A403" s="4"/>
      <c r="B403" s="4"/>
      <c r="C403" s="4"/>
      <c r="D403" s="4"/>
      <c r="E403" s="4"/>
      <c r="F403" s="4"/>
      <c r="G403" s="4"/>
    </row>
    <row r="404" spans="1:7" x14ac:dyDescent="0.25">
      <c r="A404" s="4"/>
      <c r="B404" s="4"/>
      <c r="C404" s="4"/>
      <c r="D404" s="4"/>
      <c r="E404" s="4"/>
      <c r="F404" s="4"/>
      <c r="G404" s="4"/>
    </row>
    <row r="405" spans="1:7" x14ac:dyDescent="0.25">
      <c r="A405" s="4"/>
      <c r="B405" s="4"/>
      <c r="C405" s="4"/>
      <c r="D405" s="4"/>
      <c r="E405" s="4"/>
      <c r="F405" s="4"/>
      <c r="G405" s="4"/>
    </row>
    <row r="406" spans="1:7" x14ac:dyDescent="0.25">
      <c r="A406" s="4"/>
      <c r="B406" s="4"/>
      <c r="C406" s="4"/>
      <c r="D406" s="4"/>
      <c r="E406" s="4"/>
      <c r="F406" s="4"/>
      <c r="G406" s="4"/>
    </row>
    <row r="407" spans="1:7" x14ac:dyDescent="0.25">
      <c r="A407" s="4"/>
      <c r="B407" s="4"/>
      <c r="C407" s="4"/>
      <c r="D407" s="4"/>
      <c r="E407" s="4"/>
      <c r="F407" s="4"/>
      <c r="G407" s="4"/>
    </row>
    <row r="408" spans="1:7" x14ac:dyDescent="0.25">
      <c r="A408" s="4"/>
      <c r="B408" s="4"/>
      <c r="C408" s="4"/>
      <c r="D408" s="4"/>
      <c r="E408" s="4"/>
      <c r="F408" s="4"/>
      <c r="G408" s="4"/>
    </row>
    <row r="409" spans="1:7" x14ac:dyDescent="0.25">
      <c r="A409" s="4"/>
      <c r="B409" s="4"/>
      <c r="C409" s="4"/>
      <c r="D409" s="4"/>
      <c r="E409" s="4"/>
      <c r="F409" s="4"/>
      <c r="G409" s="4"/>
    </row>
    <row r="410" spans="1:7" x14ac:dyDescent="0.25">
      <c r="A410" s="4"/>
      <c r="B410" s="4"/>
      <c r="C410" s="4"/>
      <c r="D410" s="4"/>
      <c r="E410" s="4"/>
      <c r="F410" s="4"/>
      <c r="G410" s="4"/>
    </row>
    <row r="411" spans="1:7" x14ac:dyDescent="0.25">
      <c r="A411" s="4"/>
      <c r="B411" s="4"/>
      <c r="C411" s="4"/>
      <c r="D411" s="4"/>
      <c r="E411" s="4"/>
      <c r="F411" s="4"/>
      <c r="G411" s="4"/>
    </row>
    <row r="412" spans="1:7" x14ac:dyDescent="0.25">
      <c r="A412" s="4"/>
      <c r="B412" s="4"/>
      <c r="C412" s="4"/>
      <c r="D412" s="4"/>
      <c r="E412" s="4"/>
      <c r="F412" s="4"/>
      <c r="G412" s="4"/>
    </row>
    <row r="413" spans="1:7" x14ac:dyDescent="0.25">
      <c r="A413" s="4"/>
      <c r="B413" s="4"/>
      <c r="C413" s="4"/>
      <c r="D413" s="4"/>
      <c r="E413" s="4"/>
      <c r="F413" s="4"/>
      <c r="G413" s="4"/>
    </row>
    <row r="414" spans="1:7" x14ac:dyDescent="0.25">
      <c r="A414" s="4"/>
      <c r="B414" s="4"/>
      <c r="C414" s="4"/>
      <c r="D414" s="4"/>
      <c r="E414" s="4"/>
      <c r="F414" s="4"/>
      <c r="G414" s="4"/>
    </row>
    <row r="415" spans="1:7" x14ac:dyDescent="0.25">
      <c r="A415" s="4"/>
      <c r="B415" s="4"/>
      <c r="C415" s="4"/>
      <c r="D415" s="4"/>
      <c r="E415" s="4"/>
      <c r="F415" s="4"/>
      <c r="G415" s="4"/>
    </row>
    <row r="416" spans="1:7" x14ac:dyDescent="0.25">
      <c r="A416" s="4"/>
      <c r="B416" s="4"/>
      <c r="C416" s="4"/>
      <c r="D416" s="4"/>
      <c r="E416" s="4"/>
      <c r="F416" s="4"/>
      <c r="G416" s="4"/>
    </row>
    <row r="417" spans="1:7" x14ac:dyDescent="0.25">
      <c r="A417" s="4"/>
      <c r="B417" s="4"/>
      <c r="C417" s="4"/>
      <c r="D417" s="4"/>
      <c r="E417" s="4"/>
      <c r="F417" s="4"/>
      <c r="G417" s="4"/>
    </row>
    <row r="418" spans="1:7" x14ac:dyDescent="0.25">
      <c r="A418" s="4"/>
      <c r="B418" s="4"/>
      <c r="C418" s="4"/>
      <c r="D418" s="4"/>
      <c r="E418" s="4"/>
      <c r="F418" s="4"/>
      <c r="G418" s="4"/>
    </row>
    <row r="419" spans="1:7" x14ac:dyDescent="0.25">
      <c r="A419" s="4"/>
      <c r="B419" s="4"/>
      <c r="C419" s="4"/>
      <c r="D419" s="4"/>
      <c r="E419" s="4"/>
      <c r="F419" s="4"/>
      <c r="G419" s="4"/>
    </row>
    <row r="420" spans="1:7" x14ac:dyDescent="0.25">
      <c r="A420" s="4"/>
      <c r="B420" s="4"/>
      <c r="C420" s="4"/>
      <c r="D420" s="4"/>
      <c r="E420" s="4"/>
      <c r="F420" s="4"/>
      <c r="G420" s="4"/>
    </row>
    <row r="421" spans="1:7" x14ac:dyDescent="0.25">
      <c r="A421" s="4"/>
      <c r="B421" s="4"/>
      <c r="C421" s="4"/>
      <c r="D421" s="4"/>
      <c r="E421" s="4"/>
      <c r="F421" s="4"/>
      <c r="G421" s="4"/>
    </row>
    <row r="422" spans="1:7" x14ac:dyDescent="0.25">
      <c r="A422" s="4"/>
      <c r="B422" s="4"/>
      <c r="C422" s="4"/>
      <c r="D422" s="4"/>
      <c r="E422" s="4"/>
      <c r="F422" s="4"/>
      <c r="G422" s="4"/>
    </row>
    <row r="423" spans="1:7" x14ac:dyDescent="0.25">
      <c r="A423" s="4"/>
      <c r="B423" s="4"/>
      <c r="C423" s="4"/>
      <c r="D423" s="4"/>
      <c r="E423" s="4"/>
      <c r="F423" s="4"/>
      <c r="G423" s="4"/>
    </row>
    <row r="424" spans="1:7" x14ac:dyDescent="0.25">
      <c r="A424" s="4"/>
      <c r="B424" s="4"/>
      <c r="C424" s="4"/>
      <c r="D424" s="4"/>
      <c r="E424" s="4"/>
      <c r="F424" s="4"/>
      <c r="G424" s="4"/>
    </row>
    <row r="425" spans="1:7" x14ac:dyDescent="0.25">
      <c r="A425" s="4"/>
      <c r="B425" s="4"/>
      <c r="C425" s="4"/>
      <c r="D425" s="4"/>
      <c r="E425" s="4"/>
      <c r="F425" s="4"/>
      <c r="G425" s="4"/>
    </row>
    <row r="426" spans="1:7" x14ac:dyDescent="0.25">
      <c r="A426" s="4"/>
      <c r="B426" s="4"/>
      <c r="C426" s="4"/>
      <c r="D426" s="4"/>
      <c r="E426" s="4"/>
      <c r="F426" s="4"/>
      <c r="G426" s="4"/>
    </row>
    <row r="427" spans="1:7" x14ac:dyDescent="0.25">
      <c r="A427" s="4"/>
      <c r="B427" s="4"/>
      <c r="C427" s="4"/>
      <c r="D427" s="4"/>
      <c r="E427" s="4"/>
      <c r="F427" s="4"/>
      <c r="G427" s="4"/>
    </row>
    <row r="428" spans="1:7" x14ac:dyDescent="0.25">
      <c r="A428" s="4"/>
      <c r="B428" s="4"/>
      <c r="C428" s="4"/>
      <c r="D428" s="4"/>
      <c r="E428" s="4"/>
      <c r="F428" s="4"/>
      <c r="G428" s="4"/>
    </row>
    <row r="429" spans="1:7" x14ac:dyDescent="0.25">
      <c r="A429" s="4"/>
      <c r="B429" s="4"/>
      <c r="C429" s="4"/>
      <c r="D429" s="4"/>
      <c r="E429" s="4"/>
      <c r="F429" s="4"/>
      <c r="G429" s="4"/>
    </row>
    <row r="430" spans="1:7" x14ac:dyDescent="0.25">
      <c r="A430" s="4"/>
      <c r="B430" s="4"/>
      <c r="C430" s="4"/>
      <c r="D430" s="4"/>
      <c r="E430" s="4"/>
      <c r="F430" s="4"/>
      <c r="G430" s="4"/>
    </row>
    <row r="431" spans="1:7" x14ac:dyDescent="0.25">
      <c r="A431" s="4"/>
      <c r="B431" s="4"/>
      <c r="C431" s="4"/>
      <c r="D431" s="4"/>
      <c r="E431" s="4"/>
      <c r="F431" s="4"/>
      <c r="G431" s="4"/>
    </row>
    <row r="432" spans="1:7" x14ac:dyDescent="0.25">
      <c r="A432" s="4"/>
      <c r="B432" s="4"/>
      <c r="C432" s="4"/>
      <c r="D432" s="4"/>
      <c r="E432" s="4"/>
      <c r="F432" s="4"/>
      <c r="G432" s="4"/>
    </row>
    <row r="433" spans="1:7" x14ac:dyDescent="0.25">
      <c r="A433" s="4"/>
      <c r="B433" s="4"/>
      <c r="C433" s="4"/>
      <c r="D433" s="4"/>
      <c r="E433" s="4"/>
      <c r="F433" s="4"/>
      <c r="G433" s="4"/>
    </row>
    <row r="434" spans="1:7" x14ac:dyDescent="0.25">
      <c r="A434" s="4"/>
      <c r="B434" s="4"/>
      <c r="C434" s="4"/>
      <c r="D434" s="4"/>
      <c r="E434" s="4"/>
      <c r="F434" s="4"/>
      <c r="G434" s="4"/>
    </row>
    <row r="435" spans="1:7" x14ac:dyDescent="0.25">
      <c r="A435" s="4"/>
      <c r="B435" s="4"/>
      <c r="C435" s="4"/>
      <c r="D435" s="4"/>
      <c r="E435" s="4"/>
      <c r="F435" s="4"/>
      <c r="G435" s="4"/>
    </row>
    <row r="436" spans="1:7" x14ac:dyDescent="0.25">
      <c r="A436" s="4"/>
      <c r="B436" s="4"/>
      <c r="C436" s="4"/>
      <c r="D436" s="4"/>
      <c r="E436" s="4"/>
      <c r="F436" s="4"/>
      <c r="G436" s="4"/>
    </row>
    <row r="437" spans="1:7" x14ac:dyDescent="0.25">
      <c r="A437" s="4"/>
      <c r="B437" s="4"/>
      <c r="C437" s="4"/>
      <c r="D437" s="4"/>
      <c r="E437" s="4"/>
      <c r="F437" s="4"/>
      <c r="G437" s="4"/>
    </row>
    <row r="438" spans="1:7" x14ac:dyDescent="0.25">
      <c r="A438" s="4"/>
      <c r="B438" s="4"/>
      <c r="C438" s="4"/>
      <c r="D438" s="4"/>
      <c r="E438" s="4"/>
      <c r="F438" s="4"/>
      <c r="G438" s="4"/>
    </row>
    <row r="439" spans="1:7" x14ac:dyDescent="0.25">
      <c r="A439" s="4"/>
      <c r="B439" s="4"/>
      <c r="C439" s="4"/>
      <c r="D439" s="4"/>
      <c r="E439" s="4"/>
      <c r="F439" s="4"/>
      <c r="G439" s="4"/>
    </row>
    <row r="440" spans="1:7" x14ac:dyDescent="0.25">
      <c r="A440" s="4"/>
      <c r="B440" s="4"/>
      <c r="C440" s="4"/>
      <c r="D440" s="4"/>
      <c r="E440" s="4"/>
      <c r="F440" s="4"/>
      <c r="G440" s="4"/>
    </row>
    <row r="441" spans="1:7" x14ac:dyDescent="0.25">
      <c r="A441" s="4"/>
      <c r="B441" s="4"/>
      <c r="C441" s="4"/>
      <c r="D441" s="4"/>
      <c r="E441" s="4"/>
      <c r="F441" s="4"/>
      <c r="G441" s="4"/>
    </row>
    <row r="442" spans="1:7" x14ac:dyDescent="0.25">
      <c r="A442" s="4"/>
      <c r="B442" s="4"/>
      <c r="C442" s="4"/>
      <c r="D442" s="4"/>
      <c r="E442" s="4"/>
      <c r="F442" s="4"/>
      <c r="G442" s="4"/>
    </row>
    <row r="443" spans="1:7" x14ac:dyDescent="0.25">
      <c r="A443" s="4"/>
      <c r="B443" s="4"/>
      <c r="C443" s="4"/>
      <c r="D443" s="4"/>
      <c r="E443" s="4"/>
      <c r="F443" s="4"/>
      <c r="G443" s="4"/>
    </row>
    <row r="444" spans="1:7" x14ac:dyDescent="0.25">
      <c r="A444" s="4"/>
      <c r="B444" s="4"/>
      <c r="C444" s="4"/>
      <c r="D444" s="4"/>
      <c r="E444" s="4"/>
      <c r="F444" s="4"/>
      <c r="G444" s="4"/>
    </row>
    <row r="445" spans="1:7" x14ac:dyDescent="0.25">
      <c r="A445" s="4"/>
      <c r="B445" s="4"/>
      <c r="C445" s="4"/>
      <c r="D445" s="4"/>
      <c r="E445" s="4"/>
      <c r="F445" s="4"/>
      <c r="G445" s="4"/>
    </row>
    <row r="446" spans="1:7" x14ac:dyDescent="0.25">
      <c r="A446" s="4"/>
      <c r="B446" s="4"/>
      <c r="C446" s="4"/>
      <c r="D446" s="4"/>
      <c r="E446" s="4"/>
      <c r="F446" s="4"/>
      <c r="G446" s="4"/>
    </row>
    <row r="447" spans="1:7" x14ac:dyDescent="0.25">
      <c r="A447" s="4"/>
      <c r="B447" s="4"/>
      <c r="C447" s="4"/>
      <c r="D447" s="4"/>
      <c r="E447" s="4"/>
      <c r="F447" s="4"/>
      <c r="G447" s="4"/>
    </row>
    <row r="448" spans="1:7" x14ac:dyDescent="0.25">
      <c r="A448" s="4"/>
      <c r="B448" s="4"/>
      <c r="C448" s="4"/>
      <c r="D448" s="4"/>
      <c r="E448" s="4"/>
      <c r="F448" s="4"/>
      <c r="G448" s="4"/>
    </row>
    <row r="449" spans="1:7" x14ac:dyDescent="0.25">
      <c r="A449" s="4"/>
      <c r="B449" s="4"/>
      <c r="C449" s="4"/>
      <c r="D449" s="4"/>
      <c r="E449" s="4"/>
      <c r="F449" s="4"/>
      <c r="G449" s="4"/>
    </row>
    <row r="450" spans="1:7" x14ac:dyDescent="0.25">
      <c r="A450" s="4"/>
      <c r="B450" s="4"/>
      <c r="C450" s="4"/>
      <c r="D450" s="4"/>
      <c r="E450" s="4"/>
      <c r="F450" s="4"/>
      <c r="G450" s="4"/>
    </row>
    <row r="451" spans="1:7" x14ac:dyDescent="0.25">
      <c r="A451" s="4"/>
      <c r="B451" s="4"/>
      <c r="C451" s="4"/>
      <c r="D451" s="4"/>
      <c r="E451" s="4"/>
      <c r="F451" s="4"/>
      <c r="G451" s="4"/>
    </row>
    <row r="452" spans="1:7" x14ac:dyDescent="0.25">
      <c r="A452" s="4"/>
      <c r="B452" s="4"/>
      <c r="C452" s="4"/>
      <c r="D452" s="4"/>
      <c r="E452" s="4"/>
      <c r="F452" s="4"/>
      <c r="G452" s="4"/>
    </row>
    <row r="453" spans="1:7" x14ac:dyDescent="0.25">
      <c r="A453" s="4"/>
      <c r="B453" s="4"/>
      <c r="C453" s="4"/>
      <c r="D453" s="4"/>
      <c r="E453" s="4"/>
      <c r="F453" s="4"/>
      <c r="G453" s="4"/>
    </row>
    <row r="454" spans="1:7" x14ac:dyDescent="0.25">
      <c r="A454" s="4"/>
      <c r="B454" s="4"/>
      <c r="C454" s="4"/>
      <c r="D454" s="4"/>
      <c r="E454" s="4"/>
      <c r="F454" s="4"/>
      <c r="G454" s="4"/>
    </row>
    <row r="455" spans="1:7" x14ac:dyDescent="0.25">
      <c r="A455" s="4"/>
      <c r="B455" s="4"/>
      <c r="C455" s="4"/>
      <c r="D455" s="4"/>
      <c r="E455" s="4"/>
      <c r="F455" s="4"/>
      <c r="G455" s="4"/>
    </row>
    <row r="456" spans="1:7" x14ac:dyDescent="0.25">
      <c r="A456" s="4"/>
      <c r="B456" s="4"/>
      <c r="C456" s="4"/>
      <c r="D456" s="4"/>
      <c r="E456" s="4"/>
      <c r="F456" s="4"/>
      <c r="G456" s="4"/>
    </row>
    <row r="457" spans="1:7" x14ac:dyDescent="0.25">
      <c r="A457" s="4"/>
      <c r="B457" s="4"/>
      <c r="C457" s="4"/>
      <c r="D457" s="4"/>
      <c r="E457" s="4"/>
      <c r="F457" s="4"/>
      <c r="G457" s="4"/>
    </row>
    <row r="458" spans="1:7" x14ac:dyDescent="0.25">
      <c r="A458" s="4"/>
      <c r="B458" s="4"/>
      <c r="C458" s="4"/>
      <c r="D458" s="4"/>
      <c r="E458" s="4"/>
      <c r="F458" s="4"/>
      <c r="G458" s="4"/>
    </row>
    <row r="459" spans="1:7" x14ac:dyDescent="0.25">
      <c r="A459" s="4"/>
      <c r="B459" s="4"/>
      <c r="C459" s="4"/>
      <c r="D459" s="4"/>
      <c r="E459" s="4"/>
      <c r="F459" s="4"/>
      <c r="G459" s="4"/>
    </row>
    <row r="460" spans="1:7" x14ac:dyDescent="0.25">
      <c r="A460" s="4"/>
      <c r="B460" s="4"/>
      <c r="C460" s="4"/>
      <c r="D460" s="4"/>
      <c r="E460" s="4"/>
      <c r="F460" s="4"/>
      <c r="G460" s="4"/>
    </row>
    <row r="461" spans="1:7" x14ac:dyDescent="0.25">
      <c r="A461" s="4"/>
      <c r="B461" s="4"/>
      <c r="C461" s="4"/>
      <c r="D461" s="4"/>
      <c r="E461" s="4"/>
      <c r="F461" s="4"/>
      <c r="G461" s="4"/>
    </row>
    <row r="462" spans="1:7" x14ac:dyDescent="0.25">
      <c r="A462" s="4"/>
      <c r="B462" s="4"/>
      <c r="C462" s="4"/>
      <c r="D462" s="4"/>
      <c r="E462" s="4"/>
      <c r="F462" s="4"/>
      <c r="G462" s="4"/>
    </row>
    <row r="463" spans="1:7" x14ac:dyDescent="0.25">
      <c r="A463" s="4"/>
      <c r="B463" s="4"/>
      <c r="C463" s="4"/>
      <c r="D463" s="4"/>
      <c r="E463" s="4"/>
      <c r="F463" s="4"/>
      <c r="G463" s="4"/>
    </row>
    <row r="464" spans="1:7" x14ac:dyDescent="0.25">
      <c r="A464" s="4"/>
      <c r="B464" s="4"/>
      <c r="C464" s="4"/>
      <c r="D464" s="4"/>
      <c r="E464" s="4"/>
      <c r="F464" s="4"/>
      <c r="G464" s="4"/>
    </row>
    <row r="465" spans="1:7" x14ac:dyDescent="0.25">
      <c r="A465" s="4"/>
      <c r="B465" s="4"/>
      <c r="C465" s="4"/>
      <c r="D465" s="4"/>
      <c r="E465" s="4"/>
      <c r="F465" s="4"/>
      <c r="G465" s="4"/>
    </row>
    <row r="466" spans="1:7" x14ac:dyDescent="0.25">
      <c r="A466" s="4"/>
      <c r="B466" s="4"/>
      <c r="C466" s="4"/>
      <c r="D466" s="4"/>
      <c r="E466" s="4"/>
      <c r="F466" s="4"/>
      <c r="G466" s="4"/>
    </row>
    <row r="467" spans="1:7" x14ac:dyDescent="0.25">
      <c r="A467" s="4"/>
      <c r="B467" s="4"/>
      <c r="C467" s="4"/>
      <c r="D467" s="4"/>
      <c r="E467" s="4"/>
      <c r="F467" s="4"/>
      <c r="G467" s="4"/>
    </row>
    <row r="468" spans="1:7" x14ac:dyDescent="0.25">
      <c r="A468" s="4"/>
      <c r="B468" s="4"/>
      <c r="C468" s="4"/>
      <c r="D468" s="4"/>
      <c r="E468" s="4"/>
      <c r="F468" s="4"/>
      <c r="G468" s="4"/>
    </row>
    <row r="469" spans="1:7" x14ac:dyDescent="0.25">
      <c r="A469" s="4"/>
      <c r="B469" s="4"/>
      <c r="C469" s="4"/>
      <c r="D469" s="4"/>
      <c r="E469" s="4"/>
      <c r="F469" s="4"/>
      <c r="G469" s="4"/>
    </row>
    <row r="470" spans="1:7" x14ac:dyDescent="0.25">
      <c r="A470" s="4"/>
      <c r="B470" s="4"/>
      <c r="C470" s="4"/>
      <c r="D470" s="4"/>
      <c r="E470" s="4"/>
      <c r="F470" s="4"/>
      <c r="G470" s="4"/>
    </row>
    <row r="471" spans="1:7" x14ac:dyDescent="0.25">
      <c r="A471" s="4"/>
      <c r="B471" s="4"/>
      <c r="C471" s="4"/>
      <c r="D471" s="4"/>
      <c r="E471" s="4"/>
      <c r="F471" s="4"/>
      <c r="G471" s="4"/>
    </row>
    <row r="472" spans="1:7" x14ac:dyDescent="0.25">
      <c r="A472" s="4"/>
      <c r="B472" s="4"/>
      <c r="C472" s="4"/>
      <c r="D472" s="4"/>
      <c r="E472" s="4"/>
      <c r="F472" s="4"/>
      <c r="G472" s="4"/>
    </row>
    <row r="473" spans="1:7" x14ac:dyDescent="0.25">
      <c r="A473" s="4"/>
      <c r="B473" s="4"/>
      <c r="C473" s="4"/>
      <c r="D473" s="4"/>
      <c r="E473" s="4"/>
      <c r="F473" s="4"/>
      <c r="G473" s="4"/>
    </row>
    <row r="474" spans="1:7" x14ac:dyDescent="0.25">
      <c r="A474" s="4"/>
      <c r="B474" s="4"/>
      <c r="C474" s="4"/>
      <c r="D474" s="4"/>
      <c r="E474" s="4"/>
      <c r="F474" s="4"/>
      <c r="G474" s="4"/>
    </row>
    <row r="475" spans="1:7" x14ac:dyDescent="0.25">
      <c r="A475" s="4"/>
      <c r="B475" s="4"/>
      <c r="C475" s="4"/>
      <c r="D475" s="4"/>
      <c r="E475" s="4"/>
      <c r="F475" s="4"/>
      <c r="G475" s="4"/>
    </row>
    <row r="476" spans="1:7" x14ac:dyDescent="0.25">
      <c r="A476" s="4"/>
      <c r="B476" s="4"/>
      <c r="C476" s="4"/>
      <c r="D476" s="4"/>
      <c r="E476" s="4"/>
      <c r="F476" s="4"/>
      <c r="G476" s="4"/>
    </row>
    <row r="477" spans="1:7" x14ac:dyDescent="0.25">
      <c r="A477" s="4"/>
      <c r="B477" s="4"/>
      <c r="C477" s="4"/>
      <c r="D477" s="4"/>
      <c r="E477" s="4"/>
      <c r="F477" s="4"/>
      <c r="G477" s="4"/>
    </row>
    <row r="478" spans="1:7" x14ac:dyDescent="0.25">
      <c r="A478" s="4"/>
      <c r="B478" s="4"/>
      <c r="C478" s="4"/>
      <c r="D478" s="4"/>
      <c r="E478" s="4"/>
      <c r="F478" s="4"/>
      <c r="G478" s="4"/>
    </row>
    <row r="479" spans="1:7" x14ac:dyDescent="0.25">
      <c r="A479" s="4"/>
      <c r="B479" s="4"/>
      <c r="C479" s="4"/>
      <c r="D479" s="4"/>
      <c r="E479" s="4"/>
      <c r="F479" s="4"/>
      <c r="G479" s="4"/>
    </row>
    <row r="480" spans="1:7" x14ac:dyDescent="0.25">
      <c r="A480" s="4"/>
      <c r="B480" s="4"/>
      <c r="C480" s="4"/>
      <c r="D480" s="4"/>
      <c r="E480" s="4"/>
      <c r="F480" s="4"/>
      <c r="G480" s="4"/>
    </row>
    <row r="481" spans="1:7" x14ac:dyDescent="0.25">
      <c r="A481" s="4"/>
      <c r="B481" s="4"/>
      <c r="C481" s="4"/>
      <c r="D481" s="4"/>
      <c r="E481" s="4"/>
      <c r="F481" s="4"/>
      <c r="G481" s="4"/>
    </row>
    <row r="482" spans="1:7" x14ac:dyDescent="0.25">
      <c r="A482" s="4"/>
      <c r="B482" s="4"/>
      <c r="C482" s="4"/>
      <c r="D482" s="4"/>
      <c r="E482" s="4"/>
      <c r="F482" s="4"/>
      <c r="G482" s="4"/>
    </row>
    <row r="483" spans="1:7" x14ac:dyDescent="0.25">
      <c r="A483" s="4"/>
      <c r="B483" s="4"/>
      <c r="C483" s="4"/>
      <c r="D483" s="4"/>
      <c r="E483" s="4"/>
      <c r="F483" s="4"/>
      <c r="G483" s="4"/>
    </row>
    <row r="484" spans="1:7" x14ac:dyDescent="0.25">
      <c r="A484" s="4"/>
      <c r="B484" s="4"/>
      <c r="C484" s="4"/>
      <c r="D484" s="4"/>
      <c r="E484" s="4"/>
      <c r="F484" s="4"/>
      <c r="G484" s="4"/>
    </row>
    <row r="485" spans="1:7" x14ac:dyDescent="0.25">
      <c r="A485" s="4"/>
      <c r="B485" s="4"/>
      <c r="C485" s="4"/>
      <c r="D485" s="4"/>
      <c r="E485" s="4"/>
      <c r="F485" s="4"/>
      <c r="G485" s="4"/>
    </row>
    <row r="486" spans="1:7" x14ac:dyDescent="0.25">
      <c r="A486" s="4"/>
      <c r="B486" s="4"/>
      <c r="C486" s="4"/>
      <c r="D486" s="4"/>
      <c r="E486" s="4"/>
      <c r="F486" s="4"/>
      <c r="G486" s="4"/>
    </row>
    <row r="487" spans="1:7" x14ac:dyDescent="0.25">
      <c r="A487" s="4"/>
      <c r="B487" s="4"/>
      <c r="C487" s="4"/>
      <c r="D487" s="4"/>
      <c r="E487" s="4"/>
      <c r="F487" s="4"/>
      <c r="G487" s="4"/>
    </row>
    <row r="488" spans="1:7" x14ac:dyDescent="0.25">
      <c r="A488" s="4"/>
      <c r="B488" s="4"/>
      <c r="C488" s="4"/>
      <c r="D488" s="4"/>
      <c r="E488" s="4"/>
      <c r="F488" s="4"/>
      <c r="G488" s="4"/>
    </row>
    <row r="489" spans="1:7" x14ac:dyDescent="0.25">
      <c r="A489" s="4"/>
      <c r="B489" s="4"/>
      <c r="C489" s="4"/>
      <c r="D489" s="4"/>
      <c r="E489" s="4"/>
      <c r="F489" s="4"/>
      <c r="G489" s="4"/>
    </row>
    <row r="490" spans="1:7" x14ac:dyDescent="0.25">
      <c r="A490" s="4"/>
      <c r="B490" s="4"/>
      <c r="C490" s="4"/>
      <c r="D490" s="4"/>
      <c r="E490" s="4"/>
      <c r="F490" s="4"/>
      <c r="G490" s="4"/>
    </row>
    <row r="491" spans="1:7" x14ac:dyDescent="0.25">
      <c r="A491" s="4"/>
      <c r="B491" s="4"/>
      <c r="C491" s="4"/>
      <c r="D491" s="4"/>
      <c r="E491" s="4"/>
      <c r="F491" s="4"/>
      <c r="G491" s="4"/>
    </row>
    <row r="492" spans="1:7" x14ac:dyDescent="0.25">
      <c r="A492" s="4"/>
      <c r="B492" s="4"/>
      <c r="C492" s="4"/>
      <c r="D492" s="4"/>
      <c r="E492" s="4"/>
      <c r="F492" s="4"/>
      <c r="G492" s="4"/>
    </row>
    <row r="493" spans="1:7" x14ac:dyDescent="0.25">
      <c r="A493" s="4"/>
      <c r="B493" s="4"/>
      <c r="C493" s="4"/>
      <c r="D493" s="4"/>
      <c r="E493" s="4"/>
      <c r="F493" s="4"/>
      <c r="G493" s="4"/>
    </row>
    <row r="494" spans="1:7" x14ac:dyDescent="0.25">
      <c r="A494" s="4"/>
      <c r="B494" s="4"/>
      <c r="C494" s="4"/>
      <c r="D494" s="4"/>
      <c r="E494" s="4"/>
      <c r="F494" s="4"/>
      <c r="G494" s="4"/>
    </row>
    <row r="495" spans="1:7" x14ac:dyDescent="0.25">
      <c r="A495" s="4"/>
      <c r="B495" s="4"/>
      <c r="C495" s="4"/>
      <c r="D495" s="4"/>
      <c r="E495" s="4"/>
      <c r="F495" s="4"/>
      <c r="G495" s="4"/>
    </row>
    <row r="496" spans="1:7" x14ac:dyDescent="0.25">
      <c r="A496" s="4"/>
      <c r="B496" s="4"/>
      <c r="C496" s="4"/>
      <c r="D496" s="4"/>
      <c r="E496" s="4"/>
      <c r="F496" s="4"/>
      <c r="G496" s="4"/>
    </row>
    <row r="497" spans="1:7" x14ac:dyDescent="0.25">
      <c r="A497" s="4"/>
      <c r="B497" s="4"/>
      <c r="C497" s="4"/>
      <c r="D497" s="4"/>
      <c r="E497" s="4"/>
      <c r="F497" s="4"/>
      <c r="G497" s="4"/>
    </row>
    <row r="498" spans="1:7" x14ac:dyDescent="0.25">
      <c r="A498" s="4"/>
      <c r="B498" s="4"/>
      <c r="C498" s="4"/>
      <c r="D498" s="4"/>
      <c r="E498" s="4"/>
      <c r="F498" s="4"/>
      <c r="G498" s="4"/>
    </row>
    <row r="499" spans="1:7" x14ac:dyDescent="0.25">
      <c r="A499" s="4"/>
      <c r="B499" s="4"/>
      <c r="C499" s="4"/>
      <c r="D499" s="4"/>
      <c r="E499" s="4"/>
      <c r="F499" s="4"/>
      <c r="G499" s="4"/>
    </row>
    <row r="500" spans="1:7" x14ac:dyDescent="0.25">
      <c r="A500" s="4"/>
      <c r="B500" s="4"/>
      <c r="C500" s="4"/>
      <c r="D500" s="4"/>
      <c r="E500" s="4"/>
      <c r="F500" s="4"/>
      <c r="G500" s="4"/>
    </row>
    <row r="501" spans="1:7" x14ac:dyDescent="0.25">
      <c r="A501" s="4"/>
      <c r="B501" s="4"/>
      <c r="C501" s="4"/>
      <c r="D501" s="4"/>
      <c r="E501" s="4"/>
      <c r="F501" s="4"/>
      <c r="G501" s="4"/>
    </row>
    <row r="502" spans="1:7" x14ac:dyDescent="0.25">
      <c r="A502" s="4"/>
      <c r="B502" s="4"/>
      <c r="C502" s="4"/>
      <c r="D502" s="4"/>
      <c r="E502" s="4"/>
      <c r="F502" s="4"/>
      <c r="G502" s="4"/>
    </row>
    <row r="503" spans="1:7" x14ac:dyDescent="0.25">
      <c r="A503" s="4"/>
      <c r="B503" s="4"/>
      <c r="C503" s="4"/>
      <c r="D503" s="4"/>
      <c r="E503" s="4"/>
      <c r="F503" s="4"/>
      <c r="G503" s="4"/>
    </row>
    <row r="504" spans="1:7" x14ac:dyDescent="0.25">
      <c r="A504" s="4"/>
      <c r="B504" s="4"/>
      <c r="C504" s="4"/>
      <c r="D504" s="4"/>
      <c r="E504" s="4"/>
      <c r="F504" s="4"/>
      <c r="G504" s="4"/>
    </row>
    <row r="505" spans="1:7" x14ac:dyDescent="0.25">
      <c r="A505" s="4"/>
      <c r="B505" s="4"/>
      <c r="C505" s="4"/>
      <c r="D505" s="4"/>
      <c r="E505" s="4"/>
      <c r="F505" s="4"/>
      <c r="G505" s="4"/>
    </row>
    <row r="506" spans="1:7" x14ac:dyDescent="0.25">
      <c r="A506" s="4"/>
      <c r="B506" s="4"/>
      <c r="C506" s="4"/>
      <c r="D506" s="4"/>
      <c r="E506" s="4"/>
      <c r="F506" s="4"/>
      <c r="G506" s="4"/>
    </row>
    <row r="507" spans="1:7" x14ac:dyDescent="0.25">
      <c r="A507" s="4"/>
      <c r="B507" s="4"/>
      <c r="C507" s="4"/>
      <c r="D507" s="4"/>
      <c r="E507" s="4"/>
      <c r="F507" s="4"/>
      <c r="G507" s="4"/>
    </row>
    <row r="508" spans="1:7" x14ac:dyDescent="0.25">
      <c r="A508" s="4"/>
      <c r="B508" s="4"/>
      <c r="C508" s="4"/>
      <c r="D508" s="4"/>
      <c r="E508" s="4"/>
      <c r="F508" s="4"/>
      <c r="G508" s="4"/>
    </row>
    <row r="509" spans="1:7" x14ac:dyDescent="0.25">
      <c r="A509" s="4"/>
      <c r="B509" s="4"/>
      <c r="C509" s="4"/>
      <c r="D509" s="4"/>
      <c r="E509" s="4"/>
      <c r="F509" s="4"/>
      <c r="G509" s="4"/>
    </row>
    <row r="510" spans="1:7" x14ac:dyDescent="0.25">
      <c r="A510" s="4"/>
      <c r="B510" s="4"/>
      <c r="C510" s="4"/>
      <c r="D510" s="4"/>
      <c r="E510" s="4"/>
      <c r="F510" s="4"/>
      <c r="G510" s="4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 filterMode="1"/>
  <dimension ref="A1:Z510"/>
  <sheetViews>
    <sheetView zoomScale="85" zoomScaleNormal="85" workbookViewId="0">
      <selection activeCell="A9" sqref="A9:A45"/>
    </sheetView>
  </sheetViews>
  <sheetFormatPr baseColWidth="10" defaultRowHeight="15" x14ac:dyDescent="0.25"/>
  <cols>
    <col min="1" max="6" width="9.140625" customWidth="1"/>
    <col min="7" max="7" width="10.85546875" customWidth="1"/>
    <col min="8" max="8" width="5.140625" customWidth="1"/>
    <col min="9" max="11" width="17.140625" customWidth="1"/>
    <col min="12" max="12" width="17.140625" style="15" customWidth="1"/>
    <col min="13" max="13" width="5.140625" customWidth="1"/>
    <col min="14" max="14" width="19.140625" customWidth="1"/>
    <col min="15" max="15" width="17.140625" customWidth="1"/>
    <col min="16" max="16" width="4.85546875" customWidth="1"/>
    <col min="17" max="19" width="14.42578125" customWidth="1"/>
    <col min="20" max="22" width="18.42578125" bestFit="1" customWidth="1"/>
  </cols>
  <sheetData>
    <row r="1" spans="1:26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</row>
    <row r="2" spans="1:26" ht="28.5" x14ac:dyDescent="0.45">
      <c r="A2" s="5" t="s">
        <v>51</v>
      </c>
      <c r="B2" s="5"/>
      <c r="C2" s="5"/>
      <c r="D2" s="5"/>
      <c r="E2" s="5"/>
      <c r="F2" s="5"/>
      <c r="G2" s="5"/>
      <c r="H2" s="5"/>
      <c r="I2" s="5"/>
      <c r="J2" s="5"/>
      <c r="K2" s="5"/>
      <c r="L2" s="16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4" spans="1:26" x14ac:dyDescent="0.25">
      <c r="V4" t="s">
        <v>71</v>
      </c>
    </row>
    <row r="6" spans="1:26" s="14" customFormat="1" ht="18.75" x14ac:dyDescent="0.3">
      <c r="I6" s="14" t="s">
        <v>60</v>
      </c>
      <c r="L6" s="17"/>
      <c r="N6" s="14" t="s">
        <v>67</v>
      </c>
      <c r="Q6" s="14" t="s">
        <v>47</v>
      </c>
    </row>
    <row r="7" spans="1:26" ht="20.25" thickBot="1" x14ac:dyDescent="0.35">
      <c r="A7" s="2" t="s">
        <v>17</v>
      </c>
      <c r="B7" s="2"/>
      <c r="C7" s="2"/>
      <c r="D7" s="2"/>
      <c r="E7" s="2"/>
      <c r="F7" s="2"/>
      <c r="G7" s="2"/>
      <c r="I7" s="2" t="s">
        <v>59</v>
      </c>
      <c r="J7" s="2"/>
      <c r="K7" s="2"/>
      <c r="L7" s="18"/>
      <c r="N7" s="2" t="s">
        <v>68</v>
      </c>
      <c r="O7" s="2"/>
      <c r="Q7" s="2" t="s">
        <v>69</v>
      </c>
      <c r="R7" s="2"/>
      <c r="S7" s="2"/>
      <c r="T7" s="2" t="s">
        <v>61</v>
      </c>
      <c r="U7" s="2" t="s">
        <v>62</v>
      </c>
      <c r="V7" s="2" t="s">
        <v>70</v>
      </c>
    </row>
    <row r="8" spans="1:26" ht="15.75" thickTop="1" x14ac:dyDescent="0.25"/>
    <row r="9" spans="1:26" x14ac:dyDescent="0.25">
      <c r="A9" s="9" t="s">
        <v>55</v>
      </c>
      <c r="B9" s="9" t="s">
        <v>20</v>
      </c>
      <c r="C9" s="9" t="s">
        <v>21</v>
      </c>
      <c r="D9" s="9" t="s">
        <v>22</v>
      </c>
      <c r="E9" s="9" t="s">
        <v>56</v>
      </c>
      <c r="F9" s="9" t="s">
        <v>57</v>
      </c>
      <c r="G9" s="9" t="s">
        <v>58</v>
      </c>
      <c r="I9" s="9" t="s">
        <v>61</v>
      </c>
      <c r="J9" s="9" t="s">
        <v>62</v>
      </c>
      <c r="K9" s="9" t="s">
        <v>63</v>
      </c>
      <c r="L9" s="9" t="s">
        <v>64</v>
      </c>
      <c r="N9" s="9" t="s">
        <v>65</v>
      </c>
      <c r="O9" s="9" t="s">
        <v>66</v>
      </c>
      <c r="Q9" s="9" t="s">
        <v>56</v>
      </c>
      <c r="R9" s="9" t="s">
        <v>57</v>
      </c>
      <c r="S9" s="9" t="s">
        <v>58</v>
      </c>
      <c r="T9" s="9"/>
      <c r="U9" s="9"/>
      <c r="V9" s="9"/>
    </row>
    <row r="10" spans="1:26" hidden="1" x14ac:dyDescent="0.25">
      <c r="A10" s="4">
        <f>IF(INPUT_CAD!A10="","",INPUT_CAD!A10)</f>
        <v>0</v>
      </c>
      <c r="B10" s="4">
        <f>IF(INPUT_CAD!B10="","",INPUT_CAD!B10)</f>
        <v>0</v>
      </c>
      <c r="C10" s="4">
        <f>IF(INPUT_CAD!C10="","",INPUT_CAD!C10)</f>
        <v>0</v>
      </c>
      <c r="D10" s="4">
        <f>IF(INPUT_CAD!D10="","",INPUT_CAD!D10)</f>
        <v>0</v>
      </c>
      <c r="E10" s="4">
        <f>IF(INPUT_CAD!E10="","",INPUT_CAD!E10)</f>
        <v>1</v>
      </c>
      <c r="F10" s="4">
        <f>IF(INPUT_CAD!F10="","",INPUT_CAD!F10)</f>
        <v>0</v>
      </c>
      <c r="G10" s="4">
        <f>IF(INPUT_CAD!G10="","",INPUT_CAD!G10)</f>
        <v>0</v>
      </c>
      <c r="I10" s="19"/>
      <c r="J10" s="4">
        <f t="shared" ref="J10:J21" si="0">IFERROR(SQRT(E10^2+F10^2+G10^2),"")</f>
        <v>1</v>
      </c>
      <c r="K10" s="19">
        <v>0</v>
      </c>
      <c r="L10" s="4">
        <f>IFERROR(VLOOKUP(ROUND(K10,0),correction_tag!$A$7:$C$253,3),"x")</f>
        <v>0</v>
      </c>
      <c r="N10" s="4">
        <f>IF(AND(K10&lt;&gt;0,K10&lt;&gt;"x"), 1,0)</f>
        <v>0</v>
      </c>
      <c r="O10" s="19">
        <f>INPUT_CAD!$B$4</f>
        <v>2</v>
      </c>
      <c r="Q10" s="19">
        <v>0</v>
      </c>
      <c r="R10" s="19">
        <v>0</v>
      </c>
      <c r="S10" s="19">
        <v>1</v>
      </c>
      <c r="T10" s="4">
        <f>IFERROR(Q10*Setup!$C$26+R10*Setup!$D$26+S10*Setup!$E$26,"")</f>
        <v>1</v>
      </c>
      <c r="U10" s="4">
        <f>IFERROR(SQRT(Q10^2+R10^2+S10^2),"")</f>
        <v>1</v>
      </c>
      <c r="V10" s="4">
        <f>IFERROR(DEGREES(ACOS(T10/(U9*U10))),90)</f>
        <v>90</v>
      </c>
    </row>
    <row r="11" spans="1:26" hidden="1" x14ac:dyDescent="0.25">
      <c r="A11" s="4">
        <f>IF(INPUT_CAD!A11="","",INPUT_CAD!A11)</f>
        <v>1</v>
      </c>
      <c r="B11" s="4">
        <f>IF(INPUT_CAD!B11="","",INPUT_CAD!B11)</f>
        <v>0.21260642982231301</v>
      </c>
      <c r="C11" s="4">
        <f>IF(INPUT_CAD!C11="","",INPUT_CAD!C11)</f>
        <v>0</v>
      </c>
      <c r="D11" s="4">
        <f>IF(INPUT_CAD!D11="","",INPUT_CAD!D11)</f>
        <v>0</v>
      </c>
      <c r="E11" s="4">
        <f>IF(INPUT_CAD!E11="","",INPUT_CAD!E11)</f>
        <v>1</v>
      </c>
      <c r="F11" s="4">
        <f>IF(INPUT_CAD!F11="","",INPUT_CAD!F11)</f>
        <v>0</v>
      </c>
      <c r="G11" s="4">
        <f>IF(INPUT_CAD!G11="","",INPUT_CAD!G11)</f>
        <v>0</v>
      </c>
      <c r="I11" s="4">
        <f t="shared" ref="I11:I21" si="1">IFERROR(E10*E11+F10*F11+G10*G11,"")</f>
        <v>1</v>
      </c>
      <c r="J11" s="4">
        <f t="shared" si="0"/>
        <v>1</v>
      </c>
      <c r="K11" s="4">
        <f t="shared" ref="K11:K21" si="2">IFERROR(DEGREES(ACOS(I11/(J10*J11))),"")</f>
        <v>0</v>
      </c>
      <c r="L11" s="4">
        <f>IFERROR(VLOOKUP(ROUND(K11,0),correction_tag!$A$7:$C$253,3),"x")</f>
        <v>0</v>
      </c>
      <c r="N11" s="4">
        <f t="shared" ref="N11:N74" si="3">IF(AND(K11&lt;&gt;0,K11&lt;&gt;"x"), 1,0)</f>
        <v>0</v>
      </c>
      <c r="O11" s="4">
        <f>IF(N10=0,O10+INPUT_CAD!$B$4,INPUT_CAD!$B$4)</f>
        <v>4</v>
      </c>
      <c r="Q11" s="4">
        <f t="shared" ref="Q11:Q74" si="4">IFERROR(F10*G11-G10*F11,"")</f>
        <v>0</v>
      </c>
      <c r="R11" s="4">
        <f t="shared" ref="R11:R74" si="5">IFERROR(G10*E11-E10*G11,"")</f>
        <v>0</v>
      </c>
      <c r="S11" s="4">
        <f t="shared" ref="S11:S74" si="6">IFERROR(E10*F11-F10*E11,"")</f>
        <v>0</v>
      </c>
      <c r="T11" s="4">
        <f>IFERROR(Q11*Setup!$C$26+R11*Setup!$D$26+S11*Setup!$E$26,"")</f>
        <v>0</v>
      </c>
      <c r="U11" s="4">
        <f>IFERROR(SQRT(Q11^2+R11^2+S11^2),"")</f>
        <v>0</v>
      </c>
      <c r="V11" s="4">
        <f t="shared" ref="V11:V74" si="7">IFERROR(DEGREES(ACOS(T11/(U10*U11))),90)</f>
        <v>90</v>
      </c>
    </row>
    <row r="12" spans="1:26" hidden="1" x14ac:dyDescent="0.25">
      <c r="A12" s="4">
        <f>IF(INPUT_CAD!A12="","",INPUT_CAD!A12)</f>
        <v>2</v>
      </c>
      <c r="B12" s="4">
        <f>IF(INPUT_CAD!B12="","",INPUT_CAD!B12)</f>
        <v>0.42521285964462702</v>
      </c>
      <c r="C12" s="4">
        <f>IF(INPUT_CAD!C12="","",INPUT_CAD!C12)</f>
        <v>0</v>
      </c>
      <c r="D12" s="4">
        <f>IF(INPUT_CAD!D12="","",INPUT_CAD!D12)</f>
        <v>0</v>
      </c>
      <c r="E12" s="4">
        <f>IF(INPUT_CAD!E12="","",INPUT_CAD!E12)</f>
        <v>1</v>
      </c>
      <c r="F12" s="4">
        <f>IF(INPUT_CAD!F12="","",INPUT_CAD!F12)</f>
        <v>0</v>
      </c>
      <c r="G12" s="4">
        <f>IF(INPUT_CAD!G12="","",INPUT_CAD!G12)</f>
        <v>0</v>
      </c>
      <c r="I12" s="4">
        <f t="shared" si="1"/>
        <v>1</v>
      </c>
      <c r="J12" s="4">
        <f t="shared" si="0"/>
        <v>1</v>
      </c>
      <c r="K12" s="4">
        <f t="shared" si="2"/>
        <v>0</v>
      </c>
      <c r="L12" s="4">
        <f>IFERROR(VLOOKUP(ROUND(K12,0),correction_tag!$A$7:$C$253,3),"x")</f>
        <v>0</v>
      </c>
      <c r="N12" s="4">
        <f t="shared" si="3"/>
        <v>0</v>
      </c>
      <c r="O12" s="4">
        <f>IF(N11=0,O11+INPUT_CAD!$B$4,INPUT_CAD!$B$4)</f>
        <v>6</v>
      </c>
      <c r="Q12" s="4">
        <f t="shared" si="4"/>
        <v>0</v>
      </c>
      <c r="R12" s="4">
        <f t="shared" si="5"/>
        <v>0</v>
      </c>
      <c r="S12" s="4">
        <f t="shared" si="6"/>
        <v>0</v>
      </c>
      <c r="T12" s="4">
        <f>IFERROR(Q12*Setup!$C$26+R12*Setup!$D$26+S12*Setup!$E$26,"")</f>
        <v>0</v>
      </c>
      <c r="U12" s="4">
        <f t="shared" ref="U12:U75" si="8">IFERROR(SQRT(Q12^2+R12^2+S12^2),"")</f>
        <v>0</v>
      </c>
      <c r="V12" s="4">
        <f t="shared" si="7"/>
        <v>90</v>
      </c>
    </row>
    <row r="13" spans="1:26" hidden="1" x14ac:dyDescent="0.25">
      <c r="A13" s="4">
        <f>IF(INPUT_CAD!A13="","",INPUT_CAD!A13)</f>
        <v>3</v>
      </c>
      <c r="B13" s="4">
        <f>IF(INPUT_CAD!B13="","",INPUT_CAD!B13)</f>
        <v>0.637819289466941</v>
      </c>
      <c r="C13" s="4">
        <f>IF(INPUT_CAD!C13="","",INPUT_CAD!C13)</f>
        <v>0</v>
      </c>
      <c r="D13" s="4">
        <f>IF(INPUT_CAD!D13="","",INPUT_CAD!D13)</f>
        <v>0</v>
      </c>
      <c r="E13" s="4">
        <f>IF(INPUT_CAD!E13="","",INPUT_CAD!E13)</f>
        <v>1</v>
      </c>
      <c r="F13" s="4">
        <f>IF(INPUT_CAD!F13="","",INPUT_CAD!F13)</f>
        <v>0</v>
      </c>
      <c r="G13" s="4">
        <f>IF(INPUT_CAD!G13="","",INPUT_CAD!G13)</f>
        <v>0</v>
      </c>
      <c r="I13" s="4">
        <f t="shared" si="1"/>
        <v>1</v>
      </c>
      <c r="J13" s="4">
        <f t="shared" si="0"/>
        <v>1</v>
      </c>
      <c r="K13" s="4">
        <f t="shared" si="2"/>
        <v>0</v>
      </c>
      <c r="L13" s="4">
        <f>IFERROR(VLOOKUP(ROUND(K13,0),correction_tag!$A$7:$C$253,3),"x")</f>
        <v>0</v>
      </c>
      <c r="N13" s="4">
        <f t="shared" si="3"/>
        <v>0</v>
      </c>
      <c r="O13" s="4">
        <f>IF(N12=0,O12+INPUT_CAD!$B$4,INPUT_CAD!$B$4)</f>
        <v>8</v>
      </c>
      <c r="Q13" s="4">
        <f t="shared" si="4"/>
        <v>0</v>
      </c>
      <c r="R13" s="4">
        <f t="shared" si="5"/>
        <v>0</v>
      </c>
      <c r="S13" s="4">
        <f t="shared" si="6"/>
        <v>0</v>
      </c>
      <c r="T13" s="4">
        <f>IFERROR(Q13*Setup!$C$26+R13*Setup!$D$26+S13*Setup!$E$26,"")</f>
        <v>0</v>
      </c>
      <c r="U13" s="4">
        <f t="shared" si="8"/>
        <v>0</v>
      </c>
      <c r="V13" s="4">
        <f t="shared" si="7"/>
        <v>90</v>
      </c>
    </row>
    <row r="14" spans="1:26" hidden="1" x14ac:dyDescent="0.25">
      <c r="A14" s="4">
        <f>IF(INPUT_CAD!A14="","",INPUT_CAD!A14)</f>
        <v>4</v>
      </c>
      <c r="B14" s="4">
        <f>IF(INPUT_CAD!B14="","",INPUT_CAD!B14)</f>
        <v>0.85042571928925503</v>
      </c>
      <c r="C14" s="4">
        <f>IF(INPUT_CAD!C14="","",INPUT_CAD!C14)</f>
        <v>0</v>
      </c>
      <c r="D14" s="4">
        <f>IF(INPUT_CAD!D14="","",INPUT_CAD!D14)</f>
        <v>0</v>
      </c>
      <c r="E14" s="4">
        <f>IF(INPUT_CAD!E14="","",INPUT_CAD!E14)</f>
        <v>1</v>
      </c>
      <c r="F14" s="4">
        <f>IF(INPUT_CAD!F14="","",INPUT_CAD!F14)</f>
        <v>0</v>
      </c>
      <c r="G14" s="4">
        <f>IF(INPUT_CAD!G14="","",INPUT_CAD!G14)</f>
        <v>0</v>
      </c>
      <c r="I14" s="4">
        <f t="shared" si="1"/>
        <v>1</v>
      </c>
      <c r="J14" s="4">
        <f t="shared" si="0"/>
        <v>1</v>
      </c>
      <c r="K14" s="4">
        <f t="shared" si="2"/>
        <v>0</v>
      </c>
      <c r="L14" s="4">
        <f>IFERROR(VLOOKUP(ROUND(K14,0),correction_tag!$A$7:$C$253,3),"x")</f>
        <v>0</v>
      </c>
      <c r="N14" s="4">
        <f t="shared" si="3"/>
        <v>0</v>
      </c>
      <c r="O14" s="4">
        <f>IF(N13=0,O13+INPUT_CAD!$B$4,INPUT_CAD!$B$4)</f>
        <v>10</v>
      </c>
      <c r="Q14" s="4">
        <f t="shared" si="4"/>
        <v>0</v>
      </c>
      <c r="R14" s="4">
        <f t="shared" si="5"/>
        <v>0</v>
      </c>
      <c r="S14" s="4">
        <f t="shared" si="6"/>
        <v>0</v>
      </c>
      <c r="T14" s="4">
        <f>IFERROR(Q14*Setup!$C$26+R14*Setup!$D$26+S14*Setup!$E$26,"")</f>
        <v>0</v>
      </c>
      <c r="U14" s="4">
        <f t="shared" si="8"/>
        <v>0</v>
      </c>
      <c r="V14" s="4">
        <f t="shared" si="7"/>
        <v>90</v>
      </c>
    </row>
    <row r="15" spans="1:26" hidden="1" x14ac:dyDescent="0.25">
      <c r="A15" s="4">
        <f>IF(INPUT_CAD!A15="","",INPUT_CAD!A15)</f>
        <v>5</v>
      </c>
      <c r="B15" s="4">
        <f>IF(INPUT_CAD!B15="","",INPUT_CAD!B15)</f>
        <v>1.06303214911156</v>
      </c>
      <c r="C15" s="4">
        <f>IF(INPUT_CAD!C15="","",INPUT_CAD!C15)</f>
        <v>0</v>
      </c>
      <c r="D15" s="4">
        <f>IF(INPUT_CAD!D15="","",INPUT_CAD!D15)</f>
        <v>0</v>
      </c>
      <c r="E15" s="4">
        <f>IF(INPUT_CAD!E15="","",INPUT_CAD!E15)</f>
        <v>1</v>
      </c>
      <c r="F15" s="4">
        <f>IF(INPUT_CAD!F15="","",INPUT_CAD!F15)</f>
        <v>0</v>
      </c>
      <c r="G15" s="4">
        <f>IF(INPUT_CAD!G15="","",INPUT_CAD!G15)</f>
        <v>0</v>
      </c>
      <c r="I15" s="4">
        <f t="shared" si="1"/>
        <v>1</v>
      </c>
      <c r="J15" s="4">
        <f t="shared" si="0"/>
        <v>1</v>
      </c>
      <c r="K15" s="4">
        <f t="shared" si="2"/>
        <v>0</v>
      </c>
      <c r="L15" s="4">
        <f>IFERROR(VLOOKUP(ROUND(K15,0),correction_tag!$A$7:$C$253,3),"x")</f>
        <v>0</v>
      </c>
      <c r="N15" s="4">
        <f t="shared" si="3"/>
        <v>0</v>
      </c>
      <c r="O15" s="4">
        <f>IF(N14=0,O14+INPUT_CAD!$B$4,INPUT_CAD!$B$4)</f>
        <v>12</v>
      </c>
      <c r="Q15" s="4">
        <f t="shared" si="4"/>
        <v>0</v>
      </c>
      <c r="R15" s="4">
        <f t="shared" si="5"/>
        <v>0</v>
      </c>
      <c r="S15" s="4">
        <f t="shared" si="6"/>
        <v>0</v>
      </c>
      <c r="T15" s="4">
        <f>IFERROR(Q15*Setup!$C$26+R15*Setup!$D$26+S15*Setup!$E$26,"")</f>
        <v>0</v>
      </c>
      <c r="U15" s="4">
        <f t="shared" si="8"/>
        <v>0</v>
      </c>
      <c r="V15" s="4">
        <f t="shared" si="7"/>
        <v>90</v>
      </c>
    </row>
    <row r="16" spans="1:26" hidden="1" x14ac:dyDescent="0.25">
      <c r="A16" s="4">
        <f>IF(INPUT_CAD!A16="","",INPUT_CAD!A16)</f>
        <v>6</v>
      </c>
      <c r="B16" s="4">
        <f>IF(INPUT_CAD!B16="","",INPUT_CAD!B16)</f>
        <v>1.27563857893388</v>
      </c>
      <c r="C16" s="4">
        <f>IF(INPUT_CAD!C16="","",INPUT_CAD!C16)</f>
        <v>0</v>
      </c>
      <c r="D16" s="4">
        <f>IF(INPUT_CAD!D16="","",INPUT_CAD!D16)</f>
        <v>0</v>
      </c>
      <c r="E16" s="4">
        <f>IF(INPUT_CAD!E16="","",INPUT_CAD!E16)</f>
        <v>1</v>
      </c>
      <c r="F16" s="4">
        <f>IF(INPUT_CAD!F16="","",INPUT_CAD!F16)</f>
        <v>0</v>
      </c>
      <c r="G16" s="4">
        <f>IF(INPUT_CAD!G16="","",INPUT_CAD!G16)</f>
        <v>0</v>
      </c>
      <c r="I16" s="4">
        <f t="shared" si="1"/>
        <v>1</v>
      </c>
      <c r="J16" s="4">
        <f t="shared" si="0"/>
        <v>1</v>
      </c>
      <c r="K16" s="4">
        <f t="shared" si="2"/>
        <v>0</v>
      </c>
      <c r="L16" s="4">
        <f>IFERROR(VLOOKUP(ROUND(K16,0),correction_tag!$A$7:$C$253,3),"x")</f>
        <v>0</v>
      </c>
      <c r="N16" s="4">
        <f t="shared" si="3"/>
        <v>0</v>
      </c>
      <c r="O16" s="4">
        <f>IF(N15=0,O15+INPUT_CAD!$B$4,INPUT_CAD!$B$4)</f>
        <v>14</v>
      </c>
      <c r="Q16" s="4">
        <f t="shared" si="4"/>
        <v>0</v>
      </c>
      <c r="R16" s="4">
        <f t="shared" si="5"/>
        <v>0</v>
      </c>
      <c r="S16" s="4">
        <f t="shared" si="6"/>
        <v>0</v>
      </c>
      <c r="T16" s="4">
        <f>IFERROR(Q16*Setup!$C$26+R16*Setup!$D$26+S16*Setup!$E$26,"")</f>
        <v>0</v>
      </c>
      <c r="U16" s="4">
        <f t="shared" si="8"/>
        <v>0</v>
      </c>
      <c r="V16" s="4">
        <f t="shared" si="7"/>
        <v>90</v>
      </c>
    </row>
    <row r="17" spans="1:22" hidden="1" x14ac:dyDescent="0.25">
      <c r="A17" s="4">
        <f>IF(INPUT_CAD!A17="","",INPUT_CAD!A17)</f>
        <v>7</v>
      </c>
      <c r="B17" s="4">
        <f>IF(INPUT_CAD!B17="","",INPUT_CAD!B17)</f>
        <v>1.48824500875619</v>
      </c>
      <c r="C17" s="4">
        <f>IF(INPUT_CAD!C17="","",INPUT_CAD!C17)</f>
        <v>0</v>
      </c>
      <c r="D17" s="4">
        <f>IF(INPUT_CAD!D17="","",INPUT_CAD!D17)</f>
        <v>0</v>
      </c>
      <c r="E17" s="4">
        <f>IF(INPUT_CAD!E17="","",INPUT_CAD!E17)</f>
        <v>1</v>
      </c>
      <c r="F17" s="4">
        <f>IF(INPUT_CAD!F17="","",INPUT_CAD!F17)</f>
        <v>0</v>
      </c>
      <c r="G17" s="4">
        <f>IF(INPUT_CAD!G17="","",INPUT_CAD!G17)</f>
        <v>0</v>
      </c>
      <c r="I17" s="4">
        <f t="shared" si="1"/>
        <v>1</v>
      </c>
      <c r="J17" s="4">
        <f t="shared" si="0"/>
        <v>1</v>
      </c>
      <c r="K17" s="4">
        <f t="shared" si="2"/>
        <v>0</v>
      </c>
      <c r="L17" s="4">
        <f>IFERROR(VLOOKUP(ROUND(K17,0),correction_tag!$A$7:$C$253,3),"x")</f>
        <v>0</v>
      </c>
      <c r="N17" s="4">
        <f t="shared" si="3"/>
        <v>0</v>
      </c>
      <c r="O17" s="4">
        <f>IF(N16=0,O16+INPUT_CAD!$B$4,INPUT_CAD!$B$4)</f>
        <v>16</v>
      </c>
      <c r="Q17" s="4">
        <f t="shared" si="4"/>
        <v>0</v>
      </c>
      <c r="R17" s="4">
        <f t="shared" si="5"/>
        <v>0</v>
      </c>
      <c r="S17" s="4">
        <f t="shared" si="6"/>
        <v>0</v>
      </c>
      <c r="T17" s="4">
        <f>IFERROR(Q17*Setup!$C$26+R17*Setup!$D$26+S17*Setup!$E$26,"")</f>
        <v>0</v>
      </c>
      <c r="U17" s="4">
        <f t="shared" si="8"/>
        <v>0</v>
      </c>
      <c r="V17" s="4">
        <f t="shared" si="7"/>
        <v>90</v>
      </c>
    </row>
    <row r="18" spans="1:22" hidden="1" x14ac:dyDescent="0.25">
      <c r="A18" s="4">
        <f>IF(INPUT_CAD!A18="","",INPUT_CAD!A18)</f>
        <v>8</v>
      </c>
      <c r="B18" s="4">
        <f>IF(INPUT_CAD!B18="","",INPUT_CAD!B18)</f>
        <v>1.7008514385785101</v>
      </c>
      <c r="C18" s="4">
        <f>IF(INPUT_CAD!C18="","",INPUT_CAD!C18)</f>
        <v>0</v>
      </c>
      <c r="D18" s="4">
        <f>IF(INPUT_CAD!D18="","",INPUT_CAD!D18)</f>
        <v>0</v>
      </c>
      <c r="E18" s="4">
        <f>IF(INPUT_CAD!E18="","",INPUT_CAD!E18)</f>
        <v>1</v>
      </c>
      <c r="F18" s="4">
        <f>IF(INPUT_CAD!F18="","",INPUT_CAD!F18)</f>
        <v>0</v>
      </c>
      <c r="G18" s="4">
        <f>IF(INPUT_CAD!G18="","",INPUT_CAD!G18)</f>
        <v>0</v>
      </c>
      <c r="I18" s="4">
        <f t="shared" si="1"/>
        <v>1</v>
      </c>
      <c r="J18" s="4">
        <f t="shared" si="0"/>
        <v>1</v>
      </c>
      <c r="K18" s="4">
        <f t="shared" si="2"/>
        <v>0</v>
      </c>
      <c r="L18" s="4">
        <f>IFERROR(VLOOKUP(ROUND(K18,0),correction_tag!$A$7:$C$253,3),"x")</f>
        <v>0</v>
      </c>
      <c r="N18" s="4">
        <f t="shared" si="3"/>
        <v>0</v>
      </c>
      <c r="O18" s="4">
        <f>IF(N17=0,O17+INPUT_CAD!$B$4,INPUT_CAD!$B$4)</f>
        <v>18</v>
      </c>
      <c r="Q18" s="4">
        <f t="shared" si="4"/>
        <v>0</v>
      </c>
      <c r="R18" s="4">
        <f t="shared" si="5"/>
        <v>0</v>
      </c>
      <c r="S18" s="4">
        <f t="shared" si="6"/>
        <v>0</v>
      </c>
      <c r="T18" s="4">
        <f>IFERROR(Q18*Setup!$C$26+R18*Setup!$D$26+S18*Setup!$E$26,"")</f>
        <v>0</v>
      </c>
      <c r="U18" s="4">
        <f t="shared" si="8"/>
        <v>0</v>
      </c>
      <c r="V18" s="4">
        <f t="shared" si="7"/>
        <v>90</v>
      </c>
    </row>
    <row r="19" spans="1:22" hidden="1" x14ac:dyDescent="0.25">
      <c r="A19" s="4">
        <f>IF(INPUT_CAD!A19="","",INPUT_CAD!A19)</f>
        <v>9</v>
      </c>
      <c r="B19" s="4">
        <f>IF(INPUT_CAD!B19="","",INPUT_CAD!B19)</f>
        <v>1.9134578684008201</v>
      </c>
      <c r="C19" s="4">
        <f>IF(INPUT_CAD!C19="","",INPUT_CAD!C19)</f>
        <v>0</v>
      </c>
      <c r="D19" s="4">
        <f>IF(INPUT_CAD!D19="","",INPUT_CAD!D19)</f>
        <v>0</v>
      </c>
      <c r="E19" s="4">
        <f>IF(INPUT_CAD!E19="","",INPUT_CAD!E19)</f>
        <v>1</v>
      </c>
      <c r="F19" s="4">
        <f>IF(INPUT_CAD!F19="","",INPUT_CAD!F19)</f>
        <v>0</v>
      </c>
      <c r="G19" s="4">
        <f>IF(INPUT_CAD!G19="","",INPUT_CAD!G19)</f>
        <v>0</v>
      </c>
      <c r="I19" s="4">
        <f t="shared" si="1"/>
        <v>1</v>
      </c>
      <c r="J19" s="4">
        <f t="shared" si="0"/>
        <v>1</v>
      </c>
      <c r="K19" s="4">
        <f t="shared" si="2"/>
        <v>0</v>
      </c>
      <c r="L19" s="4">
        <f>IFERROR(VLOOKUP(ROUND(K19,0),correction_tag!$A$7:$C$253,3),"x")</f>
        <v>0</v>
      </c>
      <c r="N19" s="4">
        <f t="shared" si="3"/>
        <v>0</v>
      </c>
      <c r="O19" s="4">
        <f>IF(N18=0,O18+INPUT_CAD!$B$4,INPUT_CAD!$B$4)</f>
        <v>20</v>
      </c>
      <c r="Q19" s="4">
        <f t="shared" si="4"/>
        <v>0</v>
      </c>
      <c r="R19" s="4">
        <f t="shared" si="5"/>
        <v>0</v>
      </c>
      <c r="S19" s="4">
        <f t="shared" si="6"/>
        <v>0</v>
      </c>
      <c r="T19" s="4">
        <f>IFERROR(Q19*Setup!$C$26+R19*Setup!$D$26+S19*Setup!$E$26,"")</f>
        <v>0</v>
      </c>
      <c r="U19" s="4">
        <f t="shared" si="8"/>
        <v>0</v>
      </c>
      <c r="V19" s="4">
        <f t="shared" si="7"/>
        <v>90</v>
      </c>
    </row>
    <row r="20" spans="1:22" hidden="1" x14ac:dyDescent="0.25">
      <c r="A20" s="4">
        <f>IF(INPUT_CAD!A20="","",INPUT_CAD!A20)</f>
        <v>10</v>
      </c>
      <c r="B20" s="4">
        <f>IF(INPUT_CAD!B20="","",INPUT_CAD!B20)</f>
        <v>2.1260642982231301</v>
      </c>
      <c r="C20" s="4">
        <f>IF(INPUT_CAD!C20="","",INPUT_CAD!C20)</f>
        <v>0</v>
      </c>
      <c r="D20" s="4">
        <f>IF(INPUT_CAD!D20="","",INPUT_CAD!D20)</f>
        <v>0</v>
      </c>
      <c r="E20" s="4">
        <f>IF(INPUT_CAD!E20="","",INPUT_CAD!E20)</f>
        <v>1</v>
      </c>
      <c r="F20" s="4">
        <f>IF(INPUT_CAD!F20="","",INPUT_CAD!F20)</f>
        <v>0</v>
      </c>
      <c r="G20" s="4">
        <f>IF(INPUT_CAD!G20="","",INPUT_CAD!G20)</f>
        <v>0</v>
      </c>
      <c r="I20" s="4">
        <f t="shared" si="1"/>
        <v>1</v>
      </c>
      <c r="J20" s="4">
        <f t="shared" si="0"/>
        <v>1</v>
      </c>
      <c r="K20" s="4">
        <f t="shared" si="2"/>
        <v>0</v>
      </c>
      <c r="L20" s="4">
        <f>IFERROR(VLOOKUP(ROUND(K20,0),correction_tag!$A$7:$C$253,3),"x")</f>
        <v>0</v>
      </c>
      <c r="N20" s="4">
        <f t="shared" si="3"/>
        <v>0</v>
      </c>
      <c r="O20" s="4">
        <f>IF(N19=0,O19+INPUT_CAD!$B$4,INPUT_CAD!$B$4)</f>
        <v>22</v>
      </c>
      <c r="Q20" s="4">
        <f t="shared" si="4"/>
        <v>0</v>
      </c>
      <c r="R20" s="4">
        <f t="shared" si="5"/>
        <v>0</v>
      </c>
      <c r="S20" s="4">
        <f t="shared" si="6"/>
        <v>0</v>
      </c>
      <c r="T20" s="4">
        <f>IFERROR(Q20*Setup!$C$26+R20*Setup!$D$26+S20*Setup!$E$26,"")</f>
        <v>0</v>
      </c>
      <c r="U20" s="4">
        <f t="shared" si="8"/>
        <v>0</v>
      </c>
      <c r="V20" s="4">
        <f t="shared" si="7"/>
        <v>90</v>
      </c>
    </row>
    <row r="21" spans="1:22" hidden="1" x14ac:dyDescent="0.25">
      <c r="A21" s="4">
        <f>IF(INPUT_CAD!A21="","",INPUT_CAD!A21)</f>
        <v>11</v>
      </c>
      <c r="B21" s="4">
        <f>IF(INPUT_CAD!B21="","",INPUT_CAD!B21)</f>
        <v>2.3386707280454502</v>
      </c>
      <c r="C21" s="4">
        <f>IF(INPUT_CAD!C21="","",INPUT_CAD!C21)</f>
        <v>0</v>
      </c>
      <c r="D21" s="4">
        <f>IF(INPUT_CAD!D21="","",INPUT_CAD!D21)</f>
        <v>0</v>
      </c>
      <c r="E21" s="4">
        <f>IF(INPUT_CAD!E21="","",INPUT_CAD!E21)</f>
        <v>1</v>
      </c>
      <c r="F21" s="4">
        <f>IF(INPUT_CAD!F21="","",INPUT_CAD!F21)</f>
        <v>0</v>
      </c>
      <c r="G21" s="4">
        <f>IF(INPUT_CAD!G21="","",INPUT_CAD!G21)</f>
        <v>0</v>
      </c>
      <c r="I21" s="4">
        <f t="shared" si="1"/>
        <v>1</v>
      </c>
      <c r="J21" s="4">
        <f t="shared" si="0"/>
        <v>1</v>
      </c>
      <c r="K21" s="4">
        <f t="shared" si="2"/>
        <v>0</v>
      </c>
      <c r="L21" s="4">
        <f>IFERROR(VLOOKUP(ROUND(K21,0),correction_tag!$A$7:$C$253,3),"x")</f>
        <v>0</v>
      </c>
      <c r="N21" s="4">
        <f t="shared" si="3"/>
        <v>0</v>
      </c>
      <c r="O21" s="4">
        <f>IF(N20=0,O20+INPUT_CAD!$B$4,INPUT_CAD!$B$4)</f>
        <v>24</v>
      </c>
      <c r="Q21" s="4">
        <f t="shared" si="4"/>
        <v>0</v>
      </c>
      <c r="R21" s="4">
        <f t="shared" si="5"/>
        <v>0</v>
      </c>
      <c r="S21" s="4">
        <f t="shared" si="6"/>
        <v>0</v>
      </c>
      <c r="T21" s="4">
        <f>IFERROR(Q21*Setup!$C$26+R21*Setup!$D$26+S21*Setup!$E$26,"")</f>
        <v>0</v>
      </c>
      <c r="U21" s="4">
        <f t="shared" si="8"/>
        <v>0</v>
      </c>
      <c r="V21" s="4">
        <f t="shared" si="7"/>
        <v>90</v>
      </c>
    </row>
    <row r="22" spans="1:22" x14ac:dyDescent="0.25">
      <c r="A22" s="4">
        <f>IF(INPUT_CAD!A22="","",INPUT_CAD!A22)</f>
        <v>12</v>
      </c>
      <c r="B22" s="4">
        <f>IF(INPUT_CAD!B22="","",INPUT_CAD!B22)</f>
        <v>2.5461424962999799</v>
      </c>
      <c r="C22" s="4">
        <f>IF(INPUT_CAD!C22="","",INPUT_CAD!C22)</f>
        <v>0</v>
      </c>
      <c r="D22" s="4">
        <f>IF(INPUT_CAD!D22="","",INPUT_CAD!D22)</f>
        <v>-2.2365530492281599E-2</v>
      </c>
      <c r="E22" s="4">
        <f>IF(INPUT_CAD!E22="","",INPUT_CAD!E22)</f>
        <v>0.89986454434511998</v>
      </c>
      <c r="F22" s="4">
        <f>IF(INPUT_CAD!F22="","",INPUT_CAD!F22)</f>
        <v>0</v>
      </c>
      <c r="G22" s="4">
        <f>IF(INPUT_CAD!G22="","",INPUT_CAD!G22)</f>
        <v>-0.436169464578331</v>
      </c>
      <c r="I22" s="4">
        <f t="shared" ref="I22:I85" si="9">IFERROR(E21*E22+F21*F22+G21*G22,"")</f>
        <v>0.89986454434511998</v>
      </c>
      <c r="J22" s="4">
        <f t="shared" ref="J22:J85" si="10">IFERROR(SQRT(E22^2+F22^2+G22^2),"")</f>
        <v>0.99999999999999922</v>
      </c>
      <c r="K22" s="4">
        <f t="shared" ref="K22:K85" si="11">IFERROR(DEGREES(ACOS(I22/(J21*J22))),"")</f>
        <v>25.859732095732866</v>
      </c>
      <c r="L22" s="4">
        <f>IFERROR(VLOOKUP(ROUND(K22,0),correction_tag!$A$7:$C$253,3),"x")</f>
        <v>29</v>
      </c>
      <c r="N22" s="4">
        <f t="shared" si="3"/>
        <v>1</v>
      </c>
      <c r="O22" s="4">
        <f>IF(N21=0,O21+INPUT_CAD!$B$4,INPUT_CAD!$B$4)</f>
        <v>26</v>
      </c>
      <c r="Q22" s="4">
        <f t="shared" si="4"/>
        <v>0</v>
      </c>
      <c r="R22" s="4">
        <f t="shared" si="5"/>
        <v>0.436169464578331</v>
      </c>
      <c r="S22" s="4">
        <f t="shared" si="6"/>
        <v>0</v>
      </c>
      <c r="T22" s="4">
        <f>IFERROR(Q22*Setup!$C$26+R22*Setup!$D$26+S22*Setup!$E$26,"")</f>
        <v>0</v>
      </c>
      <c r="U22" s="4">
        <f t="shared" si="8"/>
        <v>0.436169464578331</v>
      </c>
      <c r="V22" s="4">
        <f t="shared" si="7"/>
        <v>90</v>
      </c>
    </row>
    <row r="23" spans="1:22" hidden="1" x14ac:dyDescent="0.25">
      <c r="A23" s="4">
        <f>IF(INPUT_CAD!A23="","",INPUT_CAD!A23)</f>
        <v>13</v>
      </c>
      <c r="B23" s="4">
        <f>IF(INPUT_CAD!B23="","",INPUT_CAD!B23)</f>
        <v>2.7374594843968798</v>
      </c>
      <c r="C23" s="4">
        <f>IF(INPUT_CAD!C23="","",INPUT_CAD!C23)</f>
        <v>0</v>
      </c>
      <c r="D23" s="4">
        <f>IF(INPUT_CAD!D23="","",INPUT_CAD!D23)</f>
        <v>-0.11509796315379001</v>
      </c>
      <c r="E23" s="4">
        <f>IF(INPUT_CAD!E23="","",INPUT_CAD!E23)</f>
        <v>0.89986454434511998</v>
      </c>
      <c r="F23" s="4">
        <f>IF(INPUT_CAD!F23="","",INPUT_CAD!F23)</f>
        <v>0</v>
      </c>
      <c r="G23" s="4">
        <f>IF(INPUT_CAD!G23="","",INPUT_CAD!G23)</f>
        <v>-0.436169464578331</v>
      </c>
      <c r="I23" s="4">
        <f t="shared" si="9"/>
        <v>0.99999999999999845</v>
      </c>
      <c r="J23" s="4">
        <f t="shared" si="10"/>
        <v>0.99999999999999922</v>
      </c>
      <c r="K23" s="4">
        <f t="shared" si="11"/>
        <v>0</v>
      </c>
      <c r="L23" s="4">
        <f>IFERROR(VLOOKUP(ROUND(K23,0),correction_tag!$A$7:$C$253,3),"x")</f>
        <v>0</v>
      </c>
      <c r="N23" s="4">
        <f t="shared" si="3"/>
        <v>0</v>
      </c>
      <c r="O23" s="4">
        <f>IF(N22=0,O22+INPUT_CAD!$B$4,INPUT_CAD!$B$4)</f>
        <v>2</v>
      </c>
      <c r="Q23" s="4">
        <f t="shared" si="4"/>
        <v>0</v>
      </c>
      <c r="R23" s="4">
        <f t="shared" si="5"/>
        <v>0</v>
      </c>
      <c r="S23" s="4">
        <f t="shared" si="6"/>
        <v>0</v>
      </c>
      <c r="T23" s="4">
        <f>IFERROR(Q23*Setup!$C$26+R23*Setup!$D$26+S23*Setup!$E$26,"")</f>
        <v>0</v>
      </c>
      <c r="U23" s="4">
        <f t="shared" si="8"/>
        <v>0</v>
      </c>
      <c r="V23" s="4">
        <f t="shared" si="7"/>
        <v>90</v>
      </c>
    </row>
    <row r="24" spans="1:22" hidden="1" x14ac:dyDescent="0.25">
      <c r="A24" s="4">
        <f>IF(INPUT_CAD!A24="","",INPUT_CAD!A24)</f>
        <v>14</v>
      </c>
      <c r="B24" s="4">
        <f>IF(INPUT_CAD!B24="","",INPUT_CAD!B24)</f>
        <v>2.9287764724937801</v>
      </c>
      <c r="C24" s="4">
        <f>IF(INPUT_CAD!C24="","",INPUT_CAD!C24)</f>
        <v>0</v>
      </c>
      <c r="D24" s="4">
        <f>IF(INPUT_CAD!D24="","",INPUT_CAD!D24)</f>
        <v>-0.2078303958153</v>
      </c>
      <c r="E24" s="4">
        <f>IF(INPUT_CAD!E24="","",INPUT_CAD!E24)</f>
        <v>0.89986454434511998</v>
      </c>
      <c r="F24" s="4">
        <f>IF(INPUT_CAD!F24="","",INPUT_CAD!F24)</f>
        <v>0</v>
      </c>
      <c r="G24" s="4">
        <f>IF(INPUT_CAD!G24="","",INPUT_CAD!G24)</f>
        <v>-0.436169464578331</v>
      </c>
      <c r="I24" s="4">
        <f t="shared" si="9"/>
        <v>0.99999999999999845</v>
      </c>
      <c r="J24" s="4">
        <f t="shared" si="10"/>
        <v>0.99999999999999922</v>
      </c>
      <c r="K24" s="4">
        <f t="shared" si="11"/>
        <v>0</v>
      </c>
      <c r="L24" s="4">
        <f>IFERROR(VLOOKUP(ROUND(K24,0),correction_tag!$A$7:$C$253,3),"x")</f>
        <v>0</v>
      </c>
      <c r="N24" s="4">
        <f t="shared" si="3"/>
        <v>0</v>
      </c>
      <c r="O24" s="4">
        <f>IF(N23=0,O23+INPUT_CAD!$B$4,INPUT_CAD!$B$4)</f>
        <v>4</v>
      </c>
      <c r="Q24" s="4">
        <f t="shared" si="4"/>
        <v>0</v>
      </c>
      <c r="R24" s="4">
        <f t="shared" si="5"/>
        <v>0</v>
      </c>
      <c r="S24" s="4">
        <f t="shared" si="6"/>
        <v>0</v>
      </c>
      <c r="T24" s="4">
        <f>IFERROR(Q24*Setup!$C$26+R24*Setup!$D$26+S24*Setup!$E$26,"")</f>
        <v>0</v>
      </c>
      <c r="U24" s="4">
        <f t="shared" si="8"/>
        <v>0</v>
      </c>
      <c r="V24" s="4">
        <f t="shared" si="7"/>
        <v>90</v>
      </c>
    </row>
    <row r="25" spans="1:22" hidden="1" x14ac:dyDescent="0.25">
      <c r="A25" s="4">
        <f>IF(INPUT_CAD!A25="","",INPUT_CAD!A25)</f>
        <v>15</v>
      </c>
      <c r="B25" s="4">
        <f>IF(INPUT_CAD!B25="","",INPUT_CAD!B25)</f>
        <v>3.12009346059068</v>
      </c>
      <c r="C25" s="4">
        <f>IF(INPUT_CAD!C25="","",INPUT_CAD!C25)</f>
        <v>0</v>
      </c>
      <c r="D25" s="4">
        <f>IF(INPUT_CAD!D25="","",INPUT_CAD!D25)</f>
        <v>-0.30056282847680899</v>
      </c>
      <c r="E25" s="4">
        <f>IF(INPUT_CAD!E25="","",INPUT_CAD!E25)</f>
        <v>0.89986454434511998</v>
      </c>
      <c r="F25" s="4">
        <f>IF(INPUT_CAD!F25="","",INPUT_CAD!F25)</f>
        <v>0</v>
      </c>
      <c r="G25" s="4">
        <f>IF(INPUT_CAD!G25="","",INPUT_CAD!G25)</f>
        <v>-0.436169464578331</v>
      </c>
      <c r="I25" s="4">
        <f t="shared" si="9"/>
        <v>0.99999999999999845</v>
      </c>
      <c r="J25" s="4">
        <f t="shared" si="10"/>
        <v>0.99999999999999922</v>
      </c>
      <c r="K25" s="4">
        <f t="shared" si="11"/>
        <v>0</v>
      </c>
      <c r="L25" s="4">
        <f>IFERROR(VLOOKUP(ROUND(K25,0),correction_tag!$A$7:$C$253,3),"x")</f>
        <v>0</v>
      </c>
      <c r="N25" s="4">
        <f t="shared" si="3"/>
        <v>0</v>
      </c>
      <c r="O25" s="4">
        <f>IF(N24=0,O24+INPUT_CAD!$B$4,INPUT_CAD!$B$4)</f>
        <v>6</v>
      </c>
      <c r="Q25" s="4">
        <f t="shared" si="4"/>
        <v>0</v>
      </c>
      <c r="R25" s="4">
        <f t="shared" si="5"/>
        <v>0</v>
      </c>
      <c r="S25" s="4">
        <f t="shared" si="6"/>
        <v>0</v>
      </c>
      <c r="T25" s="4">
        <f>IFERROR(Q25*Setup!$C$26+R25*Setup!$D$26+S25*Setup!$E$26,"")</f>
        <v>0</v>
      </c>
      <c r="U25" s="4">
        <f t="shared" si="8"/>
        <v>0</v>
      </c>
      <c r="V25" s="4">
        <f t="shared" si="7"/>
        <v>90</v>
      </c>
    </row>
    <row r="26" spans="1:22" hidden="1" x14ac:dyDescent="0.25">
      <c r="A26" s="4">
        <f>IF(INPUT_CAD!A26="","",INPUT_CAD!A26)</f>
        <v>16</v>
      </c>
      <c r="B26" s="4">
        <f>IF(INPUT_CAD!B26="","",INPUT_CAD!B26)</f>
        <v>3.3114104486875799</v>
      </c>
      <c r="C26" s="4">
        <f>IF(INPUT_CAD!C26="","",INPUT_CAD!C26)</f>
        <v>0</v>
      </c>
      <c r="D26" s="4">
        <f>IF(INPUT_CAD!D26="","",INPUT_CAD!D26)</f>
        <v>-0.39329526113831798</v>
      </c>
      <c r="E26" s="4">
        <f>IF(INPUT_CAD!E26="","",INPUT_CAD!E26)</f>
        <v>0.89986454434511998</v>
      </c>
      <c r="F26" s="4">
        <f>IF(INPUT_CAD!F26="","",INPUT_CAD!F26)</f>
        <v>0</v>
      </c>
      <c r="G26" s="4">
        <f>IF(INPUT_CAD!G26="","",INPUT_CAD!G26)</f>
        <v>-0.436169464578331</v>
      </c>
      <c r="I26" s="4">
        <f t="shared" si="9"/>
        <v>0.99999999999999845</v>
      </c>
      <c r="J26" s="4">
        <f t="shared" si="10"/>
        <v>0.99999999999999922</v>
      </c>
      <c r="K26" s="4">
        <f t="shared" si="11"/>
        <v>0</v>
      </c>
      <c r="L26" s="4">
        <f>IFERROR(VLOOKUP(ROUND(K26,0),correction_tag!$A$7:$C$253,3),"x")</f>
        <v>0</v>
      </c>
      <c r="N26" s="4">
        <f t="shared" si="3"/>
        <v>0</v>
      </c>
      <c r="O26" s="4">
        <f>IF(N25=0,O25+INPUT_CAD!$B$4,INPUT_CAD!$B$4)</f>
        <v>8</v>
      </c>
      <c r="Q26" s="4">
        <f t="shared" si="4"/>
        <v>0</v>
      </c>
      <c r="R26" s="4">
        <f t="shared" si="5"/>
        <v>0</v>
      </c>
      <c r="S26" s="4">
        <f t="shared" si="6"/>
        <v>0</v>
      </c>
      <c r="T26" s="4">
        <f>IFERROR(Q26*Setup!$C$26+R26*Setup!$D$26+S26*Setup!$E$26,"")</f>
        <v>0</v>
      </c>
      <c r="U26" s="4">
        <f t="shared" si="8"/>
        <v>0</v>
      </c>
      <c r="V26" s="4">
        <f t="shared" si="7"/>
        <v>90</v>
      </c>
    </row>
    <row r="27" spans="1:22" hidden="1" x14ac:dyDescent="0.25">
      <c r="A27" s="4">
        <f>IF(INPUT_CAD!A27="","",INPUT_CAD!A27)</f>
        <v>17</v>
      </c>
      <c r="B27" s="4">
        <f>IF(INPUT_CAD!B27="","",INPUT_CAD!B27)</f>
        <v>3.5027274367844798</v>
      </c>
      <c r="C27" s="4">
        <f>IF(INPUT_CAD!C27="","",INPUT_CAD!C27)</f>
        <v>0</v>
      </c>
      <c r="D27" s="4">
        <f>IF(INPUT_CAD!D27="","",INPUT_CAD!D27)</f>
        <v>-0.48602769379982802</v>
      </c>
      <c r="E27" s="4">
        <f>IF(INPUT_CAD!E27="","",INPUT_CAD!E27)</f>
        <v>0.89986454434511998</v>
      </c>
      <c r="F27" s="4">
        <f>IF(INPUT_CAD!F27="","",INPUT_CAD!F27)</f>
        <v>0</v>
      </c>
      <c r="G27" s="4">
        <f>IF(INPUT_CAD!G27="","",INPUT_CAD!G27)</f>
        <v>-0.436169464578331</v>
      </c>
      <c r="I27" s="4">
        <f t="shared" si="9"/>
        <v>0.99999999999999845</v>
      </c>
      <c r="J27" s="4">
        <f t="shared" si="10"/>
        <v>0.99999999999999922</v>
      </c>
      <c r="K27" s="4">
        <f t="shared" si="11"/>
        <v>0</v>
      </c>
      <c r="L27" s="4">
        <f>IFERROR(VLOOKUP(ROUND(K27,0),correction_tag!$A$7:$C$253,3),"x")</f>
        <v>0</v>
      </c>
      <c r="N27" s="4">
        <f t="shared" si="3"/>
        <v>0</v>
      </c>
      <c r="O27" s="4">
        <f>IF(N26=0,O26+INPUT_CAD!$B$4,INPUT_CAD!$B$4)</f>
        <v>10</v>
      </c>
      <c r="Q27" s="4">
        <f t="shared" si="4"/>
        <v>0</v>
      </c>
      <c r="R27" s="4">
        <f t="shared" si="5"/>
        <v>0</v>
      </c>
      <c r="S27" s="4">
        <f t="shared" si="6"/>
        <v>0</v>
      </c>
      <c r="T27" s="4">
        <f>IFERROR(Q27*Setup!$C$26+R27*Setup!$D$26+S27*Setup!$E$26,"")</f>
        <v>0</v>
      </c>
      <c r="U27" s="4">
        <f t="shared" si="8"/>
        <v>0</v>
      </c>
      <c r="V27" s="4">
        <f t="shared" si="7"/>
        <v>90</v>
      </c>
    </row>
    <row r="28" spans="1:22" hidden="1" x14ac:dyDescent="0.25">
      <c r="A28" s="4">
        <f>IF(INPUT_CAD!A28="","",INPUT_CAD!A28)</f>
        <v>18</v>
      </c>
      <c r="B28" s="4">
        <f>IF(INPUT_CAD!B28="","",INPUT_CAD!B28)</f>
        <v>3.6940444248813802</v>
      </c>
      <c r="C28" s="4">
        <f>IF(INPUT_CAD!C28="","",INPUT_CAD!C28)</f>
        <v>0</v>
      </c>
      <c r="D28" s="4">
        <f>IF(INPUT_CAD!D28="","",INPUT_CAD!D28)</f>
        <v>-0.57876012646133701</v>
      </c>
      <c r="E28" s="4">
        <f>IF(INPUT_CAD!E28="","",INPUT_CAD!E28)</f>
        <v>0.89986454434511998</v>
      </c>
      <c r="F28" s="4">
        <f>IF(INPUT_CAD!F28="","",INPUT_CAD!F28)</f>
        <v>0</v>
      </c>
      <c r="G28" s="4">
        <f>IF(INPUT_CAD!G28="","",INPUT_CAD!G28)</f>
        <v>-0.436169464578331</v>
      </c>
      <c r="I28" s="4">
        <f t="shared" si="9"/>
        <v>0.99999999999999845</v>
      </c>
      <c r="J28" s="4">
        <f t="shared" si="10"/>
        <v>0.99999999999999922</v>
      </c>
      <c r="K28" s="4">
        <f t="shared" si="11"/>
        <v>0</v>
      </c>
      <c r="L28" s="4">
        <f>IFERROR(VLOOKUP(ROUND(K28,0),correction_tag!$A$7:$C$253,3),"x")</f>
        <v>0</v>
      </c>
      <c r="N28" s="4">
        <f t="shared" si="3"/>
        <v>0</v>
      </c>
      <c r="O28" s="4">
        <f>IF(N27=0,O27+INPUT_CAD!$B$4,INPUT_CAD!$B$4)</f>
        <v>12</v>
      </c>
      <c r="Q28" s="4">
        <f t="shared" si="4"/>
        <v>0</v>
      </c>
      <c r="R28" s="4">
        <f t="shared" si="5"/>
        <v>0</v>
      </c>
      <c r="S28" s="4">
        <f t="shared" si="6"/>
        <v>0</v>
      </c>
      <c r="T28" s="4">
        <f>IFERROR(Q28*Setup!$C$26+R28*Setup!$D$26+S28*Setup!$E$26,"")</f>
        <v>0</v>
      </c>
      <c r="U28" s="4">
        <f t="shared" si="8"/>
        <v>0</v>
      </c>
      <c r="V28" s="4">
        <f t="shared" si="7"/>
        <v>90</v>
      </c>
    </row>
    <row r="29" spans="1:22" hidden="1" x14ac:dyDescent="0.25">
      <c r="A29" s="4">
        <f>IF(INPUT_CAD!A29="","",INPUT_CAD!A29)</f>
        <v>19</v>
      </c>
      <c r="B29" s="4">
        <f>IF(INPUT_CAD!B29="","",INPUT_CAD!B29)</f>
        <v>3.8853614129782801</v>
      </c>
      <c r="C29" s="4">
        <f>IF(INPUT_CAD!C29="","",INPUT_CAD!C29)</f>
        <v>0</v>
      </c>
      <c r="D29" s="4">
        <f>IF(INPUT_CAD!D29="","",INPUT_CAD!D29)</f>
        <v>-0.671492559122847</v>
      </c>
      <c r="E29" s="4">
        <f>IF(INPUT_CAD!E29="","",INPUT_CAD!E29)</f>
        <v>0.89986454434511998</v>
      </c>
      <c r="F29" s="4">
        <f>IF(INPUT_CAD!F29="","",INPUT_CAD!F29)</f>
        <v>0</v>
      </c>
      <c r="G29" s="4">
        <f>IF(INPUT_CAD!G29="","",INPUT_CAD!G29)</f>
        <v>-0.436169464578331</v>
      </c>
      <c r="I29" s="4">
        <f t="shared" si="9"/>
        <v>0.99999999999999845</v>
      </c>
      <c r="J29" s="4">
        <f t="shared" si="10"/>
        <v>0.99999999999999922</v>
      </c>
      <c r="K29" s="4">
        <f t="shared" si="11"/>
        <v>0</v>
      </c>
      <c r="L29" s="4">
        <f>IFERROR(VLOOKUP(ROUND(K29,0),correction_tag!$A$7:$C$253,3),"x")</f>
        <v>0</v>
      </c>
      <c r="N29" s="4">
        <f t="shared" si="3"/>
        <v>0</v>
      </c>
      <c r="O29" s="4">
        <f>IF(N28=0,O28+INPUT_CAD!$B$4,INPUT_CAD!$B$4)</f>
        <v>14</v>
      </c>
      <c r="Q29" s="4">
        <f t="shared" si="4"/>
        <v>0</v>
      </c>
      <c r="R29" s="4">
        <f t="shared" si="5"/>
        <v>0</v>
      </c>
      <c r="S29" s="4">
        <f t="shared" si="6"/>
        <v>0</v>
      </c>
      <c r="T29" s="4">
        <f>IFERROR(Q29*Setup!$C$26+R29*Setup!$D$26+S29*Setup!$E$26,"")</f>
        <v>0</v>
      </c>
      <c r="U29" s="4">
        <f t="shared" si="8"/>
        <v>0</v>
      </c>
      <c r="V29" s="4">
        <f t="shared" si="7"/>
        <v>90</v>
      </c>
    </row>
    <row r="30" spans="1:22" hidden="1" x14ac:dyDescent="0.25">
      <c r="A30" s="4">
        <f>IF(INPUT_CAD!A30="","",INPUT_CAD!A30)</f>
        <v>20</v>
      </c>
      <c r="B30" s="4">
        <f>IF(INPUT_CAD!B30="","",INPUT_CAD!B30)</f>
        <v>4.0766784010751804</v>
      </c>
      <c r="C30" s="4">
        <f>IF(INPUT_CAD!C30="","",INPUT_CAD!C30)</f>
        <v>0</v>
      </c>
      <c r="D30" s="4">
        <f>IF(INPUT_CAD!D30="","",INPUT_CAD!D30)</f>
        <v>-0.76422499178435599</v>
      </c>
      <c r="E30" s="4">
        <f>IF(INPUT_CAD!E30="","",INPUT_CAD!E30)</f>
        <v>0.89986454434511998</v>
      </c>
      <c r="F30" s="4">
        <f>IF(INPUT_CAD!F30="","",INPUT_CAD!F30)</f>
        <v>0</v>
      </c>
      <c r="G30" s="4">
        <f>IF(INPUT_CAD!G30="","",INPUT_CAD!G30)</f>
        <v>-0.436169464578331</v>
      </c>
      <c r="I30" s="4">
        <f t="shared" si="9"/>
        <v>0.99999999999999845</v>
      </c>
      <c r="J30" s="4">
        <f t="shared" si="10"/>
        <v>0.99999999999999922</v>
      </c>
      <c r="K30" s="4">
        <f t="shared" si="11"/>
        <v>0</v>
      </c>
      <c r="L30" s="4">
        <f>IFERROR(VLOOKUP(ROUND(K30,0),correction_tag!$A$7:$C$253,3),"x")</f>
        <v>0</v>
      </c>
      <c r="N30" s="4">
        <f t="shared" si="3"/>
        <v>0</v>
      </c>
      <c r="O30" s="4">
        <f>IF(N29=0,O29+INPUT_CAD!$B$4,INPUT_CAD!$B$4)</f>
        <v>16</v>
      </c>
      <c r="Q30" s="4">
        <f t="shared" si="4"/>
        <v>0</v>
      </c>
      <c r="R30" s="4">
        <f t="shared" si="5"/>
        <v>0</v>
      </c>
      <c r="S30" s="4">
        <f t="shared" si="6"/>
        <v>0</v>
      </c>
      <c r="T30" s="4">
        <f>IFERROR(Q30*Setup!$C$26+R30*Setup!$D$26+S30*Setup!$E$26,"")</f>
        <v>0</v>
      </c>
      <c r="U30" s="4">
        <f t="shared" si="8"/>
        <v>0</v>
      </c>
      <c r="V30" s="4">
        <f t="shared" si="7"/>
        <v>90</v>
      </c>
    </row>
    <row r="31" spans="1:22" hidden="1" x14ac:dyDescent="0.25">
      <c r="A31" s="4">
        <f>IF(INPUT_CAD!A31="","",INPUT_CAD!A31)</f>
        <v>21</v>
      </c>
      <c r="B31" s="4">
        <f>IF(INPUT_CAD!B31="","",INPUT_CAD!B31)</f>
        <v>4.2679953891720803</v>
      </c>
      <c r="C31" s="4">
        <f>IF(INPUT_CAD!C31="","",INPUT_CAD!C31)</f>
        <v>0</v>
      </c>
      <c r="D31" s="4">
        <f>IF(INPUT_CAD!D31="","",INPUT_CAD!D31)</f>
        <v>-0.85695742444586498</v>
      </c>
      <c r="E31" s="4">
        <f>IF(INPUT_CAD!E31="","",INPUT_CAD!E31)</f>
        <v>0.89986454434511998</v>
      </c>
      <c r="F31" s="4">
        <f>IF(INPUT_CAD!F31="","",INPUT_CAD!F31)</f>
        <v>0</v>
      </c>
      <c r="G31" s="4">
        <f>IF(INPUT_CAD!G31="","",INPUT_CAD!G31)</f>
        <v>-0.436169464578331</v>
      </c>
      <c r="I31" s="4">
        <f t="shared" si="9"/>
        <v>0.99999999999999845</v>
      </c>
      <c r="J31" s="4">
        <f t="shared" si="10"/>
        <v>0.99999999999999922</v>
      </c>
      <c r="K31" s="4">
        <f t="shared" si="11"/>
        <v>0</v>
      </c>
      <c r="L31" s="4">
        <f>IFERROR(VLOOKUP(ROUND(K31,0),correction_tag!$A$7:$C$253,3),"x")</f>
        <v>0</v>
      </c>
      <c r="N31" s="4">
        <f t="shared" si="3"/>
        <v>0</v>
      </c>
      <c r="O31" s="4">
        <f>IF(N30=0,O30+INPUT_CAD!$B$4,INPUT_CAD!$B$4)</f>
        <v>18</v>
      </c>
      <c r="Q31" s="4">
        <f t="shared" si="4"/>
        <v>0</v>
      </c>
      <c r="R31" s="4">
        <f t="shared" si="5"/>
        <v>0</v>
      </c>
      <c r="S31" s="4">
        <f t="shared" si="6"/>
        <v>0</v>
      </c>
      <c r="T31" s="4">
        <f>IFERROR(Q31*Setup!$C$26+R31*Setup!$D$26+S31*Setup!$E$26,"")</f>
        <v>0</v>
      </c>
      <c r="U31" s="4">
        <f t="shared" si="8"/>
        <v>0</v>
      </c>
      <c r="V31" s="4">
        <f t="shared" si="7"/>
        <v>90</v>
      </c>
    </row>
    <row r="32" spans="1:22" x14ac:dyDescent="0.25">
      <c r="A32" s="4">
        <f>IF(INPUT_CAD!A32="","",INPUT_CAD!A32)</f>
        <v>22</v>
      </c>
      <c r="B32" s="4">
        <f>IF(INPUT_CAD!B32="","",INPUT_CAD!B32)</f>
        <v>4.4527520491206696</v>
      </c>
      <c r="C32" s="4">
        <f>IF(INPUT_CAD!C32="","",INPUT_CAD!C32)</f>
        <v>0</v>
      </c>
      <c r="D32" s="4">
        <f>IF(INPUT_CAD!D32="","",INPUT_CAD!D32)</f>
        <v>-0.96175782029929002</v>
      </c>
      <c r="E32" s="4">
        <f>IF(INPUT_CAD!E32="","",INPUT_CAD!E32)</f>
        <v>0.83031743013471004</v>
      </c>
      <c r="F32" s="4">
        <f>IF(INPUT_CAD!F32="","",INPUT_CAD!F32)</f>
        <v>0</v>
      </c>
      <c r="G32" s="4">
        <f>IF(INPUT_CAD!G32="","",INPUT_CAD!G32)</f>
        <v>-0.55729073670256801</v>
      </c>
      <c r="I32" s="4">
        <f t="shared" si="9"/>
        <v>0.99024641817200454</v>
      </c>
      <c r="J32" s="4">
        <f t="shared" si="10"/>
        <v>1</v>
      </c>
      <c r="K32" s="4">
        <f t="shared" si="11"/>
        <v>8.0089083340346434</v>
      </c>
      <c r="L32" s="4">
        <f>IFERROR(VLOOKUP(ROUND(K32,0),correction_tag!$A$7:$C$253,3),"x")</f>
        <v>9</v>
      </c>
      <c r="N32" s="4">
        <f t="shared" si="3"/>
        <v>1</v>
      </c>
      <c r="O32" s="4">
        <f>IF(N31=0,O31+INPUT_CAD!$B$4,INPUT_CAD!$B$4)</f>
        <v>20</v>
      </c>
      <c r="Q32" s="4">
        <f t="shared" si="4"/>
        <v>0</v>
      </c>
      <c r="R32" s="4">
        <f t="shared" si="5"/>
        <v>0.13932706591870042</v>
      </c>
      <c r="S32" s="4">
        <f t="shared" si="6"/>
        <v>0</v>
      </c>
      <c r="T32" s="4">
        <f>IFERROR(Q32*Setup!$C$26+R32*Setup!$D$26+S32*Setup!$E$26,"")</f>
        <v>0</v>
      </c>
      <c r="U32" s="4">
        <f t="shared" si="8"/>
        <v>0.13932706591870042</v>
      </c>
      <c r="V32" s="4">
        <f t="shared" si="7"/>
        <v>90</v>
      </c>
    </row>
    <row r="33" spans="1:22" x14ac:dyDescent="0.25">
      <c r="A33" s="4">
        <f>IF(INPUT_CAD!A33="","",INPUT_CAD!A33)</f>
        <v>23</v>
      </c>
      <c r="B33" s="4">
        <f>IF(INPUT_CAD!B33="","",INPUT_CAD!B33)</f>
        <v>4.6196753180585297</v>
      </c>
      <c r="C33" s="4">
        <f>IF(INPUT_CAD!C33="","",INPUT_CAD!C33)</f>
        <v>0</v>
      </c>
      <c r="D33" s="4">
        <f>IF(INPUT_CAD!D33="","",INPUT_CAD!D33)</f>
        <v>-1.09310524103222</v>
      </c>
      <c r="E33" s="4">
        <f>IF(INPUT_CAD!E33="","",INPUT_CAD!E33)</f>
        <v>0.736948669608532</v>
      </c>
      <c r="F33" s="4">
        <f>IF(INPUT_CAD!F33="","",INPUT_CAD!F33)</f>
        <v>0</v>
      </c>
      <c r="G33" s="4">
        <f>IF(INPUT_CAD!G33="","",INPUT_CAD!G33)</f>
        <v>-0.67594870986060296</v>
      </c>
      <c r="I33" s="4">
        <f t="shared" si="9"/>
        <v>0.9886012799819156</v>
      </c>
      <c r="J33" s="4">
        <f t="shared" si="10"/>
        <v>0.99999999999999944</v>
      </c>
      <c r="K33" s="4">
        <f t="shared" si="11"/>
        <v>8.6592259422634807</v>
      </c>
      <c r="L33" s="4">
        <f>IFERROR(VLOOKUP(ROUND(K33,0),correction_tag!$A$7:$C$253,3),"x")</f>
        <v>10</v>
      </c>
      <c r="N33" s="4">
        <f t="shared" si="3"/>
        <v>1</v>
      </c>
      <c r="O33" s="4">
        <f>IF(N32=0,O32+INPUT_CAD!$B$4,INPUT_CAD!$B$4)</f>
        <v>2</v>
      </c>
      <c r="Q33" s="4">
        <f t="shared" si="4"/>
        <v>0</v>
      </c>
      <c r="R33" s="4">
        <f t="shared" si="5"/>
        <v>0.15055732867621241</v>
      </c>
      <c r="S33" s="4">
        <f t="shared" si="6"/>
        <v>0</v>
      </c>
      <c r="T33" s="4">
        <f>IFERROR(Q33*Setup!$C$26+R33*Setup!$D$26+S33*Setup!$E$26,"")</f>
        <v>0</v>
      </c>
      <c r="U33" s="4">
        <f t="shared" si="8"/>
        <v>0.15055732867621241</v>
      </c>
      <c r="V33" s="4">
        <f t="shared" si="7"/>
        <v>90</v>
      </c>
    </row>
    <row r="34" spans="1:22" x14ac:dyDescent="0.25">
      <c r="A34" s="4">
        <f>IF(INPUT_CAD!A34="","",INPUT_CAD!A34)</f>
        <v>24</v>
      </c>
      <c r="B34" s="4">
        <f>IF(INPUT_CAD!B34="","",INPUT_CAD!B34)</f>
        <v>4.7649205585952004</v>
      </c>
      <c r="C34" s="4">
        <f>IF(INPUT_CAD!C34="","",INPUT_CAD!C34)</f>
        <v>0</v>
      </c>
      <c r="D34" s="4">
        <f>IF(INPUT_CAD!D34="","",INPUT_CAD!D34)</f>
        <v>-1.2480869907563099</v>
      </c>
      <c r="E34" s="4">
        <f>IF(INPUT_CAD!E34="","",INPUT_CAD!E34)</f>
        <v>0.62677936597722095</v>
      </c>
      <c r="F34" s="4">
        <f>IF(INPUT_CAD!F34="","",INPUT_CAD!F34)</f>
        <v>0</v>
      </c>
      <c r="G34" s="4">
        <f>IF(INPUT_CAD!G34="","",INPUT_CAD!G34)</f>
        <v>-0.77919678283806604</v>
      </c>
      <c r="I34" s="4">
        <f t="shared" si="9"/>
        <v>0.98860127998191527</v>
      </c>
      <c r="J34" s="4">
        <f t="shared" si="10"/>
        <v>0.99999999999999967</v>
      </c>
      <c r="K34" s="4">
        <f t="shared" si="11"/>
        <v>8.6592259422634807</v>
      </c>
      <c r="L34" s="4">
        <f>IFERROR(VLOOKUP(ROUND(K34,0),correction_tag!$A$7:$C$253,3),"x")</f>
        <v>10</v>
      </c>
      <c r="N34" s="4">
        <f t="shared" si="3"/>
        <v>1</v>
      </c>
      <c r="O34" s="4">
        <f>IF(N33=0,O33+INPUT_CAD!$B$4,INPUT_CAD!$B$4)</f>
        <v>2</v>
      </c>
      <c r="Q34" s="4">
        <f t="shared" si="4"/>
        <v>0</v>
      </c>
      <c r="R34" s="4">
        <f t="shared" si="5"/>
        <v>0.15055732867621185</v>
      </c>
      <c r="S34" s="4">
        <f t="shared" si="6"/>
        <v>0</v>
      </c>
      <c r="T34" s="4">
        <f>IFERROR(Q34*Setup!$C$26+R34*Setup!$D$26+S34*Setup!$E$26,"")</f>
        <v>0</v>
      </c>
      <c r="U34" s="4">
        <f t="shared" si="8"/>
        <v>0.15055732867621185</v>
      </c>
      <c r="V34" s="4">
        <f t="shared" si="7"/>
        <v>90</v>
      </c>
    </row>
    <row r="35" spans="1:22" x14ac:dyDescent="0.25">
      <c r="A35" s="4">
        <f>IF(INPUT_CAD!A35="","",INPUT_CAD!A35)</f>
        <v>25</v>
      </c>
      <c r="B35" s="4">
        <f>IF(INPUT_CAD!B35="","",INPUT_CAD!B35)</f>
        <v>4.8851765510690202</v>
      </c>
      <c r="C35" s="4">
        <f>IF(INPUT_CAD!C35="","",INPUT_CAD!C35)</f>
        <v>0</v>
      </c>
      <c r="D35" s="4">
        <f>IF(INPUT_CAD!D35="","",INPUT_CAD!D35)</f>
        <v>-1.4231698823255201</v>
      </c>
      <c r="E35" s="4">
        <f>IF(INPUT_CAD!E35="","",INPUT_CAD!E35)</f>
        <v>0.50232109733413699</v>
      </c>
      <c r="F35" s="4">
        <f>IF(INPUT_CAD!F35="","",INPUT_CAD!F35)</f>
        <v>0</v>
      </c>
      <c r="G35" s="4">
        <f>IF(INPUT_CAD!G35="","",INPUT_CAD!G35)</f>
        <v>-0.86468116388240301</v>
      </c>
      <c r="I35" s="4">
        <f t="shared" si="9"/>
        <v>0.98860127998191527</v>
      </c>
      <c r="J35" s="4">
        <f t="shared" si="10"/>
        <v>0.99999999999999933</v>
      </c>
      <c r="K35" s="4">
        <f t="shared" si="11"/>
        <v>8.6592259422634434</v>
      </c>
      <c r="L35" s="4">
        <f>IFERROR(VLOOKUP(ROUND(K35,0),correction_tag!$A$7:$C$253,3),"x")</f>
        <v>10</v>
      </c>
      <c r="N35" s="4">
        <f t="shared" si="3"/>
        <v>1</v>
      </c>
      <c r="O35" s="4">
        <f>IF(N34=0,O34+INPUT_CAD!$B$4,INPUT_CAD!$B$4)</f>
        <v>2</v>
      </c>
      <c r="Q35" s="4">
        <f t="shared" si="4"/>
        <v>0</v>
      </c>
      <c r="R35" s="4">
        <f t="shared" si="5"/>
        <v>0.15055732867621147</v>
      </c>
      <c r="S35" s="4">
        <f t="shared" si="6"/>
        <v>0</v>
      </c>
      <c r="T35" s="4">
        <f>IFERROR(Q35*Setup!$C$26+R35*Setup!$D$26+S35*Setup!$E$26,"")</f>
        <v>0</v>
      </c>
      <c r="U35" s="4">
        <f t="shared" si="8"/>
        <v>0.15055732867621147</v>
      </c>
      <c r="V35" s="4">
        <f t="shared" si="7"/>
        <v>90</v>
      </c>
    </row>
    <row r="36" spans="1:22" x14ac:dyDescent="0.25">
      <c r="A36" s="4">
        <f>IF(INPUT_CAD!A36="","",INPUT_CAD!A36)</f>
        <v>26</v>
      </c>
      <c r="B36" s="4">
        <f>IF(INPUT_CAD!B36="","",INPUT_CAD!B36)</f>
        <v>4.9777017667025598</v>
      </c>
      <c r="C36" s="4">
        <f>IF(INPUT_CAD!C36="","",INPUT_CAD!C36)</f>
        <v>0</v>
      </c>
      <c r="D36" s="4">
        <f>IF(INPUT_CAD!D36="","",INPUT_CAD!D36)</f>
        <v>-1.6143624740179401</v>
      </c>
      <c r="E36" s="4">
        <f>IF(INPUT_CAD!E36="","",INPUT_CAD!E36)</f>
        <v>0.36641119359567598</v>
      </c>
      <c r="F36" s="4">
        <f>IF(INPUT_CAD!F36="","",INPUT_CAD!F36)</f>
        <v>0</v>
      </c>
      <c r="G36" s="4">
        <f>IF(INPUT_CAD!G36="","",INPUT_CAD!G36)</f>
        <v>-0.93045302794272799</v>
      </c>
      <c r="I36" s="4">
        <f t="shared" si="9"/>
        <v>0.98860127998191505</v>
      </c>
      <c r="J36" s="4">
        <f t="shared" si="10"/>
        <v>0.99999999999999944</v>
      </c>
      <c r="K36" s="4">
        <f t="shared" si="11"/>
        <v>8.6592259422634434</v>
      </c>
      <c r="L36" s="4">
        <f>IFERROR(VLOOKUP(ROUND(K36,0),correction_tag!$A$7:$C$253,3),"x")</f>
        <v>10</v>
      </c>
      <c r="N36" s="4">
        <f t="shared" si="3"/>
        <v>1</v>
      </c>
      <c r="O36" s="4">
        <f>IF(N35=0,O35+INPUT_CAD!$B$4,INPUT_CAD!$B$4)</f>
        <v>2</v>
      </c>
      <c r="Q36" s="4">
        <f t="shared" si="4"/>
        <v>0</v>
      </c>
      <c r="R36" s="4">
        <f t="shared" si="5"/>
        <v>0.15055732867621197</v>
      </c>
      <c r="S36" s="4">
        <f t="shared" si="6"/>
        <v>0</v>
      </c>
      <c r="T36" s="4">
        <f>IFERROR(Q36*Setup!$C$26+R36*Setup!$D$26+S36*Setup!$E$26,"")</f>
        <v>0</v>
      </c>
      <c r="U36" s="4">
        <f t="shared" si="8"/>
        <v>0.15055732867621197</v>
      </c>
      <c r="V36" s="4">
        <f t="shared" si="7"/>
        <v>90</v>
      </c>
    </row>
    <row r="37" spans="1:22" x14ac:dyDescent="0.25">
      <c r="A37" s="4">
        <f>IF(INPUT_CAD!A37="","",INPUT_CAD!A37)</f>
        <v>27</v>
      </c>
      <c r="B37" s="4">
        <f>IF(INPUT_CAD!B37="","",INPUT_CAD!B37)</f>
        <v>5.0403868674405903</v>
      </c>
      <c r="C37" s="4">
        <f>IF(INPUT_CAD!C37="","",INPUT_CAD!C37)</f>
        <v>0</v>
      </c>
      <c r="D37" s="4">
        <f>IF(INPUT_CAD!D37="","",INPUT_CAD!D37)</f>
        <v>-1.8173060641890999</v>
      </c>
      <c r="E37" s="4">
        <f>IF(INPUT_CAD!E37="","",INPUT_CAD!E37)</f>
        <v>0.22214805264263701</v>
      </c>
      <c r="F37" s="4">
        <f>IF(INPUT_CAD!F37="","",INPUT_CAD!F37)</f>
        <v>0</v>
      </c>
      <c r="G37" s="4">
        <f>IF(INPUT_CAD!G37="","",INPUT_CAD!G37)</f>
        <v>-0.97501294489205803</v>
      </c>
      <c r="I37" s="4">
        <f t="shared" si="9"/>
        <v>0.98860127998191527</v>
      </c>
      <c r="J37" s="4">
        <f t="shared" si="10"/>
        <v>0.99999999999999956</v>
      </c>
      <c r="K37" s="4">
        <f t="shared" si="11"/>
        <v>8.6592259422634434</v>
      </c>
      <c r="L37" s="4">
        <f>IFERROR(VLOOKUP(ROUND(K37,0),correction_tag!$A$7:$C$253,3),"x")</f>
        <v>10</v>
      </c>
      <c r="N37" s="4">
        <f t="shared" si="3"/>
        <v>1</v>
      </c>
      <c r="O37" s="4">
        <f>IF(N36=0,O36+INPUT_CAD!$B$4,INPUT_CAD!$B$4)</f>
        <v>2</v>
      </c>
      <c r="Q37" s="4">
        <f t="shared" si="4"/>
        <v>0</v>
      </c>
      <c r="R37" s="4">
        <f t="shared" si="5"/>
        <v>0.15055732867621188</v>
      </c>
      <c r="S37" s="4">
        <f t="shared" si="6"/>
        <v>0</v>
      </c>
      <c r="T37" s="4">
        <f>IFERROR(Q37*Setup!$C$26+R37*Setup!$D$26+S37*Setup!$E$26,"")</f>
        <v>0</v>
      </c>
      <c r="U37" s="4">
        <f t="shared" si="8"/>
        <v>0.15055732867621188</v>
      </c>
      <c r="V37" s="4">
        <f t="shared" si="7"/>
        <v>90</v>
      </c>
    </row>
    <row r="38" spans="1:22" x14ac:dyDescent="0.25">
      <c r="A38" s="4">
        <f>IF(INPUT_CAD!A38="","",INPUT_CAD!A38)</f>
        <v>28</v>
      </c>
      <c r="B38" s="4">
        <f>IF(INPUT_CAD!B38="","",INPUT_CAD!B38)</f>
        <v>5.07180279345787</v>
      </c>
      <c r="C38" s="4">
        <f>IF(INPUT_CAD!C38="","",INPUT_CAD!C38)</f>
        <v>0</v>
      </c>
      <c r="D38" s="4">
        <f>IF(INPUT_CAD!D38="","",INPUT_CAD!D38)</f>
        <v>-2.02737405851135</v>
      </c>
      <c r="E38" s="4">
        <f>IF(INPUT_CAD!E38="","",INPUT_CAD!E38)</f>
        <v>7.2820504780326797E-2</v>
      </c>
      <c r="F38" s="4">
        <f>IF(INPUT_CAD!F38="","",INPUT_CAD!F38)</f>
        <v>0</v>
      </c>
      <c r="G38" s="4">
        <f>IF(INPUT_CAD!G38="","",INPUT_CAD!G38)</f>
        <v>-0.99734506269572398</v>
      </c>
      <c r="I38" s="4">
        <f t="shared" si="9"/>
        <v>0.98860127998191549</v>
      </c>
      <c r="J38" s="4">
        <f t="shared" si="10"/>
        <v>0.99999999999999956</v>
      </c>
      <c r="K38" s="4">
        <f t="shared" si="11"/>
        <v>8.6592259422633919</v>
      </c>
      <c r="L38" s="4">
        <f>IFERROR(VLOOKUP(ROUND(K38,0),correction_tag!$A$7:$C$253,3),"x")</f>
        <v>10</v>
      </c>
      <c r="N38" s="4">
        <f t="shared" si="3"/>
        <v>1</v>
      </c>
      <c r="O38" s="4">
        <f>IF(N37=0,O37+INPUT_CAD!$B$4,INPUT_CAD!$B$4)</f>
        <v>2</v>
      </c>
      <c r="Q38" s="4">
        <f t="shared" si="4"/>
        <v>0</v>
      </c>
      <c r="R38" s="4">
        <f t="shared" si="5"/>
        <v>0.15055732867621119</v>
      </c>
      <c r="S38" s="4">
        <f t="shared" si="6"/>
        <v>0</v>
      </c>
      <c r="T38" s="4">
        <f>IFERROR(Q38*Setup!$C$26+R38*Setup!$D$26+S38*Setup!$E$26,"")</f>
        <v>0</v>
      </c>
      <c r="U38" s="4">
        <f t="shared" si="8"/>
        <v>0.15055732867621119</v>
      </c>
      <c r="V38" s="4">
        <f t="shared" si="7"/>
        <v>90</v>
      </c>
    </row>
    <row r="39" spans="1:22" x14ac:dyDescent="0.25">
      <c r="A39" s="4">
        <f>IF(INPUT_CAD!A39="","",INPUT_CAD!A39)</f>
        <v>29</v>
      </c>
      <c r="B39" s="4">
        <f>IF(INPUT_CAD!B39="","",INPUT_CAD!B39)</f>
        <v>5.0712333420648399</v>
      </c>
      <c r="C39" s="4">
        <f>IF(INPUT_CAD!C39="","",INPUT_CAD!C39)</f>
        <v>0</v>
      </c>
      <c r="D39" s="4">
        <f>IF(INPUT_CAD!D39="","",INPUT_CAD!D39)</f>
        <v>-2.2397774444806098</v>
      </c>
      <c r="E39" s="4">
        <f>IF(INPUT_CAD!E39="","",INPUT_CAD!E39)</f>
        <v>-7.8167164173115797E-2</v>
      </c>
      <c r="F39" s="4">
        <f>IF(INPUT_CAD!F39="","",INPUT_CAD!F39)</f>
        <v>0</v>
      </c>
      <c r="G39" s="4">
        <f>IF(INPUT_CAD!G39="","",INPUT_CAD!G39)</f>
        <v>-0.99694026623721699</v>
      </c>
      <c r="I39" s="4">
        <f t="shared" si="9"/>
        <v>0.98860127998191594</v>
      </c>
      <c r="J39" s="4">
        <f t="shared" si="10"/>
        <v>1</v>
      </c>
      <c r="K39" s="4">
        <f t="shared" si="11"/>
        <v>8.6592259422633919</v>
      </c>
      <c r="L39" s="4">
        <f>IFERROR(VLOOKUP(ROUND(K39,0),correction_tag!$A$7:$C$253,3),"x")</f>
        <v>10</v>
      </c>
      <c r="N39" s="4">
        <f t="shared" si="3"/>
        <v>1</v>
      </c>
      <c r="O39" s="4">
        <f>IF(N38=0,O38+INPUT_CAD!$B$4,INPUT_CAD!$B$4)</f>
        <v>2</v>
      </c>
      <c r="Q39" s="4">
        <f t="shared" si="4"/>
        <v>0</v>
      </c>
      <c r="R39" s="4">
        <f t="shared" si="5"/>
        <v>0.15055732867621063</v>
      </c>
      <c r="S39" s="4">
        <f t="shared" si="6"/>
        <v>0</v>
      </c>
      <c r="T39" s="4">
        <f>IFERROR(Q39*Setup!$C$26+R39*Setup!$D$26+S39*Setup!$E$26,"")</f>
        <v>0</v>
      </c>
      <c r="U39" s="4">
        <f t="shared" si="8"/>
        <v>0.15055732867621063</v>
      </c>
      <c r="V39" s="4">
        <f t="shared" si="7"/>
        <v>90</v>
      </c>
    </row>
    <row r="40" spans="1:22" x14ac:dyDescent="0.25">
      <c r="A40" s="4">
        <f>IF(INPUT_CAD!A40="","",INPUT_CAD!A40)</f>
        <v>30</v>
      </c>
      <c r="B40" s="4">
        <f>IF(INPUT_CAD!B40="","",INPUT_CAD!B40)</f>
        <v>5.03869149529549</v>
      </c>
      <c r="C40" s="4">
        <f>IF(INPUT_CAD!C40="","",INPUT_CAD!C40)</f>
        <v>0</v>
      </c>
      <c r="D40" s="4">
        <f>IF(INPUT_CAD!D40="","",INPUT_CAD!D40)</f>
        <v>-2.4496739686417701</v>
      </c>
      <c r="E40" s="4">
        <f>IF(INPUT_CAD!E40="","",INPUT_CAD!E40)</f>
        <v>-0.22737282188852501</v>
      </c>
      <c r="F40" s="4">
        <f>IF(INPUT_CAD!F40="","",INPUT_CAD!F40)</f>
        <v>0</v>
      </c>
      <c r="G40" s="4">
        <f>IF(INPUT_CAD!G40="","",INPUT_CAD!G40)</f>
        <v>-0.97380778383952504</v>
      </c>
      <c r="I40" s="4">
        <f t="shared" si="9"/>
        <v>0.98860127998191527</v>
      </c>
      <c r="J40" s="4">
        <f t="shared" si="10"/>
        <v>0.999999999999999</v>
      </c>
      <c r="K40" s="4">
        <f t="shared" si="11"/>
        <v>8.6592259422634434</v>
      </c>
      <c r="L40" s="4">
        <f>IFERROR(VLOOKUP(ROUND(K40,0),correction_tag!$A$7:$C$253,3),"x")</f>
        <v>10</v>
      </c>
      <c r="N40" s="4">
        <f t="shared" si="3"/>
        <v>1</v>
      </c>
      <c r="O40" s="4">
        <f>IF(N39=0,O39+INPUT_CAD!$B$4,INPUT_CAD!$B$4)</f>
        <v>2</v>
      </c>
      <c r="Q40" s="4">
        <f t="shared" si="4"/>
        <v>0</v>
      </c>
      <c r="R40" s="4">
        <f t="shared" si="5"/>
        <v>0.15055732867621124</v>
      </c>
      <c r="S40" s="4">
        <f t="shared" si="6"/>
        <v>0</v>
      </c>
      <c r="T40" s="4">
        <f>IFERROR(Q40*Setup!$C$26+R40*Setup!$D$26+S40*Setup!$E$26,"")</f>
        <v>0</v>
      </c>
      <c r="U40" s="4">
        <f t="shared" si="8"/>
        <v>0.15055732867621124</v>
      </c>
      <c r="V40" s="4">
        <f t="shared" si="7"/>
        <v>90</v>
      </c>
    </row>
    <row r="41" spans="1:22" x14ac:dyDescent="0.25">
      <c r="A41" s="4">
        <f>IF(INPUT_CAD!A41="","",INPUT_CAD!A41)</f>
        <v>31</v>
      </c>
      <c r="B41" s="4">
        <f>IF(INPUT_CAD!B41="","",INPUT_CAD!B41)</f>
        <v>4.9749191239502197</v>
      </c>
      <c r="C41" s="4">
        <f>IF(INPUT_CAD!C41="","",INPUT_CAD!C41)</f>
        <v>0</v>
      </c>
      <c r="D41" s="4">
        <f>IF(INPUT_CAD!D41="","",INPUT_CAD!D41)</f>
        <v>-2.65227852757147</v>
      </c>
      <c r="E41" s="4">
        <f>IF(INPUT_CAD!E41="","",INPUT_CAD!E41)</f>
        <v>-0.37139496133107702</v>
      </c>
      <c r="F41" s="4">
        <f>IF(INPUT_CAD!F41="","",INPUT_CAD!F41)</f>
        <v>0</v>
      </c>
      <c r="G41" s="4">
        <f>IF(INPUT_CAD!G41="","",INPUT_CAD!G41)</f>
        <v>-0.92847497688299996</v>
      </c>
      <c r="I41" s="4">
        <f t="shared" si="9"/>
        <v>0.98860127998191505</v>
      </c>
      <c r="J41" s="4">
        <f t="shared" si="10"/>
        <v>0.99999999999999978</v>
      </c>
      <c r="K41" s="4">
        <f t="shared" si="11"/>
        <v>8.6592259422634434</v>
      </c>
      <c r="L41" s="4">
        <f>IFERROR(VLOOKUP(ROUND(K41,0),correction_tag!$A$7:$C$253,3),"x")</f>
        <v>10</v>
      </c>
      <c r="N41" s="4">
        <f t="shared" si="3"/>
        <v>1</v>
      </c>
      <c r="O41" s="4">
        <f>IF(N40=0,O40+INPUT_CAD!$B$4,INPUT_CAD!$B$4)</f>
        <v>2</v>
      </c>
      <c r="Q41" s="4">
        <f t="shared" si="4"/>
        <v>0</v>
      </c>
      <c r="R41" s="4">
        <f t="shared" si="5"/>
        <v>0.15055732867621149</v>
      </c>
      <c r="S41" s="4">
        <f t="shared" si="6"/>
        <v>0</v>
      </c>
      <c r="T41" s="4">
        <f>IFERROR(Q41*Setup!$C$26+R41*Setup!$D$26+S41*Setup!$E$26,"")</f>
        <v>0</v>
      </c>
      <c r="U41" s="4">
        <f t="shared" si="8"/>
        <v>0.15055732867621149</v>
      </c>
      <c r="V41" s="4">
        <f t="shared" si="7"/>
        <v>90</v>
      </c>
    </row>
    <row r="42" spans="1:22" x14ac:dyDescent="0.25">
      <c r="A42" s="4">
        <f>IF(INPUT_CAD!A42="","",INPUT_CAD!A42)</f>
        <v>32</v>
      </c>
      <c r="B42" s="4">
        <f>IF(INPUT_CAD!B42="","",INPUT_CAD!B42)</f>
        <v>4.8813700748407101</v>
      </c>
      <c r="C42" s="4">
        <f>IF(INPUT_CAD!C42="","",INPUT_CAD!C42)</f>
        <v>0</v>
      </c>
      <c r="D42" s="4">
        <f>IF(INPUT_CAD!D42="","",INPUT_CAD!D42)</f>
        <v>-2.8429722559864401</v>
      </c>
      <c r="E42" s="4">
        <f>IF(INPUT_CAD!E42="","",INPUT_CAD!E42)</f>
        <v>-0.50695024641294995</v>
      </c>
      <c r="F42" s="4">
        <f>IF(INPUT_CAD!F42="","",INPUT_CAD!F42)</f>
        <v>0</v>
      </c>
      <c r="G42" s="4">
        <f>IF(INPUT_CAD!G42="","",INPUT_CAD!G42)</f>
        <v>-0.86197531731590105</v>
      </c>
      <c r="I42" s="4">
        <f t="shared" si="9"/>
        <v>0.98860127998191527</v>
      </c>
      <c r="J42" s="4">
        <f t="shared" si="10"/>
        <v>0.99999999999999944</v>
      </c>
      <c r="K42" s="4">
        <f t="shared" si="11"/>
        <v>8.6592259422635198</v>
      </c>
      <c r="L42" s="4">
        <f>IFERROR(VLOOKUP(ROUND(K42,0),correction_tag!$A$7:$C$253,3),"x")</f>
        <v>10</v>
      </c>
      <c r="N42" s="4">
        <f t="shared" si="3"/>
        <v>1</v>
      </c>
      <c r="O42" s="4">
        <f>IF(N41=0,O41+INPUT_CAD!$B$4,INPUT_CAD!$B$4)</f>
        <v>2</v>
      </c>
      <c r="Q42" s="4">
        <f t="shared" si="4"/>
        <v>0</v>
      </c>
      <c r="R42" s="4">
        <f t="shared" si="5"/>
        <v>0.15055732867621291</v>
      </c>
      <c r="S42" s="4">
        <f t="shared" si="6"/>
        <v>0</v>
      </c>
      <c r="T42" s="4">
        <f>IFERROR(Q42*Setup!$C$26+R42*Setup!$D$26+S42*Setup!$E$26,"")</f>
        <v>0</v>
      </c>
      <c r="U42" s="4">
        <f t="shared" si="8"/>
        <v>0.15055732867621291</v>
      </c>
      <c r="V42" s="4">
        <f t="shared" si="7"/>
        <v>90</v>
      </c>
    </row>
    <row r="43" spans="1:22" x14ac:dyDescent="0.25">
      <c r="A43" s="4">
        <f>IF(INPUT_CAD!A43="","",INPUT_CAD!A43)</f>
        <v>33</v>
      </c>
      <c r="B43" s="4">
        <f>IF(INPUT_CAD!B43="","",INPUT_CAD!B43)</f>
        <v>4.7601770268044996</v>
      </c>
      <c r="C43" s="4">
        <f>IF(INPUT_CAD!C43="","",INPUT_CAD!C43)</f>
        <v>0</v>
      </c>
      <c r="D43" s="4">
        <f>IF(INPUT_CAD!D43="","",INPUT_CAD!D43)</f>
        <v>-3.01740782504789</v>
      </c>
      <c r="E43" s="4">
        <f>IF(INPUT_CAD!E43="","",INPUT_CAD!E43)</f>
        <v>-0.63094836365090201</v>
      </c>
      <c r="F43" s="4">
        <f>IF(INPUT_CAD!F43="","",INPUT_CAD!F43)</f>
        <v>0</v>
      </c>
      <c r="G43" s="4">
        <f>IF(INPUT_CAD!G43="","",INPUT_CAD!G43)</f>
        <v>-0.77582482713963696</v>
      </c>
      <c r="I43" s="4">
        <f t="shared" si="9"/>
        <v>0.98860127998191505</v>
      </c>
      <c r="J43" s="4">
        <f t="shared" si="10"/>
        <v>0.99999999999999922</v>
      </c>
      <c r="K43" s="4">
        <f t="shared" si="11"/>
        <v>8.6592259422633919</v>
      </c>
      <c r="L43" s="4">
        <f>IFERROR(VLOOKUP(ROUND(K43,0),correction_tag!$A$7:$C$253,3),"x")</f>
        <v>10</v>
      </c>
      <c r="N43" s="4">
        <f t="shared" si="3"/>
        <v>1</v>
      </c>
      <c r="O43" s="4">
        <f>IF(N42=0,O42+INPUT_CAD!$B$4,INPUT_CAD!$B$4)</f>
        <v>2</v>
      </c>
      <c r="Q43" s="4">
        <f t="shared" si="4"/>
        <v>0</v>
      </c>
      <c r="R43" s="4">
        <f t="shared" si="5"/>
        <v>0.15055732867621152</v>
      </c>
      <c r="S43" s="4">
        <f t="shared" si="6"/>
        <v>0</v>
      </c>
      <c r="T43" s="4">
        <f>IFERROR(Q43*Setup!$C$26+R43*Setup!$D$26+S43*Setup!$E$26,"")</f>
        <v>0</v>
      </c>
      <c r="U43" s="4">
        <f t="shared" si="8"/>
        <v>0.15055732867621152</v>
      </c>
      <c r="V43" s="4">
        <f t="shared" si="7"/>
        <v>90</v>
      </c>
    </row>
    <row r="44" spans="1:22" x14ac:dyDescent="0.25">
      <c r="A44" s="4">
        <f>IF(INPUT_CAD!A44="","",INPUT_CAD!A44)</f>
        <v>34</v>
      </c>
      <c r="B44" s="4">
        <f>IF(INPUT_CAD!B44="","",INPUT_CAD!B44)</f>
        <v>4.61410287108699</v>
      </c>
      <c r="C44" s="4">
        <f>IF(INPUT_CAD!C44="","",INPUT_CAD!C44)</f>
        <v>0</v>
      </c>
      <c r="D44" s="4">
        <f>IF(INPUT_CAD!D44="","",INPUT_CAD!D44)</f>
        <v>-3.1716085503299398</v>
      </c>
      <c r="E44" s="4">
        <f>IF(INPUT_CAD!E44="","",INPUT_CAD!E44)</f>
        <v>-0.74056247340260495</v>
      </c>
      <c r="F44" s="4">
        <f>IF(INPUT_CAD!F44="","",INPUT_CAD!F44)</f>
        <v>0</v>
      </c>
      <c r="G44" s="4">
        <f>IF(INPUT_CAD!G44="","",INPUT_CAD!G44)</f>
        <v>-0.67198751698808701</v>
      </c>
      <c r="I44" s="4">
        <f t="shared" si="9"/>
        <v>0.98860127998191472</v>
      </c>
      <c r="J44" s="4">
        <f t="shared" si="10"/>
        <v>0.99999999999999922</v>
      </c>
      <c r="K44" s="4">
        <f t="shared" si="11"/>
        <v>8.6592259422634434</v>
      </c>
      <c r="L44" s="4">
        <f>IFERROR(VLOOKUP(ROUND(K44,0),correction_tag!$A$7:$C$253,3),"x")</f>
        <v>10</v>
      </c>
      <c r="N44" s="4">
        <f t="shared" si="3"/>
        <v>1</v>
      </c>
      <c r="O44" s="4">
        <f>IF(N43=0,O43+INPUT_CAD!$B$4,INPUT_CAD!$B$4)</f>
        <v>2</v>
      </c>
      <c r="Q44" s="4">
        <f t="shared" si="4"/>
        <v>0</v>
      </c>
      <c r="R44" s="4">
        <f t="shared" si="5"/>
        <v>0.15055732867621174</v>
      </c>
      <c r="S44" s="4">
        <f t="shared" si="6"/>
        <v>0</v>
      </c>
      <c r="T44" s="4">
        <f>IFERROR(Q44*Setup!$C$26+R44*Setup!$D$26+S44*Setup!$E$26,"")</f>
        <v>0</v>
      </c>
      <c r="U44" s="4">
        <f t="shared" si="8"/>
        <v>0.15055732867621174</v>
      </c>
      <c r="V44" s="4">
        <f t="shared" si="7"/>
        <v>90</v>
      </c>
    </row>
    <row r="45" spans="1:22" x14ac:dyDescent="0.25">
      <c r="A45" s="4">
        <f>IF(INPUT_CAD!A45="","",INPUT_CAD!A45)</f>
        <v>35</v>
      </c>
      <c r="B45" s="4">
        <f>IF(INPUT_CAD!B45="","",INPUT_CAD!B45)</f>
        <v>4.4464777244939802</v>
      </c>
      <c r="C45" s="4">
        <f>IF(INPUT_CAD!C45="","",INPUT_CAD!C45)</f>
        <v>0</v>
      </c>
      <c r="D45" s="4">
        <f>IF(INPUT_CAD!D45="","",INPUT_CAD!D45)</f>
        <v>-3.30205905004446</v>
      </c>
      <c r="E45" s="4">
        <f>IF(INPUT_CAD!E45="","",INPUT_CAD!E45)</f>
        <v>-0.83329365457387605</v>
      </c>
      <c r="F45" s="4">
        <f>IF(INPUT_CAD!F45="","",INPUT_CAD!F45)</f>
        <v>0</v>
      </c>
      <c r="G45" s="4">
        <f>IF(INPUT_CAD!G45="","",INPUT_CAD!G45)</f>
        <v>-0.552830611712949</v>
      </c>
      <c r="I45" s="4">
        <f t="shared" si="9"/>
        <v>0.98860127998191538</v>
      </c>
      <c r="J45" s="4">
        <f t="shared" si="10"/>
        <v>0.99999999999999989</v>
      </c>
      <c r="K45" s="4">
        <f t="shared" si="11"/>
        <v>8.6592259422634434</v>
      </c>
      <c r="L45" s="4">
        <f>IFERROR(VLOOKUP(ROUND(K45,0),correction_tag!$A$7:$C$253,3),"x")</f>
        <v>10</v>
      </c>
      <c r="N45" s="4">
        <f t="shared" si="3"/>
        <v>1</v>
      </c>
      <c r="O45" s="4">
        <f>IF(N44=0,O44+INPUT_CAD!$B$4,INPUT_CAD!$B$4)</f>
        <v>2</v>
      </c>
      <c r="Q45" s="4">
        <f t="shared" si="4"/>
        <v>0</v>
      </c>
      <c r="R45" s="4">
        <f t="shared" si="5"/>
        <v>0.15055732867621102</v>
      </c>
      <c r="S45" s="4">
        <f t="shared" si="6"/>
        <v>0</v>
      </c>
      <c r="T45" s="4">
        <f>IFERROR(Q45*Setup!$C$26+R45*Setup!$D$26+S45*Setup!$E$26,"")</f>
        <v>0</v>
      </c>
      <c r="U45" s="4">
        <f t="shared" si="8"/>
        <v>0.15055732867621102</v>
      </c>
      <c r="V45" s="4">
        <f t="shared" si="7"/>
        <v>90</v>
      </c>
    </row>
    <row r="46" spans="1:22" hidden="1" x14ac:dyDescent="0.25">
      <c r="A46" s="4">
        <f>IF(INPUT_CAD!A46="","",INPUT_CAD!A46)</f>
        <v>36</v>
      </c>
      <c r="B46" s="4">
        <f>IF(INPUT_CAD!B46="","",INPUT_CAD!B46)</f>
        <v>4.2628020223243004</v>
      </c>
      <c r="C46" s="4">
        <f>IF(INPUT_CAD!C46="","",INPUT_CAD!C46)</f>
        <v>0</v>
      </c>
      <c r="D46" s="4">
        <f>IF(INPUT_CAD!D46="","",INPUT_CAD!D46)</f>
        <v>-3.4087492948422402</v>
      </c>
      <c r="E46" s="4">
        <f>IF(INPUT_CAD!E46="","",INPUT_CAD!E46)</f>
        <v>-0.83205029433784405</v>
      </c>
      <c r="F46" s="4">
        <f>IF(INPUT_CAD!F46="","",INPUT_CAD!F46)</f>
        <v>0</v>
      </c>
      <c r="G46" s="4">
        <f>IF(INPUT_CAD!G46="","",INPUT_CAD!G46)</f>
        <v>-0.55470019622522804</v>
      </c>
      <c r="I46" s="4">
        <f t="shared" si="9"/>
        <v>0.99999747935453698</v>
      </c>
      <c r="J46" s="4">
        <f t="shared" si="10"/>
        <v>0.99999999999999978</v>
      </c>
      <c r="K46" s="4">
        <f t="shared" si="11"/>
        <v>0.12864520517570263</v>
      </c>
      <c r="L46" s="4">
        <f>IFERROR(VLOOKUP(ROUND(K46,0),correction_tag!$A$7:$C$253,3),"x")</f>
        <v>0</v>
      </c>
      <c r="N46" s="4">
        <f t="shared" si="3"/>
        <v>1</v>
      </c>
      <c r="O46" s="4">
        <f>IF(N45=0,O45+INPUT_CAD!$B$4,INPUT_CAD!$B$4)</f>
        <v>2</v>
      </c>
      <c r="Q46" s="4">
        <f t="shared" si="4"/>
        <v>0</v>
      </c>
      <c r="R46" s="4">
        <f t="shared" si="5"/>
        <v>-2.2452805106368823E-3</v>
      </c>
      <c r="S46" s="4">
        <f t="shared" si="6"/>
        <v>0</v>
      </c>
      <c r="T46" s="4">
        <f>IFERROR(Q46*Setup!$C$26+R46*Setup!$D$26+S46*Setup!$E$26,"")</f>
        <v>0</v>
      </c>
      <c r="U46" s="4">
        <f t="shared" si="8"/>
        <v>2.2452805106368823E-3</v>
      </c>
      <c r="V46" s="4">
        <f t="shared" si="7"/>
        <v>90</v>
      </c>
    </row>
    <row r="47" spans="1:22" hidden="1" x14ac:dyDescent="0.25">
      <c r="A47" s="4">
        <f>IF(INPUT_CAD!A47="","",INPUT_CAD!A47)</f>
        <v>37</v>
      </c>
      <c r="B47" s="4">
        <f>IF(INPUT_CAD!B47="","",INPUT_CAD!B47)</f>
        <v>4.08590277981253</v>
      </c>
      <c r="C47" s="4">
        <f>IF(INPUT_CAD!C47="","",INPUT_CAD!C47)</f>
        <v>0</v>
      </c>
      <c r="D47" s="4">
        <f>IF(INPUT_CAD!D47="","",INPUT_CAD!D47)</f>
        <v>-3.52668212318342</v>
      </c>
      <c r="E47" s="4">
        <f>IF(INPUT_CAD!E47="","",INPUT_CAD!E47)</f>
        <v>-0.83205029433784405</v>
      </c>
      <c r="F47" s="4">
        <f>IF(INPUT_CAD!F47="","",INPUT_CAD!F47)</f>
        <v>0</v>
      </c>
      <c r="G47" s="4">
        <f>IF(INPUT_CAD!G47="","",INPUT_CAD!G47)</f>
        <v>-0.55470019622522804</v>
      </c>
      <c r="I47" s="4">
        <f t="shared" si="9"/>
        <v>0.99999999999999944</v>
      </c>
      <c r="J47" s="4">
        <f t="shared" si="10"/>
        <v>0.99999999999999978</v>
      </c>
      <c r="K47" s="4">
        <f t="shared" si="11"/>
        <v>8.5377364625159387E-7</v>
      </c>
      <c r="L47" s="4">
        <f>IFERROR(VLOOKUP(ROUND(K47,0),correction_tag!$A$7:$C$253,3),"x")</f>
        <v>0</v>
      </c>
      <c r="N47" s="4">
        <f t="shared" si="3"/>
        <v>1</v>
      </c>
      <c r="O47" s="4">
        <f>IF(N46=0,O46+INPUT_CAD!$B$4,INPUT_CAD!$B$4)</f>
        <v>2</v>
      </c>
      <c r="Q47" s="4">
        <f t="shared" si="4"/>
        <v>0</v>
      </c>
      <c r="R47" s="4">
        <f t="shared" si="5"/>
        <v>0</v>
      </c>
      <c r="S47" s="4">
        <f t="shared" si="6"/>
        <v>0</v>
      </c>
      <c r="T47" s="4">
        <f>IFERROR(Q47*Setup!$C$26+R47*Setup!$D$26+S47*Setup!$E$26,"")</f>
        <v>0</v>
      </c>
      <c r="U47" s="4">
        <f t="shared" si="8"/>
        <v>0</v>
      </c>
      <c r="V47" s="4">
        <f t="shared" si="7"/>
        <v>90</v>
      </c>
    </row>
    <row r="48" spans="1:22" hidden="1" x14ac:dyDescent="0.25">
      <c r="A48" s="4">
        <f>IF(INPUT_CAD!A48="","",INPUT_CAD!A48)</f>
        <v>38</v>
      </c>
      <c r="B48" s="4">
        <f>IF(INPUT_CAD!B48="","",INPUT_CAD!B48)</f>
        <v>3.9090035373007499</v>
      </c>
      <c r="C48" s="4">
        <f>IF(INPUT_CAD!C48="","",INPUT_CAD!C48)</f>
        <v>0</v>
      </c>
      <c r="D48" s="4">
        <f>IF(INPUT_CAD!D48="","",INPUT_CAD!D48)</f>
        <v>-3.64461495152461</v>
      </c>
      <c r="E48" s="4">
        <f>IF(INPUT_CAD!E48="","",INPUT_CAD!E48)</f>
        <v>-0.83205029433784405</v>
      </c>
      <c r="F48" s="4">
        <f>IF(INPUT_CAD!F48="","",INPUT_CAD!F48)</f>
        <v>0</v>
      </c>
      <c r="G48" s="4">
        <f>IF(INPUT_CAD!G48="","",INPUT_CAD!G48)</f>
        <v>-0.55470019622522804</v>
      </c>
      <c r="I48" s="4">
        <f t="shared" si="9"/>
        <v>0.99999999999999944</v>
      </c>
      <c r="J48" s="4">
        <f t="shared" si="10"/>
        <v>0.99999999999999978</v>
      </c>
      <c r="K48" s="4">
        <f t="shared" si="11"/>
        <v>8.5377364625159387E-7</v>
      </c>
      <c r="L48" s="4">
        <f>IFERROR(VLOOKUP(ROUND(K48,0),correction_tag!$A$7:$C$253,3),"x")</f>
        <v>0</v>
      </c>
      <c r="N48" s="4">
        <f t="shared" si="3"/>
        <v>1</v>
      </c>
      <c r="O48" s="4">
        <f>IF(N47=0,O47+INPUT_CAD!$B$4,INPUT_CAD!$B$4)</f>
        <v>2</v>
      </c>
      <c r="Q48" s="4">
        <f t="shared" si="4"/>
        <v>0</v>
      </c>
      <c r="R48" s="4">
        <f t="shared" si="5"/>
        <v>0</v>
      </c>
      <c r="S48" s="4">
        <f t="shared" si="6"/>
        <v>0</v>
      </c>
      <c r="T48" s="4">
        <f>IFERROR(Q48*Setup!$C$26+R48*Setup!$D$26+S48*Setup!$E$26,"")</f>
        <v>0</v>
      </c>
      <c r="U48" s="4">
        <f t="shared" si="8"/>
        <v>0</v>
      </c>
      <c r="V48" s="4">
        <f t="shared" si="7"/>
        <v>90</v>
      </c>
    </row>
    <row r="49" spans="1:22" hidden="1" x14ac:dyDescent="0.25">
      <c r="A49" s="4">
        <f>IF(INPUT_CAD!A49="","",INPUT_CAD!A49)</f>
        <v>39</v>
      </c>
      <c r="B49" s="4">
        <f>IF(INPUT_CAD!B49="","",INPUT_CAD!B49)</f>
        <v>3.73210429478898</v>
      </c>
      <c r="C49" s="4">
        <f>IF(INPUT_CAD!C49="","",INPUT_CAD!C49)</f>
        <v>0</v>
      </c>
      <c r="D49" s="4">
        <f>IF(INPUT_CAD!D49="","",INPUT_CAD!D49)</f>
        <v>-3.7625477798657898</v>
      </c>
      <c r="E49" s="4">
        <f>IF(INPUT_CAD!E49="","",INPUT_CAD!E49)</f>
        <v>-0.83205029433784405</v>
      </c>
      <c r="F49" s="4">
        <f>IF(INPUT_CAD!F49="","",INPUT_CAD!F49)</f>
        <v>0</v>
      </c>
      <c r="G49" s="4">
        <f>IF(INPUT_CAD!G49="","",INPUT_CAD!G49)</f>
        <v>-0.55470019622522804</v>
      </c>
      <c r="I49" s="4">
        <f t="shared" si="9"/>
        <v>0.99999999999999944</v>
      </c>
      <c r="J49" s="4">
        <f t="shared" si="10"/>
        <v>0.99999999999999978</v>
      </c>
      <c r="K49" s="4">
        <f t="shared" si="11"/>
        <v>8.5377364625159387E-7</v>
      </c>
      <c r="L49" s="4">
        <f>IFERROR(VLOOKUP(ROUND(K49,0),correction_tag!$A$7:$C$253,3),"x")</f>
        <v>0</v>
      </c>
      <c r="N49" s="4">
        <f t="shared" si="3"/>
        <v>1</v>
      </c>
      <c r="O49" s="4">
        <f>IF(N48=0,O48+INPUT_CAD!$B$4,INPUT_CAD!$B$4)</f>
        <v>2</v>
      </c>
      <c r="Q49" s="4">
        <f t="shared" si="4"/>
        <v>0</v>
      </c>
      <c r="R49" s="4">
        <f t="shared" si="5"/>
        <v>0</v>
      </c>
      <c r="S49" s="4">
        <f t="shared" si="6"/>
        <v>0</v>
      </c>
      <c r="T49" s="4">
        <f>IFERROR(Q49*Setup!$C$26+R49*Setup!$D$26+S49*Setup!$E$26,"")</f>
        <v>0</v>
      </c>
      <c r="U49" s="4">
        <f t="shared" si="8"/>
        <v>0</v>
      </c>
      <c r="V49" s="4">
        <f t="shared" si="7"/>
        <v>90</v>
      </c>
    </row>
    <row r="50" spans="1:22" hidden="1" x14ac:dyDescent="0.25">
      <c r="A50" s="4">
        <f>IF(INPUT_CAD!A50="","",INPUT_CAD!A50)</f>
        <v>40</v>
      </c>
      <c r="B50" s="4">
        <f>IF(INPUT_CAD!B50="","",INPUT_CAD!B50)</f>
        <v>3.5552050522771999</v>
      </c>
      <c r="C50" s="4">
        <f>IF(INPUT_CAD!C50="","",INPUT_CAD!C50)</f>
        <v>0</v>
      </c>
      <c r="D50" s="4">
        <f>IF(INPUT_CAD!D50="","",INPUT_CAD!D50)</f>
        <v>-3.8804806082069701</v>
      </c>
      <c r="E50" s="4">
        <f>IF(INPUT_CAD!E50="","",INPUT_CAD!E50)</f>
        <v>-0.83205029433784405</v>
      </c>
      <c r="F50" s="4">
        <f>IF(INPUT_CAD!F50="","",INPUT_CAD!F50)</f>
        <v>0</v>
      </c>
      <c r="G50" s="4">
        <f>IF(INPUT_CAD!G50="","",INPUT_CAD!G50)</f>
        <v>-0.55470019622522804</v>
      </c>
      <c r="I50" s="4">
        <f t="shared" si="9"/>
        <v>0.99999999999999944</v>
      </c>
      <c r="J50" s="4">
        <f t="shared" si="10"/>
        <v>0.99999999999999978</v>
      </c>
      <c r="K50" s="4">
        <f t="shared" si="11"/>
        <v>8.5377364625159387E-7</v>
      </c>
      <c r="L50" s="4">
        <f>IFERROR(VLOOKUP(ROUND(K50,0),correction_tag!$A$7:$C$253,3),"x")</f>
        <v>0</v>
      </c>
      <c r="N50" s="4">
        <f t="shared" si="3"/>
        <v>1</v>
      </c>
      <c r="O50" s="4">
        <f>IF(N49=0,O49+INPUT_CAD!$B$4,INPUT_CAD!$B$4)</f>
        <v>2</v>
      </c>
      <c r="Q50" s="4">
        <f t="shared" si="4"/>
        <v>0</v>
      </c>
      <c r="R50" s="4">
        <f t="shared" si="5"/>
        <v>0</v>
      </c>
      <c r="S50" s="4">
        <f t="shared" si="6"/>
        <v>0</v>
      </c>
      <c r="T50" s="4">
        <f>IFERROR(Q50*Setup!$C$26+R50*Setup!$D$26+S50*Setup!$E$26,"")</f>
        <v>0</v>
      </c>
      <c r="U50" s="4">
        <f t="shared" si="8"/>
        <v>0</v>
      </c>
      <c r="V50" s="4">
        <f t="shared" si="7"/>
        <v>90</v>
      </c>
    </row>
    <row r="51" spans="1:22" hidden="1" x14ac:dyDescent="0.25">
      <c r="A51" s="4">
        <f>IF(INPUT_CAD!A51="","",INPUT_CAD!A51)</f>
        <v>41</v>
      </c>
      <c r="B51" s="4">
        <f>IF(INPUT_CAD!B51="","",INPUT_CAD!B51)</f>
        <v>3.3783058097654299</v>
      </c>
      <c r="C51" s="4">
        <f>IF(INPUT_CAD!C51="","",INPUT_CAD!C51)</f>
        <v>0</v>
      </c>
      <c r="D51" s="4">
        <f>IF(INPUT_CAD!D51="","",INPUT_CAD!D51)</f>
        <v>-3.9984134365481498</v>
      </c>
      <c r="E51" s="4">
        <f>IF(INPUT_CAD!E51="","",INPUT_CAD!E51)</f>
        <v>-0.83205029433784405</v>
      </c>
      <c r="F51" s="4">
        <f>IF(INPUT_CAD!F51="","",INPUT_CAD!F51)</f>
        <v>0</v>
      </c>
      <c r="G51" s="4">
        <f>IF(INPUT_CAD!G51="","",INPUT_CAD!G51)</f>
        <v>-0.55470019622522804</v>
      </c>
      <c r="I51" s="4">
        <f t="shared" si="9"/>
        <v>0.99999999999999944</v>
      </c>
      <c r="J51" s="4">
        <f t="shared" si="10"/>
        <v>0.99999999999999978</v>
      </c>
      <c r="K51" s="4">
        <f t="shared" si="11"/>
        <v>8.5377364625159387E-7</v>
      </c>
      <c r="L51" s="4">
        <f>IFERROR(VLOOKUP(ROUND(K51,0),correction_tag!$A$7:$C$253,3),"x")</f>
        <v>0</v>
      </c>
      <c r="N51" s="4">
        <f t="shared" si="3"/>
        <v>1</v>
      </c>
      <c r="O51" s="4">
        <f>IF(N50=0,O50+INPUT_CAD!$B$4,INPUT_CAD!$B$4)</f>
        <v>2</v>
      </c>
      <c r="Q51" s="4">
        <f t="shared" si="4"/>
        <v>0</v>
      </c>
      <c r="R51" s="4">
        <f t="shared" si="5"/>
        <v>0</v>
      </c>
      <c r="S51" s="4">
        <f t="shared" si="6"/>
        <v>0</v>
      </c>
      <c r="T51" s="4">
        <f>IFERROR(Q51*Setup!$C$26+R51*Setup!$D$26+S51*Setup!$E$26,"")</f>
        <v>0</v>
      </c>
      <c r="U51" s="4">
        <f t="shared" si="8"/>
        <v>0</v>
      </c>
      <c r="V51" s="4">
        <f t="shared" si="7"/>
        <v>90</v>
      </c>
    </row>
    <row r="52" spans="1:22" hidden="1" x14ac:dyDescent="0.25">
      <c r="A52" s="4">
        <f>IF(INPUT_CAD!A52="","",INPUT_CAD!A52)</f>
        <v>42</v>
      </c>
      <c r="B52" s="4">
        <f>IF(INPUT_CAD!B52="","",INPUT_CAD!B52)</f>
        <v>3.20140656725366</v>
      </c>
      <c r="C52" s="4">
        <f>IF(INPUT_CAD!C52="","",INPUT_CAD!C52)</f>
        <v>0</v>
      </c>
      <c r="D52" s="4">
        <f>IF(INPUT_CAD!D52="","",INPUT_CAD!D52)</f>
        <v>-4.1163462648893399</v>
      </c>
      <c r="E52" s="4">
        <f>IF(INPUT_CAD!E52="","",INPUT_CAD!E52)</f>
        <v>-0.83205029433784405</v>
      </c>
      <c r="F52" s="4">
        <f>IF(INPUT_CAD!F52="","",INPUT_CAD!F52)</f>
        <v>0</v>
      </c>
      <c r="G52" s="4">
        <f>IF(INPUT_CAD!G52="","",INPUT_CAD!G52)</f>
        <v>-0.55470019622522804</v>
      </c>
      <c r="I52" s="4">
        <f t="shared" si="9"/>
        <v>0.99999999999999944</v>
      </c>
      <c r="J52" s="4">
        <f t="shared" si="10"/>
        <v>0.99999999999999978</v>
      </c>
      <c r="K52" s="4">
        <f t="shared" si="11"/>
        <v>8.5377364625159387E-7</v>
      </c>
      <c r="L52" s="4">
        <f>IFERROR(VLOOKUP(ROUND(K52,0),correction_tag!$A$7:$C$253,3),"x")</f>
        <v>0</v>
      </c>
      <c r="N52" s="4">
        <f t="shared" si="3"/>
        <v>1</v>
      </c>
      <c r="O52" s="4">
        <f>IF(N51=0,O51+INPUT_CAD!$B$4,INPUT_CAD!$B$4)</f>
        <v>2</v>
      </c>
      <c r="Q52" s="4">
        <f t="shared" si="4"/>
        <v>0</v>
      </c>
      <c r="R52" s="4">
        <f t="shared" si="5"/>
        <v>0</v>
      </c>
      <c r="S52" s="4">
        <f t="shared" si="6"/>
        <v>0</v>
      </c>
      <c r="T52" s="4">
        <f>IFERROR(Q52*Setup!$C$26+R52*Setup!$D$26+S52*Setup!$E$26,"")</f>
        <v>0</v>
      </c>
      <c r="U52" s="4">
        <f t="shared" si="8"/>
        <v>0</v>
      </c>
      <c r="V52" s="4">
        <f t="shared" si="7"/>
        <v>90</v>
      </c>
    </row>
    <row r="53" spans="1:22" hidden="1" x14ac:dyDescent="0.25">
      <c r="A53" s="4">
        <f>IF(INPUT_CAD!A53="","",INPUT_CAD!A53)</f>
        <v>43</v>
      </c>
      <c r="B53" s="4">
        <f>IF(INPUT_CAD!B53="","",INPUT_CAD!B53)</f>
        <v>3.0245073247418799</v>
      </c>
      <c r="C53" s="4">
        <f>IF(INPUT_CAD!C53="","",INPUT_CAD!C53)</f>
        <v>0</v>
      </c>
      <c r="D53" s="4">
        <f>IF(INPUT_CAD!D53="","",INPUT_CAD!D53)</f>
        <v>-4.2342790932305201</v>
      </c>
      <c r="E53" s="4">
        <f>IF(INPUT_CAD!E53="","",INPUT_CAD!E53)</f>
        <v>-0.83205029433784405</v>
      </c>
      <c r="F53" s="4">
        <f>IF(INPUT_CAD!F53="","",INPUT_CAD!F53)</f>
        <v>0</v>
      </c>
      <c r="G53" s="4">
        <f>IF(INPUT_CAD!G53="","",INPUT_CAD!G53)</f>
        <v>-0.55470019622522804</v>
      </c>
      <c r="I53" s="4">
        <f t="shared" si="9"/>
        <v>0.99999999999999944</v>
      </c>
      <c r="J53" s="4">
        <f t="shared" si="10"/>
        <v>0.99999999999999978</v>
      </c>
      <c r="K53" s="4">
        <f t="shared" si="11"/>
        <v>8.5377364625159387E-7</v>
      </c>
      <c r="L53" s="4">
        <f>IFERROR(VLOOKUP(ROUND(K53,0),correction_tag!$A$7:$C$253,3),"x")</f>
        <v>0</v>
      </c>
      <c r="N53" s="4">
        <f t="shared" si="3"/>
        <v>1</v>
      </c>
      <c r="O53" s="4">
        <f>IF(N52=0,O52+INPUT_CAD!$B$4,INPUT_CAD!$B$4)</f>
        <v>2</v>
      </c>
      <c r="Q53" s="4">
        <f t="shared" si="4"/>
        <v>0</v>
      </c>
      <c r="R53" s="4">
        <f t="shared" si="5"/>
        <v>0</v>
      </c>
      <c r="S53" s="4">
        <f t="shared" si="6"/>
        <v>0</v>
      </c>
      <c r="T53" s="4">
        <f>IFERROR(Q53*Setup!$C$26+R53*Setup!$D$26+S53*Setup!$E$26,"")</f>
        <v>0</v>
      </c>
      <c r="U53" s="4">
        <f t="shared" si="8"/>
        <v>0</v>
      </c>
      <c r="V53" s="4">
        <f t="shared" si="7"/>
        <v>90</v>
      </c>
    </row>
    <row r="54" spans="1:22" hidden="1" x14ac:dyDescent="0.25">
      <c r="A54" s="4">
        <f>IF(INPUT_CAD!A54="","",INPUT_CAD!A54)</f>
        <v>44</v>
      </c>
      <c r="B54" s="4">
        <f>IF(INPUT_CAD!B54="","",INPUT_CAD!B54)</f>
        <v>2.84760808223011</v>
      </c>
      <c r="C54" s="4">
        <f>IF(INPUT_CAD!C54="","",INPUT_CAD!C54)</f>
        <v>0</v>
      </c>
      <c r="D54" s="4">
        <f>IF(INPUT_CAD!D54="","",INPUT_CAD!D54)</f>
        <v>-4.3522119215717003</v>
      </c>
      <c r="E54" s="4">
        <f>IF(INPUT_CAD!E54="","",INPUT_CAD!E54)</f>
        <v>-0.83205029433784405</v>
      </c>
      <c r="F54" s="4">
        <f>IF(INPUT_CAD!F54="","",INPUT_CAD!F54)</f>
        <v>0</v>
      </c>
      <c r="G54" s="4">
        <f>IF(INPUT_CAD!G54="","",INPUT_CAD!G54)</f>
        <v>-0.55470019622522804</v>
      </c>
      <c r="I54" s="4">
        <f t="shared" si="9"/>
        <v>0.99999999999999944</v>
      </c>
      <c r="J54" s="4">
        <f t="shared" si="10"/>
        <v>0.99999999999999978</v>
      </c>
      <c r="K54" s="4">
        <f t="shared" si="11"/>
        <v>8.5377364625159387E-7</v>
      </c>
      <c r="L54" s="4">
        <f>IFERROR(VLOOKUP(ROUND(K54,0),correction_tag!$A$7:$C$253,3),"x")</f>
        <v>0</v>
      </c>
      <c r="N54" s="4">
        <f t="shared" si="3"/>
        <v>1</v>
      </c>
      <c r="O54" s="4">
        <f>IF(N53=0,O53+INPUT_CAD!$B$4,INPUT_CAD!$B$4)</f>
        <v>2</v>
      </c>
      <c r="Q54" s="4">
        <f t="shared" si="4"/>
        <v>0</v>
      </c>
      <c r="R54" s="4">
        <f t="shared" si="5"/>
        <v>0</v>
      </c>
      <c r="S54" s="4">
        <f t="shared" si="6"/>
        <v>0</v>
      </c>
      <c r="T54" s="4">
        <f>IFERROR(Q54*Setup!$C$26+R54*Setup!$D$26+S54*Setup!$E$26,"")</f>
        <v>0</v>
      </c>
      <c r="U54" s="4">
        <f t="shared" si="8"/>
        <v>0</v>
      </c>
      <c r="V54" s="4">
        <f t="shared" si="7"/>
        <v>90</v>
      </c>
    </row>
    <row r="55" spans="1:22" hidden="1" x14ac:dyDescent="0.25">
      <c r="A55" s="4">
        <f>IF(INPUT_CAD!A55="","",INPUT_CAD!A55)</f>
        <v>45</v>
      </c>
      <c r="B55" s="4">
        <f>IF(INPUT_CAD!B55="","",INPUT_CAD!B55)</f>
        <v>2.6707088397183298</v>
      </c>
      <c r="C55" s="4">
        <f>IF(INPUT_CAD!C55="","",INPUT_CAD!C55)</f>
        <v>0</v>
      </c>
      <c r="D55" s="4">
        <f>IF(INPUT_CAD!D55="","",INPUT_CAD!D55)</f>
        <v>-4.4701447499128797</v>
      </c>
      <c r="E55" s="4">
        <f>IF(INPUT_CAD!E55="","",INPUT_CAD!E55)</f>
        <v>-0.83205029433784405</v>
      </c>
      <c r="F55" s="4">
        <f>IF(INPUT_CAD!F55="","",INPUT_CAD!F55)</f>
        <v>0</v>
      </c>
      <c r="G55" s="4">
        <f>IF(INPUT_CAD!G55="","",INPUT_CAD!G55)</f>
        <v>-0.55470019622522804</v>
      </c>
      <c r="I55" s="4">
        <f t="shared" si="9"/>
        <v>0.99999999999999944</v>
      </c>
      <c r="J55" s="4">
        <f t="shared" si="10"/>
        <v>0.99999999999999978</v>
      </c>
      <c r="K55" s="4">
        <f t="shared" si="11"/>
        <v>8.5377364625159387E-7</v>
      </c>
      <c r="L55" s="4">
        <f>IFERROR(VLOOKUP(ROUND(K55,0),correction_tag!$A$7:$C$253,3),"x")</f>
        <v>0</v>
      </c>
      <c r="N55" s="4">
        <f t="shared" si="3"/>
        <v>1</v>
      </c>
      <c r="O55" s="4">
        <f>IF(N54=0,O54+INPUT_CAD!$B$4,INPUT_CAD!$B$4)</f>
        <v>2</v>
      </c>
      <c r="Q55" s="4">
        <f t="shared" si="4"/>
        <v>0</v>
      </c>
      <c r="R55" s="4">
        <f t="shared" si="5"/>
        <v>0</v>
      </c>
      <c r="S55" s="4">
        <f t="shared" si="6"/>
        <v>0</v>
      </c>
      <c r="T55" s="4">
        <f>IFERROR(Q55*Setup!$C$26+R55*Setup!$D$26+S55*Setup!$E$26,"")</f>
        <v>0</v>
      </c>
      <c r="U55" s="4">
        <f t="shared" si="8"/>
        <v>0</v>
      </c>
      <c r="V55" s="4">
        <f t="shared" si="7"/>
        <v>90</v>
      </c>
    </row>
    <row r="56" spans="1:22" hidden="1" x14ac:dyDescent="0.25">
      <c r="A56" s="4">
        <f>IF(INPUT_CAD!A56="","",INPUT_CAD!A56)</f>
        <v>46</v>
      </c>
      <c r="B56" s="4">
        <f>IF(INPUT_CAD!B56="","",INPUT_CAD!B56)</f>
        <v>2.4938095972065599</v>
      </c>
      <c r="C56" s="4">
        <f>IF(INPUT_CAD!C56="","",INPUT_CAD!C56)</f>
        <v>0</v>
      </c>
      <c r="D56" s="4">
        <f>IF(INPUT_CAD!D56="","",INPUT_CAD!D56)</f>
        <v>-4.5880775782540697</v>
      </c>
      <c r="E56" s="4">
        <f>IF(INPUT_CAD!E56="","",INPUT_CAD!E56)</f>
        <v>-0.83205029433784405</v>
      </c>
      <c r="F56" s="4">
        <f>IF(INPUT_CAD!F56="","",INPUT_CAD!F56)</f>
        <v>0</v>
      </c>
      <c r="G56" s="4">
        <f>IF(INPUT_CAD!G56="","",INPUT_CAD!G56)</f>
        <v>-0.55470019622522804</v>
      </c>
      <c r="I56" s="4">
        <f t="shared" si="9"/>
        <v>0.99999999999999944</v>
      </c>
      <c r="J56" s="4">
        <f t="shared" si="10"/>
        <v>0.99999999999999978</v>
      </c>
      <c r="K56" s="4">
        <f t="shared" si="11"/>
        <v>8.5377364625159387E-7</v>
      </c>
      <c r="L56" s="4">
        <f>IFERROR(VLOOKUP(ROUND(K56,0),correction_tag!$A$7:$C$253,3),"x")</f>
        <v>0</v>
      </c>
      <c r="N56" s="4">
        <f t="shared" si="3"/>
        <v>1</v>
      </c>
      <c r="O56" s="4">
        <f>IF(N55=0,O55+INPUT_CAD!$B$4,INPUT_CAD!$B$4)</f>
        <v>2</v>
      </c>
      <c r="Q56" s="4">
        <f t="shared" si="4"/>
        <v>0</v>
      </c>
      <c r="R56" s="4">
        <f t="shared" si="5"/>
        <v>0</v>
      </c>
      <c r="S56" s="4">
        <f t="shared" si="6"/>
        <v>0</v>
      </c>
      <c r="T56" s="4">
        <f>IFERROR(Q56*Setup!$C$26+R56*Setup!$D$26+S56*Setup!$E$26,"")</f>
        <v>0</v>
      </c>
      <c r="U56" s="4">
        <f t="shared" si="8"/>
        <v>0</v>
      </c>
      <c r="V56" s="4">
        <f t="shared" si="7"/>
        <v>90</v>
      </c>
    </row>
    <row r="57" spans="1:22" hidden="1" x14ac:dyDescent="0.25">
      <c r="A57" s="4">
        <f>IF(INPUT_CAD!A57="","",INPUT_CAD!A57)</f>
        <v>47</v>
      </c>
      <c r="B57" s="4">
        <f>IF(INPUT_CAD!B57="","",INPUT_CAD!B57)</f>
        <v>2.31691035469479</v>
      </c>
      <c r="C57" s="4">
        <f>IF(INPUT_CAD!C57="","",INPUT_CAD!C57)</f>
        <v>0</v>
      </c>
      <c r="D57" s="4">
        <f>IF(INPUT_CAD!D57="","",INPUT_CAD!D57)</f>
        <v>-4.7060104065952499</v>
      </c>
      <c r="E57" s="4">
        <f>IF(INPUT_CAD!E57="","",INPUT_CAD!E57)</f>
        <v>-0.83205029433784405</v>
      </c>
      <c r="F57" s="4">
        <f>IF(INPUT_CAD!F57="","",INPUT_CAD!F57)</f>
        <v>0</v>
      </c>
      <c r="G57" s="4">
        <f>IF(INPUT_CAD!G57="","",INPUT_CAD!G57)</f>
        <v>-0.55470019622522804</v>
      </c>
      <c r="I57" s="4">
        <f t="shared" si="9"/>
        <v>0.99999999999999944</v>
      </c>
      <c r="J57" s="4">
        <f t="shared" si="10"/>
        <v>0.99999999999999978</v>
      </c>
      <c r="K57" s="4">
        <f t="shared" si="11"/>
        <v>8.5377364625159387E-7</v>
      </c>
      <c r="L57" s="4">
        <f>IFERROR(VLOOKUP(ROUND(K57,0),correction_tag!$A$7:$C$253,3),"x")</f>
        <v>0</v>
      </c>
      <c r="N57" s="4">
        <f t="shared" si="3"/>
        <v>1</v>
      </c>
      <c r="O57" s="4">
        <f>IF(N56=0,O56+INPUT_CAD!$B$4,INPUT_CAD!$B$4)</f>
        <v>2</v>
      </c>
      <c r="Q57" s="4">
        <f t="shared" si="4"/>
        <v>0</v>
      </c>
      <c r="R57" s="4">
        <f t="shared" si="5"/>
        <v>0</v>
      </c>
      <c r="S57" s="4">
        <f t="shared" si="6"/>
        <v>0</v>
      </c>
      <c r="T57" s="4">
        <f>IFERROR(Q57*Setup!$C$26+R57*Setup!$D$26+S57*Setup!$E$26,"")</f>
        <v>0</v>
      </c>
      <c r="U57" s="4">
        <f t="shared" si="8"/>
        <v>0</v>
      </c>
      <c r="V57" s="4">
        <f t="shared" si="7"/>
        <v>90</v>
      </c>
    </row>
    <row r="58" spans="1:22" hidden="1" x14ac:dyDescent="0.25">
      <c r="A58" s="4">
        <f>IF(INPUT_CAD!A58="","",INPUT_CAD!A58)</f>
        <v>48</v>
      </c>
      <c r="B58" s="4">
        <f>IF(INPUT_CAD!B58="","",INPUT_CAD!B58)</f>
        <v>2.1400111121830099</v>
      </c>
      <c r="C58" s="4">
        <f>IF(INPUT_CAD!C58="","",INPUT_CAD!C58)</f>
        <v>0</v>
      </c>
      <c r="D58" s="4">
        <f>IF(INPUT_CAD!D58="","",INPUT_CAD!D58)</f>
        <v>-4.8239432349364302</v>
      </c>
      <c r="E58" s="4">
        <f>IF(INPUT_CAD!E58="","",INPUT_CAD!E58)</f>
        <v>-0.83205029433784405</v>
      </c>
      <c r="F58" s="4">
        <f>IF(INPUT_CAD!F58="","",INPUT_CAD!F58)</f>
        <v>0</v>
      </c>
      <c r="G58" s="4">
        <f>IF(INPUT_CAD!G58="","",INPUT_CAD!G58)</f>
        <v>-0.55470019622522804</v>
      </c>
      <c r="I58" s="4">
        <f t="shared" si="9"/>
        <v>0.99999999999999944</v>
      </c>
      <c r="J58" s="4">
        <f t="shared" si="10"/>
        <v>0.99999999999999978</v>
      </c>
      <c r="K58" s="4">
        <f t="shared" si="11"/>
        <v>8.5377364625159387E-7</v>
      </c>
      <c r="L58" s="4">
        <f>IFERROR(VLOOKUP(ROUND(K58,0),correction_tag!$A$7:$C$253,3),"x")</f>
        <v>0</v>
      </c>
      <c r="N58" s="4">
        <f t="shared" si="3"/>
        <v>1</v>
      </c>
      <c r="O58" s="4">
        <f>IF(N57=0,O57+INPUT_CAD!$B$4,INPUT_CAD!$B$4)</f>
        <v>2</v>
      </c>
      <c r="Q58" s="4">
        <f t="shared" si="4"/>
        <v>0</v>
      </c>
      <c r="R58" s="4">
        <f t="shared" si="5"/>
        <v>0</v>
      </c>
      <c r="S58" s="4">
        <f t="shared" si="6"/>
        <v>0</v>
      </c>
      <c r="T58" s="4">
        <f>IFERROR(Q58*Setup!$C$26+R58*Setup!$D$26+S58*Setup!$E$26,"")</f>
        <v>0</v>
      </c>
      <c r="U58" s="4">
        <f t="shared" si="8"/>
        <v>0</v>
      </c>
      <c r="V58" s="4">
        <f t="shared" si="7"/>
        <v>90</v>
      </c>
    </row>
    <row r="59" spans="1:22" hidden="1" x14ac:dyDescent="0.25">
      <c r="A59" s="4">
        <f>IF(INPUT_CAD!A59="","",INPUT_CAD!A59)</f>
        <v>49</v>
      </c>
      <c r="B59" s="4">
        <f>IF(INPUT_CAD!B59="","",INPUT_CAD!B59)</f>
        <v>1.96311186967124</v>
      </c>
      <c r="C59" s="4">
        <f>IF(INPUT_CAD!C59="","",INPUT_CAD!C59)</f>
        <v>0</v>
      </c>
      <c r="D59" s="4">
        <f>IF(INPUT_CAD!D59="","",INPUT_CAD!D59)</f>
        <v>-4.9418760632776104</v>
      </c>
      <c r="E59" s="4">
        <f>IF(INPUT_CAD!E59="","",INPUT_CAD!E59)</f>
        <v>-0.83205029433784405</v>
      </c>
      <c r="F59" s="4">
        <f>IF(INPUT_CAD!F59="","",INPUT_CAD!F59)</f>
        <v>0</v>
      </c>
      <c r="G59" s="4">
        <f>IF(INPUT_CAD!G59="","",INPUT_CAD!G59)</f>
        <v>-0.55470019622522804</v>
      </c>
      <c r="I59" s="4">
        <f t="shared" si="9"/>
        <v>0.99999999999999944</v>
      </c>
      <c r="J59" s="4">
        <f t="shared" si="10"/>
        <v>0.99999999999999978</v>
      </c>
      <c r="K59" s="4">
        <f t="shared" si="11"/>
        <v>8.5377364625159387E-7</v>
      </c>
      <c r="L59" s="4">
        <f>IFERROR(VLOOKUP(ROUND(K59,0),correction_tag!$A$7:$C$253,3),"x")</f>
        <v>0</v>
      </c>
      <c r="N59" s="4">
        <f t="shared" si="3"/>
        <v>1</v>
      </c>
      <c r="O59" s="4">
        <f>IF(N58=0,O58+INPUT_CAD!$B$4,INPUT_CAD!$B$4)</f>
        <v>2</v>
      </c>
      <c r="Q59" s="4">
        <f t="shared" si="4"/>
        <v>0</v>
      </c>
      <c r="R59" s="4">
        <f t="shared" si="5"/>
        <v>0</v>
      </c>
      <c r="S59" s="4">
        <f t="shared" si="6"/>
        <v>0</v>
      </c>
      <c r="T59" s="4">
        <f>IFERROR(Q59*Setup!$C$26+R59*Setup!$D$26+S59*Setup!$E$26,"")</f>
        <v>0</v>
      </c>
      <c r="U59" s="4">
        <f t="shared" si="8"/>
        <v>0</v>
      </c>
      <c r="V59" s="4">
        <f t="shared" si="7"/>
        <v>90</v>
      </c>
    </row>
    <row r="60" spans="1:22" hidden="1" x14ac:dyDescent="0.25">
      <c r="A60" s="4">
        <f>IF(INPUT_CAD!A60="","",INPUT_CAD!A60)</f>
        <v>50</v>
      </c>
      <c r="B60" s="4">
        <f>IF(INPUT_CAD!B60="","",INPUT_CAD!B60)</f>
        <v>1.7862126271594601</v>
      </c>
      <c r="C60" s="4">
        <f>IF(INPUT_CAD!C60="","",INPUT_CAD!C60)</f>
        <v>0</v>
      </c>
      <c r="D60" s="4">
        <f>IF(INPUT_CAD!D60="","",INPUT_CAD!D60)</f>
        <v>-5.0598088916188004</v>
      </c>
      <c r="E60" s="4">
        <f>IF(INPUT_CAD!E60="","",INPUT_CAD!E60)</f>
        <v>-0.83205029433784405</v>
      </c>
      <c r="F60" s="4">
        <f>IF(INPUT_CAD!F60="","",INPUT_CAD!F60)</f>
        <v>0</v>
      </c>
      <c r="G60" s="4">
        <f>IF(INPUT_CAD!G60="","",INPUT_CAD!G60)</f>
        <v>-0.55470019622522804</v>
      </c>
      <c r="I60" s="4">
        <f t="shared" si="9"/>
        <v>0.99999999999999944</v>
      </c>
      <c r="J60" s="4">
        <f t="shared" si="10"/>
        <v>0.99999999999999978</v>
      </c>
      <c r="K60" s="4">
        <f t="shared" si="11"/>
        <v>8.5377364625159387E-7</v>
      </c>
      <c r="L60" s="4">
        <f>IFERROR(VLOOKUP(ROUND(K60,0),correction_tag!$A$7:$C$253,3),"x")</f>
        <v>0</v>
      </c>
      <c r="N60" s="4">
        <f t="shared" si="3"/>
        <v>1</v>
      </c>
      <c r="O60" s="4">
        <f>IF(N59=0,O59+INPUT_CAD!$B$4,INPUT_CAD!$B$4)</f>
        <v>2</v>
      </c>
      <c r="Q60" s="4">
        <f t="shared" si="4"/>
        <v>0</v>
      </c>
      <c r="R60" s="4">
        <f t="shared" si="5"/>
        <v>0</v>
      </c>
      <c r="S60" s="4">
        <f t="shared" si="6"/>
        <v>0</v>
      </c>
      <c r="T60" s="4">
        <f>IFERROR(Q60*Setup!$C$26+R60*Setup!$D$26+S60*Setup!$E$26,"")</f>
        <v>0</v>
      </c>
      <c r="U60" s="4">
        <f t="shared" si="8"/>
        <v>0</v>
      </c>
      <c r="V60" s="4">
        <f t="shared" si="7"/>
        <v>90</v>
      </c>
    </row>
    <row r="61" spans="1:22" hidden="1" x14ac:dyDescent="0.25">
      <c r="A61" s="4" t="str">
        <f>IF(INPUT_CAD!A61="","",INPUT_CAD!A61)</f>
        <v/>
      </c>
      <c r="B61" s="4" t="str">
        <f>IF(INPUT_CAD!B61="","",INPUT_CAD!B61)</f>
        <v/>
      </c>
      <c r="C61" s="4" t="str">
        <f>IF(INPUT_CAD!C61="","",INPUT_CAD!C61)</f>
        <v/>
      </c>
      <c r="D61" s="4" t="str">
        <f>IF(INPUT_CAD!D61="","",INPUT_CAD!D61)</f>
        <v/>
      </c>
      <c r="E61" s="4" t="str">
        <f>IF(INPUT_CAD!E61="","",INPUT_CAD!E61)</f>
        <v/>
      </c>
      <c r="F61" s="4" t="str">
        <f>IF(INPUT_CAD!F61="","",INPUT_CAD!F61)</f>
        <v/>
      </c>
      <c r="G61" s="4" t="str">
        <f>IF(INPUT_CAD!G61="","",INPUT_CAD!G61)</f>
        <v/>
      </c>
      <c r="I61" s="4" t="str">
        <f t="shared" si="9"/>
        <v/>
      </c>
      <c r="J61" s="4" t="str">
        <f t="shared" si="10"/>
        <v/>
      </c>
      <c r="K61" s="4" t="str">
        <f t="shared" si="11"/>
        <v/>
      </c>
      <c r="L61" s="4" t="str">
        <f>IFERROR(VLOOKUP(ROUND(K61,0),correction_tag!$A$7:$C$253,3),"x")</f>
        <v>x</v>
      </c>
      <c r="N61" s="4">
        <f t="shared" si="3"/>
        <v>1</v>
      </c>
      <c r="O61" s="4">
        <f>IF(N60=0,O60+INPUT_CAD!$B$4,INPUT_CAD!$B$4)</f>
        <v>2</v>
      </c>
      <c r="Q61" s="4" t="str">
        <f t="shared" si="4"/>
        <v/>
      </c>
      <c r="R61" s="4" t="str">
        <f t="shared" si="5"/>
        <v/>
      </c>
      <c r="S61" s="4" t="str">
        <f t="shared" si="6"/>
        <v/>
      </c>
      <c r="T61" s="4" t="str">
        <f>IFERROR(Q61*Setup!$C$26+R61*Setup!$D$26+S61*Setup!$E$26,"")</f>
        <v/>
      </c>
      <c r="U61" s="4" t="str">
        <f t="shared" si="8"/>
        <v/>
      </c>
      <c r="V61" s="4">
        <f t="shared" si="7"/>
        <v>90</v>
      </c>
    </row>
    <row r="62" spans="1:22" hidden="1" x14ac:dyDescent="0.25">
      <c r="A62" s="4" t="str">
        <f>IF(INPUT_CAD!A62="","",INPUT_CAD!A62)</f>
        <v/>
      </c>
      <c r="B62" s="4" t="str">
        <f>IF(INPUT_CAD!B62="","",INPUT_CAD!B62)</f>
        <v/>
      </c>
      <c r="C62" s="4" t="str">
        <f>IF(INPUT_CAD!C62="","",INPUT_CAD!C62)</f>
        <v/>
      </c>
      <c r="D62" s="4" t="str">
        <f>IF(INPUT_CAD!D62="","",INPUT_CAD!D62)</f>
        <v/>
      </c>
      <c r="E62" s="4" t="str">
        <f>IF(INPUT_CAD!E62="","",INPUT_CAD!E62)</f>
        <v/>
      </c>
      <c r="F62" s="4" t="str">
        <f>IF(INPUT_CAD!F62="","",INPUT_CAD!F62)</f>
        <v/>
      </c>
      <c r="G62" s="4" t="str">
        <f>IF(INPUT_CAD!G62="","",INPUT_CAD!G62)</f>
        <v/>
      </c>
      <c r="I62" s="4" t="str">
        <f t="shared" si="9"/>
        <v/>
      </c>
      <c r="J62" s="4" t="str">
        <f t="shared" si="10"/>
        <v/>
      </c>
      <c r="K62" s="4" t="str">
        <f t="shared" si="11"/>
        <v/>
      </c>
      <c r="L62" s="4" t="str">
        <f>IFERROR(VLOOKUP(ROUND(K62,0),correction_tag!$A$7:$C$253,3),"x")</f>
        <v>x</v>
      </c>
      <c r="N62" s="4">
        <f t="shared" si="3"/>
        <v>1</v>
      </c>
      <c r="O62" s="4">
        <f>IF(N61=0,O61+INPUT_CAD!$B$4,INPUT_CAD!$B$4)</f>
        <v>2</v>
      </c>
      <c r="Q62" s="4" t="str">
        <f t="shared" si="4"/>
        <v/>
      </c>
      <c r="R62" s="4" t="str">
        <f t="shared" si="5"/>
        <v/>
      </c>
      <c r="S62" s="4" t="str">
        <f t="shared" si="6"/>
        <v/>
      </c>
      <c r="T62" s="4" t="str">
        <f>IFERROR(Q62*Setup!$C$26+R62*Setup!$D$26+S62*Setup!$E$26,"")</f>
        <v/>
      </c>
      <c r="U62" s="4" t="str">
        <f t="shared" si="8"/>
        <v/>
      </c>
      <c r="V62" s="4">
        <f t="shared" si="7"/>
        <v>90</v>
      </c>
    </row>
    <row r="63" spans="1:22" hidden="1" x14ac:dyDescent="0.25">
      <c r="A63" s="4" t="str">
        <f>IF(INPUT_CAD!A63="","",INPUT_CAD!A63)</f>
        <v/>
      </c>
      <c r="B63" s="4" t="str">
        <f>IF(INPUT_CAD!B63="","",INPUT_CAD!B63)</f>
        <v/>
      </c>
      <c r="C63" s="4" t="str">
        <f>IF(INPUT_CAD!C63="","",INPUT_CAD!C63)</f>
        <v/>
      </c>
      <c r="D63" s="4" t="str">
        <f>IF(INPUT_CAD!D63="","",INPUT_CAD!D63)</f>
        <v/>
      </c>
      <c r="E63" s="4" t="str">
        <f>IF(INPUT_CAD!E63="","",INPUT_CAD!E63)</f>
        <v/>
      </c>
      <c r="F63" s="4" t="str">
        <f>IF(INPUT_CAD!F63="","",INPUT_CAD!F63)</f>
        <v/>
      </c>
      <c r="G63" s="4" t="str">
        <f>IF(INPUT_CAD!G63="","",INPUT_CAD!G63)</f>
        <v/>
      </c>
      <c r="I63" s="4" t="str">
        <f t="shared" si="9"/>
        <v/>
      </c>
      <c r="J63" s="4" t="str">
        <f t="shared" si="10"/>
        <v/>
      </c>
      <c r="K63" s="4" t="str">
        <f t="shared" si="11"/>
        <v/>
      </c>
      <c r="L63" s="4" t="str">
        <f>IFERROR(VLOOKUP(ROUND(K63,0),correction_tag!$A$7:$C$253,3),"x")</f>
        <v>x</v>
      </c>
      <c r="N63" s="4">
        <f t="shared" si="3"/>
        <v>1</v>
      </c>
      <c r="O63" s="4">
        <f>IF(N62=0,O62+INPUT_CAD!$B$4,INPUT_CAD!$B$4)</f>
        <v>2</v>
      </c>
      <c r="Q63" s="4" t="str">
        <f t="shared" si="4"/>
        <v/>
      </c>
      <c r="R63" s="4" t="str">
        <f t="shared" si="5"/>
        <v/>
      </c>
      <c r="S63" s="4" t="str">
        <f t="shared" si="6"/>
        <v/>
      </c>
      <c r="T63" s="4" t="str">
        <f>IFERROR(Q63*Setup!$C$26+R63*Setup!$D$26+S63*Setup!$E$26,"")</f>
        <v/>
      </c>
      <c r="U63" s="4" t="str">
        <f t="shared" si="8"/>
        <v/>
      </c>
      <c r="V63" s="4">
        <f t="shared" si="7"/>
        <v>90</v>
      </c>
    </row>
    <row r="64" spans="1:22" hidden="1" x14ac:dyDescent="0.25">
      <c r="A64" s="4" t="str">
        <f>IF(INPUT_CAD!A64="","",INPUT_CAD!A64)</f>
        <v/>
      </c>
      <c r="B64" s="4" t="str">
        <f>IF(INPUT_CAD!B64="","",INPUT_CAD!B64)</f>
        <v/>
      </c>
      <c r="C64" s="4" t="str">
        <f>IF(INPUT_CAD!C64="","",INPUT_CAD!C64)</f>
        <v/>
      </c>
      <c r="D64" s="4" t="str">
        <f>IF(INPUT_CAD!D64="","",INPUT_CAD!D64)</f>
        <v/>
      </c>
      <c r="E64" s="4" t="str">
        <f>IF(INPUT_CAD!E64="","",INPUT_CAD!E64)</f>
        <v/>
      </c>
      <c r="F64" s="4" t="str">
        <f>IF(INPUT_CAD!F64="","",INPUT_CAD!F64)</f>
        <v/>
      </c>
      <c r="G64" s="4" t="str">
        <f>IF(INPUT_CAD!G64="","",INPUT_CAD!G64)</f>
        <v/>
      </c>
      <c r="I64" s="4" t="str">
        <f t="shared" si="9"/>
        <v/>
      </c>
      <c r="J64" s="4" t="str">
        <f t="shared" si="10"/>
        <v/>
      </c>
      <c r="K64" s="4" t="str">
        <f t="shared" si="11"/>
        <v/>
      </c>
      <c r="L64" s="4" t="str">
        <f>IFERROR(VLOOKUP(ROUND(K64,0),correction_tag!$A$7:$C$253,3),"x")</f>
        <v>x</v>
      </c>
      <c r="N64" s="4">
        <f t="shared" si="3"/>
        <v>1</v>
      </c>
      <c r="O64" s="4">
        <f>IF(N63=0,O63+INPUT_CAD!$B$4,INPUT_CAD!$B$4)</f>
        <v>2</v>
      </c>
      <c r="Q64" s="4" t="str">
        <f t="shared" si="4"/>
        <v/>
      </c>
      <c r="R64" s="4" t="str">
        <f t="shared" si="5"/>
        <v/>
      </c>
      <c r="S64" s="4" t="str">
        <f t="shared" si="6"/>
        <v/>
      </c>
      <c r="T64" s="4" t="str">
        <f>IFERROR(Q64*Setup!$C$26+R64*Setup!$D$26+S64*Setup!$E$26,"")</f>
        <v/>
      </c>
      <c r="U64" s="4" t="str">
        <f t="shared" si="8"/>
        <v/>
      </c>
      <c r="V64" s="4">
        <f t="shared" si="7"/>
        <v>90</v>
      </c>
    </row>
    <row r="65" spans="1:22" hidden="1" x14ac:dyDescent="0.25">
      <c r="A65" s="4" t="str">
        <f>IF(INPUT_CAD!A65="","",INPUT_CAD!A65)</f>
        <v/>
      </c>
      <c r="B65" s="4" t="str">
        <f>IF(INPUT_CAD!B65="","",INPUT_CAD!B65)</f>
        <v/>
      </c>
      <c r="C65" s="4" t="str">
        <f>IF(INPUT_CAD!C65="","",INPUT_CAD!C65)</f>
        <v/>
      </c>
      <c r="D65" s="4" t="str">
        <f>IF(INPUT_CAD!D65="","",INPUT_CAD!D65)</f>
        <v/>
      </c>
      <c r="E65" s="4" t="str">
        <f>IF(INPUT_CAD!E65="","",INPUT_CAD!E65)</f>
        <v/>
      </c>
      <c r="F65" s="4" t="str">
        <f>IF(INPUT_CAD!F65="","",INPUT_CAD!F65)</f>
        <v/>
      </c>
      <c r="G65" s="4" t="str">
        <f>IF(INPUT_CAD!G65="","",INPUT_CAD!G65)</f>
        <v/>
      </c>
      <c r="I65" s="4" t="str">
        <f t="shared" si="9"/>
        <v/>
      </c>
      <c r="J65" s="4" t="str">
        <f t="shared" si="10"/>
        <v/>
      </c>
      <c r="K65" s="4" t="str">
        <f t="shared" si="11"/>
        <v/>
      </c>
      <c r="L65" s="4" t="str">
        <f>IFERROR(VLOOKUP(ROUND(K65,0),correction_tag!$A$7:$C$253,3),"x")</f>
        <v>x</v>
      </c>
      <c r="N65" s="4">
        <f t="shared" si="3"/>
        <v>1</v>
      </c>
      <c r="O65" s="4">
        <f>IF(N64=0,O64+INPUT_CAD!$B$4,INPUT_CAD!$B$4)</f>
        <v>2</v>
      </c>
      <c r="Q65" s="4" t="str">
        <f t="shared" si="4"/>
        <v/>
      </c>
      <c r="R65" s="4" t="str">
        <f t="shared" si="5"/>
        <v/>
      </c>
      <c r="S65" s="4" t="str">
        <f t="shared" si="6"/>
        <v/>
      </c>
      <c r="T65" s="4" t="str">
        <f>IFERROR(Q65*Setup!$C$26+R65*Setup!$D$26+S65*Setup!$E$26,"")</f>
        <v/>
      </c>
      <c r="U65" s="4" t="str">
        <f t="shared" si="8"/>
        <v/>
      </c>
      <c r="V65" s="4">
        <f t="shared" si="7"/>
        <v>90</v>
      </c>
    </row>
    <row r="66" spans="1:22" hidden="1" x14ac:dyDescent="0.25">
      <c r="A66" s="4" t="str">
        <f>IF(INPUT_CAD!A66="","",INPUT_CAD!A66)</f>
        <v/>
      </c>
      <c r="B66" s="4" t="str">
        <f>IF(INPUT_CAD!B66="","",INPUT_CAD!B66)</f>
        <v/>
      </c>
      <c r="C66" s="4" t="str">
        <f>IF(INPUT_CAD!C66="","",INPUT_CAD!C66)</f>
        <v/>
      </c>
      <c r="D66" s="4" t="str">
        <f>IF(INPUT_CAD!D66="","",INPUT_CAD!D66)</f>
        <v/>
      </c>
      <c r="E66" s="4" t="str">
        <f>IF(INPUT_CAD!E66="","",INPUT_CAD!E66)</f>
        <v/>
      </c>
      <c r="F66" s="4" t="str">
        <f>IF(INPUT_CAD!F66="","",INPUT_CAD!F66)</f>
        <v/>
      </c>
      <c r="G66" s="4" t="str">
        <f>IF(INPUT_CAD!G66="","",INPUT_CAD!G66)</f>
        <v/>
      </c>
      <c r="I66" s="4" t="str">
        <f t="shared" si="9"/>
        <v/>
      </c>
      <c r="J66" s="4" t="str">
        <f t="shared" si="10"/>
        <v/>
      </c>
      <c r="K66" s="4" t="str">
        <f t="shared" si="11"/>
        <v/>
      </c>
      <c r="L66" s="4" t="str">
        <f>IFERROR(VLOOKUP(ROUND(K66,0),correction_tag!$A$7:$C$253,3),"x")</f>
        <v>x</v>
      </c>
      <c r="N66" s="4">
        <f t="shared" si="3"/>
        <v>1</v>
      </c>
      <c r="O66" s="4">
        <f>IF(N65=0,O65+INPUT_CAD!$B$4,INPUT_CAD!$B$4)</f>
        <v>2</v>
      </c>
      <c r="Q66" s="4" t="str">
        <f t="shared" si="4"/>
        <v/>
      </c>
      <c r="R66" s="4" t="str">
        <f t="shared" si="5"/>
        <v/>
      </c>
      <c r="S66" s="4" t="str">
        <f t="shared" si="6"/>
        <v/>
      </c>
      <c r="T66" s="4" t="str">
        <f>IFERROR(Q66*Setup!$C$26+R66*Setup!$D$26+S66*Setup!$E$26,"")</f>
        <v/>
      </c>
      <c r="U66" s="4" t="str">
        <f t="shared" si="8"/>
        <v/>
      </c>
      <c r="V66" s="4">
        <f t="shared" si="7"/>
        <v>90</v>
      </c>
    </row>
    <row r="67" spans="1:22" hidden="1" x14ac:dyDescent="0.25">
      <c r="A67" s="4" t="str">
        <f>IF(INPUT_CAD!A67="","",INPUT_CAD!A67)</f>
        <v/>
      </c>
      <c r="B67" s="4" t="str">
        <f>IF(INPUT_CAD!B67="","",INPUT_CAD!B67)</f>
        <v/>
      </c>
      <c r="C67" s="4" t="str">
        <f>IF(INPUT_CAD!C67="","",INPUT_CAD!C67)</f>
        <v/>
      </c>
      <c r="D67" s="4" t="str">
        <f>IF(INPUT_CAD!D67="","",INPUT_CAD!D67)</f>
        <v/>
      </c>
      <c r="E67" s="4" t="str">
        <f>IF(INPUT_CAD!E67="","",INPUT_CAD!E67)</f>
        <v/>
      </c>
      <c r="F67" s="4" t="str">
        <f>IF(INPUT_CAD!F67="","",INPUT_CAD!F67)</f>
        <v/>
      </c>
      <c r="G67" s="4" t="str">
        <f>IF(INPUT_CAD!G67="","",INPUT_CAD!G67)</f>
        <v/>
      </c>
      <c r="I67" s="4" t="str">
        <f t="shared" si="9"/>
        <v/>
      </c>
      <c r="J67" s="4" t="str">
        <f t="shared" si="10"/>
        <v/>
      </c>
      <c r="K67" s="4" t="str">
        <f t="shared" si="11"/>
        <v/>
      </c>
      <c r="L67" s="4" t="str">
        <f>IFERROR(VLOOKUP(ROUND(K67,0),correction_tag!$A$7:$C$253,3),"x")</f>
        <v>x</v>
      </c>
      <c r="N67" s="4">
        <f t="shared" si="3"/>
        <v>1</v>
      </c>
      <c r="O67" s="4">
        <f>IF(N66=0,O66+INPUT_CAD!$B$4,INPUT_CAD!$B$4)</f>
        <v>2</v>
      </c>
      <c r="Q67" s="4" t="str">
        <f t="shared" si="4"/>
        <v/>
      </c>
      <c r="R67" s="4" t="str">
        <f t="shared" si="5"/>
        <v/>
      </c>
      <c r="S67" s="4" t="str">
        <f t="shared" si="6"/>
        <v/>
      </c>
      <c r="T67" s="4" t="str">
        <f>IFERROR(Q67*Setup!$C$26+R67*Setup!$D$26+S67*Setup!$E$26,"")</f>
        <v/>
      </c>
      <c r="U67" s="4" t="str">
        <f t="shared" si="8"/>
        <v/>
      </c>
      <c r="V67" s="4">
        <f t="shared" si="7"/>
        <v>90</v>
      </c>
    </row>
    <row r="68" spans="1:22" hidden="1" x14ac:dyDescent="0.25">
      <c r="A68" s="4" t="str">
        <f>IF(INPUT_CAD!A68="","",INPUT_CAD!A68)</f>
        <v/>
      </c>
      <c r="B68" s="4" t="str">
        <f>IF(INPUT_CAD!B68="","",INPUT_CAD!B68)</f>
        <v/>
      </c>
      <c r="C68" s="4" t="str">
        <f>IF(INPUT_CAD!C68="","",INPUT_CAD!C68)</f>
        <v/>
      </c>
      <c r="D68" s="4" t="str">
        <f>IF(INPUT_CAD!D68="","",INPUT_CAD!D68)</f>
        <v/>
      </c>
      <c r="E68" s="4" t="str">
        <f>IF(INPUT_CAD!E68="","",INPUT_CAD!E68)</f>
        <v/>
      </c>
      <c r="F68" s="4" t="str">
        <f>IF(INPUT_CAD!F68="","",INPUT_CAD!F68)</f>
        <v/>
      </c>
      <c r="G68" s="4" t="str">
        <f>IF(INPUT_CAD!G68="","",INPUT_CAD!G68)</f>
        <v/>
      </c>
      <c r="I68" s="4" t="str">
        <f t="shared" si="9"/>
        <v/>
      </c>
      <c r="J68" s="4" t="str">
        <f t="shared" si="10"/>
        <v/>
      </c>
      <c r="K68" s="4" t="str">
        <f t="shared" si="11"/>
        <v/>
      </c>
      <c r="L68" s="4" t="str">
        <f>IFERROR(VLOOKUP(ROUND(K68,0),correction_tag!$A$7:$C$253,3),"x")</f>
        <v>x</v>
      </c>
      <c r="N68" s="4">
        <f t="shared" si="3"/>
        <v>1</v>
      </c>
      <c r="O68" s="4">
        <f>IF(N67=0,O67+INPUT_CAD!$B$4,INPUT_CAD!$B$4)</f>
        <v>2</v>
      </c>
      <c r="Q68" s="4" t="str">
        <f t="shared" si="4"/>
        <v/>
      </c>
      <c r="R68" s="4" t="str">
        <f t="shared" si="5"/>
        <v/>
      </c>
      <c r="S68" s="4" t="str">
        <f t="shared" si="6"/>
        <v/>
      </c>
      <c r="T68" s="4" t="str">
        <f>IFERROR(Q68*Setup!$C$26+R68*Setup!$D$26+S68*Setup!$E$26,"")</f>
        <v/>
      </c>
      <c r="U68" s="4" t="str">
        <f t="shared" si="8"/>
        <v/>
      </c>
      <c r="V68" s="4">
        <f t="shared" si="7"/>
        <v>90</v>
      </c>
    </row>
    <row r="69" spans="1:22" hidden="1" x14ac:dyDescent="0.25">
      <c r="A69" s="4" t="str">
        <f>IF(INPUT_CAD!A69="","",INPUT_CAD!A69)</f>
        <v/>
      </c>
      <c r="B69" s="4" t="str">
        <f>IF(INPUT_CAD!B69="","",INPUT_CAD!B69)</f>
        <v/>
      </c>
      <c r="C69" s="4" t="str">
        <f>IF(INPUT_CAD!C69="","",INPUT_CAD!C69)</f>
        <v/>
      </c>
      <c r="D69" s="4" t="str">
        <f>IF(INPUT_CAD!D69="","",INPUT_CAD!D69)</f>
        <v/>
      </c>
      <c r="E69" s="4" t="str">
        <f>IF(INPUT_CAD!E69="","",INPUT_CAD!E69)</f>
        <v/>
      </c>
      <c r="F69" s="4" t="str">
        <f>IF(INPUT_CAD!F69="","",INPUT_CAD!F69)</f>
        <v/>
      </c>
      <c r="G69" s="4" t="str">
        <f>IF(INPUT_CAD!G69="","",INPUT_CAD!G69)</f>
        <v/>
      </c>
      <c r="I69" s="4" t="str">
        <f t="shared" si="9"/>
        <v/>
      </c>
      <c r="J69" s="4" t="str">
        <f t="shared" si="10"/>
        <v/>
      </c>
      <c r="K69" s="4" t="str">
        <f t="shared" si="11"/>
        <v/>
      </c>
      <c r="L69" s="4" t="str">
        <f>IFERROR(VLOOKUP(ROUND(K69,0),correction_tag!$A$7:$C$253,3),"x")</f>
        <v>x</v>
      </c>
      <c r="N69" s="4">
        <f t="shared" si="3"/>
        <v>1</v>
      </c>
      <c r="O69" s="4">
        <f>IF(N68=0,O68+INPUT_CAD!$B$4,INPUT_CAD!$B$4)</f>
        <v>2</v>
      </c>
      <c r="Q69" s="4" t="str">
        <f t="shared" si="4"/>
        <v/>
      </c>
      <c r="R69" s="4" t="str">
        <f t="shared" si="5"/>
        <v/>
      </c>
      <c r="S69" s="4" t="str">
        <f t="shared" si="6"/>
        <v/>
      </c>
      <c r="T69" s="4" t="str">
        <f>IFERROR(Q69*Setup!$C$26+R69*Setup!$D$26+S69*Setup!$E$26,"")</f>
        <v/>
      </c>
      <c r="U69" s="4" t="str">
        <f t="shared" si="8"/>
        <v/>
      </c>
      <c r="V69" s="4">
        <f t="shared" si="7"/>
        <v>90</v>
      </c>
    </row>
    <row r="70" spans="1:22" hidden="1" x14ac:dyDescent="0.25">
      <c r="A70" s="4" t="str">
        <f>IF(INPUT_CAD!A70="","",INPUT_CAD!A70)</f>
        <v/>
      </c>
      <c r="B70" s="4" t="str">
        <f>IF(INPUT_CAD!B70="","",INPUT_CAD!B70)</f>
        <v/>
      </c>
      <c r="C70" s="4" t="str">
        <f>IF(INPUT_CAD!C70="","",INPUT_CAD!C70)</f>
        <v/>
      </c>
      <c r="D70" s="4" t="str">
        <f>IF(INPUT_CAD!D70="","",INPUT_CAD!D70)</f>
        <v/>
      </c>
      <c r="E70" s="4" t="str">
        <f>IF(INPUT_CAD!E70="","",INPUT_CAD!E70)</f>
        <v/>
      </c>
      <c r="F70" s="4" t="str">
        <f>IF(INPUT_CAD!F70="","",INPUT_CAD!F70)</f>
        <v/>
      </c>
      <c r="G70" s="4" t="str">
        <f>IF(INPUT_CAD!G70="","",INPUT_CAD!G70)</f>
        <v/>
      </c>
      <c r="I70" s="4" t="str">
        <f t="shared" si="9"/>
        <v/>
      </c>
      <c r="J70" s="4" t="str">
        <f t="shared" si="10"/>
        <v/>
      </c>
      <c r="K70" s="4" t="str">
        <f t="shared" si="11"/>
        <v/>
      </c>
      <c r="L70" s="4" t="str">
        <f>IFERROR(VLOOKUP(ROUND(K70,0),correction_tag!$A$7:$C$253,3),"x")</f>
        <v>x</v>
      </c>
      <c r="N70" s="4">
        <f t="shared" si="3"/>
        <v>1</v>
      </c>
      <c r="O70" s="4">
        <f>IF(N69=0,O69+INPUT_CAD!$B$4,INPUT_CAD!$B$4)</f>
        <v>2</v>
      </c>
      <c r="Q70" s="4" t="str">
        <f t="shared" si="4"/>
        <v/>
      </c>
      <c r="R70" s="4" t="str">
        <f t="shared" si="5"/>
        <v/>
      </c>
      <c r="S70" s="4" t="str">
        <f t="shared" si="6"/>
        <v/>
      </c>
      <c r="T70" s="4" t="str">
        <f>IFERROR(Q70*Setup!$C$26+R70*Setup!$D$26+S70*Setup!$E$26,"")</f>
        <v/>
      </c>
      <c r="U70" s="4" t="str">
        <f t="shared" si="8"/>
        <v/>
      </c>
      <c r="V70" s="4">
        <f t="shared" si="7"/>
        <v>90</v>
      </c>
    </row>
    <row r="71" spans="1:22" hidden="1" x14ac:dyDescent="0.25">
      <c r="A71" s="4" t="str">
        <f>IF(INPUT_CAD!A71="","",INPUT_CAD!A71)</f>
        <v/>
      </c>
      <c r="B71" s="4" t="str">
        <f>IF(INPUT_CAD!B71="","",INPUT_CAD!B71)</f>
        <v/>
      </c>
      <c r="C71" s="4" t="str">
        <f>IF(INPUT_CAD!C71="","",INPUT_CAD!C71)</f>
        <v/>
      </c>
      <c r="D71" s="4" t="str">
        <f>IF(INPUT_CAD!D71="","",INPUT_CAD!D71)</f>
        <v/>
      </c>
      <c r="E71" s="4" t="str">
        <f>IF(INPUT_CAD!E71="","",INPUT_CAD!E71)</f>
        <v/>
      </c>
      <c r="F71" s="4" t="str">
        <f>IF(INPUT_CAD!F71="","",INPUT_CAD!F71)</f>
        <v/>
      </c>
      <c r="G71" s="4" t="str">
        <f>IF(INPUT_CAD!G71="","",INPUT_CAD!G71)</f>
        <v/>
      </c>
      <c r="I71" s="4" t="str">
        <f t="shared" si="9"/>
        <v/>
      </c>
      <c r="J71" s="4" t="str">
        <f t="shared" si="10"/>
        <v/>
      </c>
      <c r="K71" s="4" t="str">
        <f t="shared" si="11"/>
        <v/>
      </c>
      <c r="L71" s="4" t="str">
        <f>IFERROR(VLOOKUP(ROUND(K71,0),correction_tag!$A$7:$C$253,3),"x")</f>
        <v>x</v>
      </c>
      <c r="N71" s="4">
        <f t="shared" si="3"/>
        <v>1</v>
      </c>
      <c r="O71" s="4">
        <f>IF(N70=0,O70+INPUT_CAD!$B$4,INPUT_CAD!$B$4)</f>
        <v>2</v>
      </c>
      <c r="Q71" s="4" t="str">
        <f t="shared" si="4"/>
        <v/>
      </c>
      <c r="R71" s="4" t="str">
        <f t="shared" si="5"/>
        <v/>
      </c>
      <c r="S71" s="4" t="str">
        <f t="shared" si="6"/>
        <v/>
      </c>
      <c r="T71" s="4" t="str">
        <f>IFERROR(Q71*Setup!$C$26+R71*Setup!$D$26+S71*Setup!$E$26,"")</f>
        <v/>
      </c>
      <c r="U71" s="4" t="str">
        <f t="shared" si="8"/>
        <v/>
      </c>
      <c r="V71" s="4">
        <f t="shared" si="7"/>
        <v>90</v>
      </c>
    </row>
    <row r="72" spans="1:22" hidden="1" x14ac:dyDescent="0.25">
      <c r="A72" s="4" t="str">
        <f>IF(INPUT_CAD!A72="","",INPUT_CAD!A72)</f>
        <v/>
      </c>
      <c r="B72" s="4" t="str">
        <f>IF(INPUT_CAD!B72="","",INPUT_CAD!B72)</f>
        <v/>
      </c>
      <c r="C72" s="4" t="str">
        <f>IF(INPUT_CAD!C72="","",INPUT_CAD!C72)</f>
        <v/>
      </c>
      <c r="D72" s="4" t="str">
        <f>IF(INPUT_CAD!D72="","",INPUT_CAD!D72)</f>
        <v/>
      </c>
      <c r="E72" s="4" t="str">
        <f>IF(INPUT_CAD!E72="","",INPUT_CAD!E72)</f>
        <v/>
      </c>
      <c r="F72" s="4" t="str">
        <f>IF(INPUT_CAD!F72="","",INPUT_CAD!F72)</f>
        <v/>
      </c>
      <c r="G72" s="4" t="str">
        <f>IF(INPUT_CAD!G72="","",INPUT_CAD!G72)</f>
        <v/>
      </c>
      <c r="I72" s="4" t="str">
        <f t="shared" si="9"/>
        <v/>
      </c>
      <c r="J72" s="4" t="str">
        <f t="shared" si="10"/>
        <v/>
      </c>
      <c r="K72" s="4" t="str">
        <f t="shared" si="11"/>
        <v/>
      </c>
      <c r="L72" s="4" t="str">
        <f>IFERROR(VLOOKUP(ROUND(K72,0),correction_tag!$A$7:$C$253,3),"x")</f>
        <v>x</v>
      </c>
      <c r="N72" s="4">
        <f t="shared" si="3"/>
        <v>1</v>
      </c>
      <c r="O72" s="4">
        <f>IF(N71=0,O71+INPUT_CAD!$B$4,INPUT_CAD!$B$4)</f>
        <v>2</v>
      </c>
      <c r="Q72" s="4" t="str">
        <f t="shared" si="4"/>
        <v/>
      </c>
      <c r="R72" s="4" t="str">
        <f t="shared" si="5"/>
        <v/>
      </c>
      <c r="S72" s="4" t="str">
        <f t="shared" si="6"/>
        <v/>
      </c>
      <c r="T72" s="4" t="str">
        <f>IFERROR(Q72*Setup!$C$26+R72*Setup!$D$26+S72*Setup!$E$26,"")</f>
        <v/>
      </c>
      <c r="U72" s="4" t="str">
        <f t="shared" si="8"/>
        <v/>
      </c>
      <c r="V72" s="4">
        <f t="shared" si="7"/>
        <v>90</v>
      </c>
    </row>
    <row r="73" spans="1:22" hidden="1" x14ac:dyDescent="0.25">
      <c r="A73" s="4" t="str">
        <f>IF(INPUT_CAD!A73="","",INPUT_CAD!A73)</f>
        <v/>
      </c>
      <c r="B73" s="4" t="str">
        <f>IF(INPUT_CAD!B73="","",INPUT_CAD!B73)</f>
        <v/>
      </c>
      <c r="C73" s="4" t="str">
        <f>IF(INPUT_CAD!C73="","",INPUT_CAD!C73)</f>
        <v/>
      </c>
      <c r="D73" s="4" t="str">
        <f>IF(INPUT_CAD!D73="","",INPUT_CAD!D73)</f>
        <v/>
      </c>
      <c r="E73" s="4" t="str">
        <f>IF(INPUT_CAD!E73="","",INPUT_CAD!E73)</f>
        <v/>
      </c>
      <c r="F73" s="4" t="str">
        <f>IF(INPUT_CAD!F73="","",INPUT_CAD!F73)</f>
        <v/>
      </c>
      <c r="G73" s="4" t="str">
        <f>IF(INPUT_CAD!G73="","",INPUT_CAD!G73)</f>
        <v/>
      </c>
      <c r="I73" s="4" t="str">
        <f t="shared" si="9"/>
        <v/>
      </c>
      <c r="J73" s="4" t="str">
        <f t="shared" si="10"/>
        <v/>
      </c>
      <c r="K73" s="4" t="str">
        <f t="shared" si="11"/>
        <v/>
      </c>
      <c r="L73" s="4" t="str">
        <f>IFERROR(VLOOKUP(ROUND(K73,0),correction_tag!$A$7:$C$253,3),"x")</f>
        <v>x</v>
      </c>
      <c r="N73" s="4">
        <f t="shared" si="3"/>
        <v>1</v>
      </c>
      <c r="O73" s="4">
        <f>IF(N72=0,O72+INPUT_CAD!$B$4,INPUT_CAD!$B$4)</f>
        <v>2</v>
      </c>
      <c r="Q73" s="4" t="str">
        <f t="shared" si="4"/>
        <v/>
      </c>
      <c r="R73" s="4" t="str">
        <f t="shared" si="5"/>
        <v/>
      </c>
      <c r="S73" s="4" t="str">
        <f t="shared" si="6"/>
        <v/>
      </c>
      <c r="T73" s="4" t="str">
        <f>IFERROR(Q73*Setup!$C$26+R73*Setup!$D$26+S73*Setup!$E$26,"")</f>
        <v/>
      </c>
      <c r="U73" s="4" t="str">
        <f t="shared" si="8"/>
        <v/>
      </c>
      <c r="V73" s="4">
        <f t="shared" si="7"/>
        <v>90</v>
      </c>
    </row>
    <row r="74" spans="1:22" hidden="1" x14ac:dyDescent="0.25">
      <c r="A74" s="4" t="str">
        <f>IF(INPUT_CAD!A74="","",INPUT_CAD!A74)</f>
        <v/>
      </c>
      <c r="B74" s="4" t="str">
        <f>IF(INPUT_CAD!B74="","",INPUT_CAD!B74)</f>
        <v/>
      </c>
      <c r="C74" s="4" t="str">
        <f>IF(INPUT_CAD!C74="","",INPUT_CAD!C74)</f>
        <v/>
      </c>
      <c r="D74" s="4" t="str">
        <f>IF(INPUT_CAD!D74="","",INPUT_CAD!D74)</f>
        <v/>
      </c>
      <c r="E74" s="4" t="str">
        <f>IF(INPUT_CAD!E74="","",INPUT_CAD!E74)</f>
        <v/>
      </c>
      <c r="F74" s="4" t="str">
        <f>IF(INPUT_CAD!F74="","",INPUT_CAD!F74)</f>
        <v/>
      </c>
      <c r="G74" s="4" t="str">
        <f>IF(INPUT_CAD!G74="","",INPUT_CAD!G74)</f>
        <v/>
      </c>
      <c r="I74" s="4" t="str">
        <f t="shared" si="9"/>
        <v/>
      </c>
      <c r="J74" s="4" t="str">
        <f t="shared" si="10"/>
        <v/>
      </c>
      <c r="K74" s="4" t="str">
        <f t="shared" si="11"/>
        <v/>
      </c>
      <c r="L74" s="4" t="str">
        <f>IFERROR(VLOOKUP(ROUND(K74,0),correction_tag!$A$7:$C$253,3),"x")</f>
        <v>x</v>
      </c>
      <c r="N74" s="4">
        <f t="shared" si="3"/>
        <v>1</v>
      </c>
      <c r="O74" s="4">
        <f>IF(N73=0,O73+INPUT_CAD!$B$4,INPUT_CAD!$B$4)</f>
        <v>2</v>
      </c>
      <c r="Q74" s="4" t="str">
        <f t="shared" si="4"/>
        <v/>
      </c>
      <c r="R74" s="4" t="str">
        <f t="shared" si="5"/>
        <v/>
      </c>
      <c r="S74" s="4" t="str">
        <f t="shared" si="6"/>
        <v/>
      </c>
      <c r="T74" s="4" t="str">
        <f>IFERROR(Q74*Setup!$C$26+R74*Setup!$D$26+S74*Setup!$E$26,"")</f>
        <v/>
      </c>
      <c r="U74" s="4" t="str">
        <f t="shared" si="8"/>
        <v/>
      </c>
      <c r="V74" s="4">
        <f t="shared" si="7"/>
        <v>90</v>
      </c>
    </row>
    <row r="75" spans="1:22" hidden="1" x14ac:dyDescent="0.25">
      <c r="A75" s="4" t="str">
        <f>IF(INPUT_CAD!A75="","",INPUT_CAD!A75)</f>
        <v/>
      </c>
      <c r="B75" s="4" t="str">
        <f>IF(INPUT_CAD!B75="","",INPUT_CAD!B75)</f>
        <v/>
      </c>
      <c r="C75" s="4" t="str">
        <f>IF(INPUT_CAD!C75="","",INPUT_CAD!C75)</f>
        <v/>
      </c>
      <c r="D75" s="4" t="str">
        <f>IF(INPUT_CAD!D75="","",INPUT_CAD!D75)</f>
        <v/>
      </c>
      <c r="E75" s="4" t="str">
        <f>IF(INPUT_CAD!E75="","",INPUT_CAD!E75)</f>
        <v/>
      </c>
      <c r="F75" s="4" t="str">
        <f>IF(INPUT_CAD!F75="","",INPUT_CAD!F75)</f>
        <v/>
      </c>
      <c r="G75" s="4" t="str">
        <f>IF(INPUT_CAD!G75="","",INPUT_CAD!G75)</f>
        <v/>
      </c>
      <c r="I75" s="4" t="str">
        <f t="shared" si="9"/>
        <v/>
      </c>
      <c r="J75" s="4" t="str">
        <f t="shared" si="10"/>
        <v/>
      </c>
      <c r="K75" s="4" t="str">
        <f t="shared" si="11"/>
        <v/>
      </c>
      <c r="L75" s="4" t="str">
        <f>IFERROR(VLOOKUP(ROUND(K75,0),correction_tag!$A$7:$C$253,3),"x")</f>
        <v>x</v>
      </c>
      <c r="N75" s="4">
        <f t="shared" ref="N75:N138" si="12">IF(AND(K75&lt;&gt;0,K75&lt;&gt;"x"), 1,0)</f>
        <v>1</v>
      </c>
      <c r="O75" s="4">
        <f>IF(N74=0,O74+INPUT_CAD!$B$4,INPUT_CAD!$B$4)</f>
        <v>2</v>
      </c>
      <c r="Q75" s="4" t="str">
        <f t="shared" ref="Q75:Q138" si="13">IFERROR(F74*G75-G74*F75,"")</f>
        <v/>
      </c>
      <c r="R75" s="4" t="str">
        <f t="shared" ref="R75:R138" si="14">IFERROR(G74*E75-E74*G75,"")</f>
        <v/>
      </c>
      <c r="S75" s="4" t="str">
        <f t="shared" ref="S75:S138" si="15">IFERROR(E74*F75-F74*E75,"")</f>
        <v/>
      </c>
      <c r="T75" s="4" t="str">
        <f>IFERROR(Q75*Setup!$C$26+R75*Setup!$D$26+S75*Setup!$E$26,"")</f>
        <v/>
      </c>
      <c r="U75" s="4" t="str">
        <f t="shared" si="8"/>
        <v/>
      </c>
      <c r="V75" s="4">
        <f t="shared" ref="V75:V138" si="16">IFERROR(DEGREES(ACOS(T75/(U74*U75))),90)</f>
        <v>90</v>
      </c>
    </row>
    <row r="76" spans="1:22" hidden="1" x14ac:dyDescent="0.25">
      <c r="A76" s="4" t="str">
        <f>IF(INPUT_CAD!A76="","",INPUT_CAD!A76)</f>
        <v/>
      </c>
      <c r="B76" s="4" t="str">
        <f>IF(INPUT_CAD!B76="","",INPUT_CAD!B76)</f>
        <v/>
      </c>
      <c r="C76" s="4" t="str">
        <f>IF(INPUT_CAD!C76="","",INPUT_CAD!C76)</f>
        <v/>
      </c>
      <c r="D76" s="4" t="str">
        <f>IF(INPUT_CAD!D76="","",INPUT_CAD!D76)</f>
        <v/>
      </c>
      <c r="E76" s="4" t="str">
        <f>IF(INPUT_CAD!E76="","",INPUT_CAD!E76)</f>
        <v/>
      </c>
      <c r="F76" s="4" t="str">
        <f>IF(INPUT_CAD!F76="","",INPUT_CAD!F76)</f>
        <v/>
      </c>
      <c r="G76" s="4" t="str">
        <f>IF(INPUT_CAD!G76="","",INPUT_CAD!G76)</f>
        <v/>
      </c>
      <c r="I76" s="4" t="str">
        <f t="shared" si="9"/>
        <v/>
      </c>
      <c r="J76" s="4" t="str">
        <f t="shared" si="10"/>
        <v/>
      </c>
      <c r="K76" s="4" t="str">
        <f t="shared" si="11"/>
        <v/>
      </c>
      <c r="L76" s="4" t="str">
        <f>IFERROR(VLOOKUP(ROUND(K76,0),correction_tag!$A$7:$C$253,3),"x")</f>
        <v>x</v>
      </c>
      <c r="N76" s="4">
        <f t="shared" si="12"/>
        <v>1</v>
      </c>
      <c r="O76" s="4">
        <f>IF(N75=0,O75+INPUT_CAD!$B$4,INPUT_CAD!$B$4)</f>
        <v>2</v>
      </c>
      <c r="Q76" s="4" t="str">
        <f t="shared" si="13"/>
        <v/>
      </c>
      <c r="R76" s="4" t="str">
        <f t="shared" si="14"/>
        <v/>
      </c>
      <c r="S76" s="4" t="str">
        <f t="shared" si="15"/>
        <v/>
      </c>
      <c r="T76" s="4" t="str">
        <f>IFERROR(Q76*Setup!$C$26+R76*Setup!$D$26+S76*Setup!$E$26,"")</f>
        <v/>
      </c>
      <c r="U76" s="4" t="str">
        <f t="shared" ref="U76:U139" si="17">IFERROR(SQRT(Q76^2+R76^2+S76^2),"")</f>
        <v/>
      </c>
      <c r="V76" s="4">
        <f t="shared" si="16"/>
        <v>90</v>
      </c>
    </row>
    <row r="77" spans="1:22" hidden="1" x14ac:dyDescent="0.25">
      <c r="A77" s="4" t="str">
        <f>IF(INPUT_CAD!A77="","",INPUT_CAD!A77)</f>
        <v/>
      </c>
      <c r="B77" s="4" t="str">
        <f>IF(INPUT_CAD!B77="","",INPUT_CAD!B77)</f>
        <v/>
      </c>
      <c r="C77" s="4" t="str">
        <f>IF(INPUT_CAD!C77="","",INPUT_CAD!C77)</f>
        <v/>
      </c>
      <c r="D77" s="4" t="str">
        <f>IF(INPUT_CAD!D77="","",INPUT_CAD!D77)</f>
        <v/>
      </c>
      <c r="E77" s="4" t="str">
        <f>IF(INPUT_CAD!E77="","",INPUT_CAD!E77)</f>
        <v/>
      </c>
      <c r="F77" s="4" t="str">
        <f>IF(INPUT_CAD!F77="","",INPUT_CAD!F77)</f>
        <v/>
      </c>
      <c r="G77" s="4" t="str">
        <f>IF(INPUT_CAD!G77="","",INPUT_CAD!G77)</f>
        <v/>
      </c>
      <c r="I77" s="4" t="str">
        <f t="shared" si="9"/>
        <v/>
      </c>
      <c r="J77" s="4" t="str">
        <f t="shared" si="10"/>
        <v/>
      </c>
      <c r="K77" s="4" t="str">
        <f t="shared" si="11"/>
        <v/>
      </c>
      <c r="L77" s="4" t="str">
        <f>IFERROR(VLOOKUP(ROUND(K77,0),correction_tag!$A$7:$C$253,3),"x")</f>
        <v>x</v>
      </c>
      <c r="N77" s="4">
        <f t="shared" si="12"/>
        <v>1</v>
      </c>
      <c r="O77" s="4">
        <f>IF(N76=0,O76+INPUT_CAD!$B$4,INPUT_CAD!$B$4)</f>
        <v>2</v>
      </c>
      <c r="Q77" s="4" t="str">
        <f t="shared" si="13"/>
        <v/>
      </c>
      <c r="R77" s="4" t="str">
        <f t="shared" si="14"/>
        <v/>
      </c>
      <c r="S77" s="4" t="str">
        <f t="shared" si="15"/>
        <v/>
      </c>
      <c r="T77" s="4" t="str">
        <f>IFERROR(Q77*Setup!$C$26+R77*Setup!$D$26+S77*Setup!$E$26,"")</f>
        <v/>
      </c>
      <c r="U77" s="4" t="str">
        <f t="shared" si="17"/>
        <v/>
      </c>
      <c r="V77" s="4">
        <f t="shared" si="16"/>
        <v>90</v>
      </c>
    </row>
    <row r="78" spans="1:22" hidden="1" x14ac:dyDescent="0.25">
      <c r="A78" s="4" t="str">
        <f>IF(INPUT_CAD!A78="","",INPUT_CAD!A78)</f>
        <v/>
      </c>
      <c r="B78" s="4" t="str">
        <f>IF(INPUT_CAD!B78="","",INPUT_CAD!B78)</f>
        <v/>
      </c>
      <c r="C78" s="4" t="str">
        <f>IF(INPUT_CAD!C78="","",INPUT_CAD!C78)</f>
        <v/>
      </c>
      <c r="D78" s="4" t="str">
        <f>IF(INPUT_CAD!D78="","",INPUT_CAD!D78)</f>
        <v/>
      </c>
      <c r="E78" s="4" t="str">
        <f>IF(INPUT_CAD!E78="","",INPUT_CAD!E78)</f>
        <v/>
      </c>
      <c r="F78" s="4" t="str">
        <f>IF(INPUT_CAD!F78="","",INPUT_CAD!F78)</f>
        <v/>
      </c>
      <c r="G78" s="4" t="str">
        <f>IF(INPUT_CAD!G78="","",INPUT_CAD!G78)</f>
        <v/>
      </c>
      <c r="I78" s="4" t="str">
        <f t="shared" si="9"/>
        <v/>
      </c>
      <c r="J78" s="4" t="str">
        <f t="shared" si="10"/>
        <v/>
      </c>
      <c r="K78" s="4" t="str">
        <f t="shared" si="11"/>
        <v/>
      </c>
      <c r="L78" s="4" t="str">
        <f>IFERROR(VLOOKUP(ROUND(K78,0),correction_tag!$A$7:$C$253,3),"x")</f>
        <v>x</v>
      </c>
      <c r="N78" s="4">
        <f t="shared" si="12"/>
        <v>1</v>
      </c>
      <c r="O78" s="4">
        <f>IF(N77=0,O77+INPUT_CAD!$B$4,INPUT_CAD!$B$4)</f>
        <v>2</v>
      </c>
      <c r="Q78" s="4" t="str">
        <f t="shared" si="13"/>
        <v/>
      </c>
      <c r="R78" s="4" t="str">
        <f t="shared" si="14"/>
        <v/>
      </c>
      <c r="S78" s="4" t="str">
        <f t="shared" si="15"/>
        <v/>
      </c>
      <c r="T78" s="4" t="str">
        <f>IFERROR(Q78*Setup!$C$26+R78*Setup!$D$26+S78*Setup!$E$26,"")</f>
        <v/>
      </c>
      <c r="U78" s="4" t="str">
        <f t="shared" si="17"/>
        <v/>
      </c>
      <c r="V78" s="4">
        <f t="shared" si="16"/>
        <v>90</v>
      </c>
    </row>
    <row r="79" spans="1:22" hidden="1" x14ac:dyDescent="0.25">
      <c r="A79" s="4" t="str">
        <f>IF(INPUT_CAD!A79="","",INPUT_CAD!A79)</f>
        <v/>
      </c>
      <c r="B79" s="4" t="str">
        <f>IF(INPUT_CAD!B79="","",INPUT_CAD!B79)</f>
        <v/>
      </c>
      <c r="C79" s="4" t="str">
        <f>IF(INPUT_CAD!C79="","",INPUT_CAD!C79)</f>
        <v/>
      </c>
      <c r="D79" s="4" t="str">
        <f>IF(INPUT_CAD!D79="","",INPUT_CAD!D79)</f>
        <v/>
      </c>
      <c r="E79" s="4" t="str">
        <f>IF(INPUT_CAD!E79="","",INPUT_CAD!E79)</f>
        <v/>
      </c>
      <c r="F79" s="4" t="str">
        <f>IF(INPUT_CAD!F79="","",INPUT_CAD!F79)</f>
        <v/>
      </c>
      <c r="G79" s="4" t="str">
        <f>IF(INPUT_CAD!G79="","",INPUT_CAD!G79)</f>
        <v/>
      </c>
      <c r="I79" s="4" t="str">
        <f t="shared" si="9"/>
        <v/>
      </c>
      <c r="J79" s="4" t="str">
        <f t="shared" si="10"/>
        <v/>
      </c>
      <c r="K79" s="4" t="str">
        <f t="shared" si="11"/>
        <v/>
      </c>
      <c r="L79" s="4" t="str">
        <f>IFERROR(VLOOKUP(ROUND(K79,0),correction_tag!$A$7:$C$253,3),"x")</f>
        <v>x</v>
      </c>
      <c r="N79" s="4">
        <f t="shared" si="12"/>
        <v>1</v>
      </c>
      <c r="O79" s="4">
        <f>IF(N78=0,O78+INPUT_CAD!$B$4,INPUT_CAD!$B$4)</f>
        <v>2</v>
      </c>
      <c r="Q79" s="4" t="str">
        <f t="shared" si="13"/>
        <v/>
      </c>
      <c r="R79" s="4" t="str">
        <f t="shared" si="14"/>
        <v/>
      </c>
      <c r="S79" s="4" t="str">
        <f t="shared" si="15"/>
        <v/>
      </c>
      <c r="T79" s="4" t="str">
        <f>IFERROR(Q79*Setup!$C$26+R79*Setup!$D$26+S79*Setup!$E$26,"")</f>
        <v/>
      </c>
      <c r="U79" s="4" t="str">
        <f t="shared" si="17"/>
        <v/>
      </c>
      <c r="V79" s="4">
        <f t="shared" si="16"/>
        <v>90</v>
      </c>
    </row>
    <row r="80" spans="1:22" hidden="1" x14ac:dyDescent="0.25">
      <c r="A80" s="4" t="str">
        <f>IF(INPUT_CAD!A80="","",INPUT_CAD!A80)</f>
        <v/>
      </c>
      <c r="B80" s="4" t="str">
        <f>IF(INPUT_CAD!B80="","",INPUT_CAD!B80)</f>
        <v/>
      </c>
      <c r="C80" s="4" t="str">
        <f>IF(INPUT_CAD!C80="","",INPUT_CAD!C80)</f>
        <v/>
      </c>
      <c r="D80" s="4" t="str">
        <f>IF(INPUT_CAD!D80="","",INPUT_CAD!D80)</f>
        <v/>
      </c>
      <c r="E80" s="4" t="str">
        <f>IF(INPUT_CAD!E80="","",INPUT_CAD!E80)</f>
        <v/>
      </c>
      <c r="F80" s="4" t="str">
        <f>IF(INPUT_CAD!F80="","",INPUT_CAD!F80)</f>
        <v/>
      </c>
      <c r="G80" s="4" t="str">
        <f>IF(INPUT_CAD!G80="","",INPUT_CAD!G80)</f>
        <v/>
      </c>
      <c r="I80" s="4" t="str">
        <f t="shared" si="9"/>
        <v/>
      </c>
      <c r="J80" s="4" t="str">
        <f t="shared" si="10"/>
        <v/>
      </c>
      <c r="K80" s="4" t="str">
        <f t="shared" si="11"/>
        <v/>
      </c>
      <c r="L80" s="4" t="str">
        <f>IFERROR(VLOOKUP(ROUND(K80,0),correction_tag!$A$7:$C$253,3),"x")</f>
        <v>x</v>
      </c>
      <c r="N80" s="4">
        <f t="shared" si="12"/>
        <v>1</v>
      </c>
      <c r="O80" s="4">
        <f>IF(N79=0,O79+INPUT_CAD!$B$4,INPUT_CAD!$B$4)</f>
        <v>2</v>
      </c>
      <c r="Q80" s="4" t="str">
        <f t="shared" si="13"/>
        <v/>
      </c>
      <c r="R80" s="4" t="str">
        <f t="shared" si="14"/>
        <v/>
      </c>
      <c r="S80" s="4" t="str">
        <f t="shared" si="15"/>
        <v/>
      </c>
      <c r="T80" s="4" t="str">
        <f>IFERROR(Q80*Setup!$C$26+R80*Setup!$D$26+S80*Setup!$E$26,"")</f>
        <v/>
      </c>
      <c r="U80" s="4" t="str">
        <f t="shared" si="17"/>
        <v/>
      </c>
      <c r="V80" s="4">
        <f t="shared" si="16"/>
        <v>90</v>
      </c>
    </row>
    <row r="81" spans="1:22" hidden="1" x14ac:dyDescent="0.25">
      <c r="A81" s="4" t="str">
        <f>IF(INPUT_CAD!A81="","",INPUT_CAD!A81)</f>
        <v/>
      </c>
      <c r="B81" s="4" t="str">
        <f>IF(INPUT_CAD!B81="","",INPUT_CAD!B81)</f>
        <v/>
      </c>
      <c r="C81" s="4" t="str">
        <f>IF(INPUT_CAD!C81="","",INPUT_CAD!C81)</f>
        <v/>
      </c>
      <c r="D81" s="4" t="str">
        <f>IF(INPUT_CAD!D81="","",INPUT_CAD!D81)</f>
        <v/>
      </c>
      <c r="E81" s="4" t="str">
        <f>IF(INPUT_CAD!E81="","",INPUT_CAD!E81)</f>
        <v/>
      </c>
      <c r="F81" s="4" t="str">
        <f>IF(INPUT_CAD!F81="","",INPUT_CAD!F81)</f>
        <v/>
      </c>
      <c r="G81" s="4" t="str">
        <f>IF(INPUT_CAD!G81="","",INPUT_CAD!G81)</f>
        <v/>
      </c>
      <c r="I81" s="4" t="str">
        <f t="shared" si="9"/>
        <v/>
      </c>
      <c r="J81" s="4" t="str">
        <f t="shared" si="10"/>
        <v/>
      </c>
      <c r="K81" s="4" t="str">
        <f t="shared" si="11"/>
        <v/>
      </c>
      <c r="L81" s="4" t="str">
        <f>IFERROR(VLOOKUP(ROUND(K81,0),correction_tag!$A$7:$C$253,3),"x")</f>
        <v>x</v>
      </c>
      <c r="N81" s="4">
        <f t="shared" si="12"/>
        <v>1</v>
      </c>
      <c r="O81" s="4">
        <f>IF(N80=0,O80+INPUT_CAD!$B$4,INPUT_CAD!$B$4)</f>
        <v>2</v>
      </c>
      <c r="Q81" s="4" t="str">
        <f t="shared" si="13"/>
        <v/>
      </c>
      <c r="R81" s="4" t="str">
        <f t="shared" si="14"/>
        <v/>
      </c>
      <c r="S81" s="4" t="str">
        <f t="shared" si="15"/>
        <v/>
      </c>
      <c r="T81" s="4" t="str">
        <f>IFERROR(Q81*Setup!$C$26+R81*Setup!$D$26+S81*Setup!$E$26,"")</f>
        <v/>
      </c>
      <c r="U81" s="4" t="str">
        <f t="shared" si="17"/>
        <v/>
      </c>
      <c r="V81" s="4">
        <f t="shared" si="16"/>
        <v>90</v>
      </c>
    </row>
    <row r="82" spans="1:22" hidden="1" x14ac:dyDescent="0.25">
      <c r="A82" s="4" t="str">
        <f>IF(INPUT_CAD!A82="","",INPUT_CAD!A82)</f>
        <v/>
      </c>
      <c r="B82" s="4" t="str">
        <f>IF(INPUT_CAD!B82="","",INPUT_CAD!B82)</f>
        <v/>
      </c>
      <c r="C82" s="4" t="str">
        <f>IF(INPUT_CAD!C82="","",INPUT_CAD!C82)</f>
        <v/>
      </c>
      <c r="D82" s="4" t="str">
        <f>IF(INPUT_CAD!D82="","",INPUT_CAD!D82)</f>
        <v/>
      </c>
      <c r="E82" s="4" t="str">
        <f>IF(INPUT_CAD!E82="","",INPUT_CAD!E82)</f>
        <v/>
      </c>
      <c r="F82" s="4" t="str">
        <f>IF(INPUT_CAD!F82="","",INPUT_CAD!F82)</f>
        <v/>
      </c>
      <c r="G82" s="4" t="str">
        <f>IF(INPUT_CAD!G82="","",INPUT_CAD!G82)</f>
        <v/>
      </c>
      <c r="I82" s="4" t="str">
        <f t="shared" si="9"/>
        <v/>
      </c>
      <c r="J82" s="4" t="str">
        <f t="shared" si="10"/>
        <v/>
      </c>
      <c r="K82" s="4" t="str">
        <f t="shared" si="11"/>
        <v/>
      </c>
      <c r="L82" s="4" t="str">
        <f>IFERROR(VLOOKUP(ROUND(K82,0),correction_tag!$A$7:$C$253,3),"x")</f>
        <v>x</v>
      </c>
      <c r="N82" s="4">
        <f t="shared" si="12"/>
        <v>1</v>
      </c>
      <c r="O82" s="4">
        <f>IF(N81=0,O81+INPUT_CAD!$B$4,INPUT_CAD!$B$4)</f>
        <v>2</v>
      </c>
      <c r="Q82" s="4" t="str">
        <f t="shared" si="13"/>
        <v/>
      </c>
      <c r="R82" s="4" t="str">
        <f t="shared" si="14"/>
        <v/>
      </c>
      <c r="S82" s="4" t="str">
        <f t="shared" si="15"/>
        <v/>
      </c>
      <c r="T82" s="4" t="str">
        <f>IFERROR(Q82*Setup!$C$26+R82*Setup!$D$26+S82*Setup!$E$26,"")</f>
        <v/>
      </c>
      <c r="U82" s="4" t="str">
        <f t="shared" si="17"/>
        <v/>
      </c>
      <c r="V82" s="4">
        <f t="shared" si="16"/>
        <v>90</v>
      </c>
    </row>
    <row r="83" spans="1:22" hidden="1" x14ac:dyDescent="0.25">
      <c r="A83" s="4" t="str">
        <f>IF(INPUT_CAD!A83="","",INPUT_CAD!A83)</f>
        <v/>
      </c>
      <c r="B83" s="4" t="str">
        <f>IF(INPUT_CAD!B83="","",INPUT_CAD!B83)</f>
        <v/>
      </c>
      <c r="C83" s="4" t="str">
        <f>IF(INPUT_CAD!C83="","",INPUT_CAD!C83)</f>
        <v/>
      </c>
      <c r="D83" s="4" t="str">
        <f>IF(INPUT_CAD!D83="","",INPUT_CAD!D83)</f>
        <v/>
      </c>
      <c r="E83" s="4" t="str">
        <f>IF(INPUT_CAD!E83="","",INPUT_CAD!E83)</f>
        <v/>
      </c>
      <c r="F83" s="4" t="str">
        <f>IF(INPUT_CAD!F83="","",INPUT_CAD!F83)</f>
        <v/>
      </c>
      <c r="G83" s="4" t="str">
        <f>IF(INPUT_CAD!G83="","",INPUT_CAD!G83)</f>
        <v/>
      </c>
      <c r="I83" s="4" t="str">
        <f t="shared" si="9"/>
        <v/>
      </c>
      <c r="J83" s="4" t="str">
        <f t="shared" si="10"/>
        <v/>
      </c>
      <c r="K83" s="4" t="str">
        <f t="shared" si="11"/>
        <v/>
      </c>
      <c r="L83" s="4" t="str">
        <f>IFERROR(VLOOKUP(ROUND(K83,0),correction_tag!$A$7:$C$253,3),"x")</f>
        <v>x</v>
      </c>
      <c r="N83" s="4">
        <f t="shared" si="12"/>
        <v>1</v>
      </c>
      <c r="O83" s="4">
        <f>IF(N82=0,O82+INPUT_CAD!$B$4,INPUT_CAD!$B$4)</f>
        <v>2</v>
      </c>
      <c r="Q83" s="4" t="str">
        <f t="shared" si="13"/>
        <v/>
      </c>
      <c r="R83" s="4" t="str">
        <f t="shared" si="14"/>
        <v/>
      </c>
      <c r="S83" s="4" t="str">
        <f t="shared" si="15"/>
        <v/>
      </c>
      <c r="T83" s="4" t="str">
        <f>IFERROR(Q83*Setup!$C$26+R83*Setup!$D$26+S83*Setup!$E$26,"")</f>
        <v/>
      </c>
      <c r="U83" s="4" t="str">
        <f t="shared" si="17"/>
        <v/>
      </c>
      <c r="V83" s="4">
        <f t="shared" si="16"/>
        <v>90</v>
      </c>
    </row>
    <row r="84" spans="1:22" hidden="1" x14ac:dyDescent="0.25">
      <c r="A84" s="4" t="str">
        <f>IF(INPUT_CAD!A84="","",INPUT_CAD!A84)</f>
        <v/>
      </c>
      <c r="B84" s="4" t="str">
        <f>IF(INPUT_CAD!B84="","",INPUT_CAD!B84)</f>
        <v/>
      </c>
      <c r="C84" s="4" t="str">
        <f>IF(INPUT_CAD!C84="","",INPUT_CAD!C84)</f>
        <v/>
      </c>
      <c r="D84" s="4" t="str">
        <f>IF(INPUT_CAD!D84="","",INPUT_CAD!D84)</f>
        <v/>
      </c>
      <c r="E84" s="4" t="str">
        <f>IF(INPUT_CAD!E84="","",INPUT_CAD!E84)</f>
        <v/>
      </c>
      <c r="F84" s="4" t="str">
        <f>IF(INPUT_CAD!F84="","",INPUT_CAD!F84)</f>
        <v/>
      </c>
      <c r="G84" s="4" t="str">
        <f>IF(INPUT_CAD!G84="","",INPUT_CAD!G84)</f>
        <v/>
      </c>
      <c r="I84" s="4" t="str">
        <f t="shared" si="9"/>
        <v/>
      </c>
      <c r="J84" s="4" t="str">
        <f t="shared" si="10"/>
        <v/>
      </c>
      <c r="K84" s="4" t="str">
        <f t="shared" si="11"/>
        <v/>
      </c>
      <c r="L84" s="4" t="str">
        <f>IFERROR(VLOOKUP(ROUND(K84,0),correction_tag!$A$7:$C$253,3),"x")</f>
        <v>x</v>
      </c>
      <c r="N84" s="4">
        <f t="shared" si="12"/>
        <v>1</v>
      </c>
      <c r="O84" s="4">
        <f>IF(N83=0,O83+INPUT_CAD!$B$4,INPUT_CAD!$B$4)</f>
        <v>2</v>
      </c>
      <c r="Q84" s="4" t="str">
        <f t="shared" si="13"/>
        <v/>
      </c>
      <c r="R84" s="4" t="str">
        <f t="shared" si="14"/>
        <v/>
      </c>
      <c r="S84" s="4" t="str">
        <f t="shared" si="15"/>
        <v/>
      </c>
      <c r="T84" s="4" t="str">
        <f>IFERROR(Q84*Setup!$C$26+R84*Setup!$D$26+S84*Setup!$E$26,"")</f>
        <v/>
      </c>
      <c r="U84" s="4" t="str">
        <f t="shared" si="17"/>
        <v/>
      </c>
      <c r="V84" s="4">
        <f t="shared" si="16"/>
        <v>90</v>
      </c>
    </row>
    <row r="85" spans="1:22" hidden="1" x14ac:dyDescent="0.25">
      <c r="A85" s="4" t="str">
        <f>IF(INPUT_CAD!A85="","",INPUT_CAD!A85)</f>
        <v/>
      </c>
      <c r="B85" s="4" t="str">
        <f>IF(INPUT_CAD!B85="","",INPUT_CAD!B85)</f>
        <v/>
      </c>
      <c r="C85" s="4" t="str">
        <f>IF(INPUT_CAD!C85="","",INPUT_CAD!C85)</f>
        <v/>
      </c>
      <c r="D85" s="4" t="str">
        <f>IF(INPUT_CAD!D85="","",INPUT_CAD!D85)</f>
        <v/>
      </c>
      <c r="E85" s="4" t="str">
        <f>IF(INPUT_CAD!E85="","",INPUT_CAD!E85)</f>
        <v/>
      </c>
      <c r="F85" s="4" t="str">
        <f>IF(INPUT_CAD!F85="","",INPUT_CAD!F85)</f>
        <v/>
      </c>
      <c r="G85" s="4" t="str">
        <f>IF(INPUT_CAD!G85="","",INPUT_CAD!G85)</f>
        <v/>
      </c>
      <c r="I85" s="4" t="str">
        <f t="shared" si="9"/>
        <v/>
      </c>
      <c r="J85" s="4" t="str">
        <f t="shared" si="10"/>
        <v/>
      </c>
      <c r="K85" s="4" t="str">
        <f t="shared" si="11"/>
        <v/>
      </c>
      <c r="L85" s="4" t="str">
        <f>IFERROR(VLOOKUP(ROUND(K85,0),correction_tag!$A$7:$C$253,3),"x")</f>
        <v>x</v>
      </c>
      <c r="N85" s="4">
        <f t="shared" si="12"/>
        <v>1</v>
      </c>
      <c r="O85" s="4">
        <f>IF(N84=0,O84+INPUT_CAD!$B$4,INPUT_CAD!$B$4)</f>
        <v>2</v>
      </c>
      <c r="Q85" s="4" t="str">
        <f t="shared" si="13"/>
        <v/>
      </c>
      <c r="R85" s="4" t="str">
        <f t="shared" si="14"/>
        <v/>
      </c>
      <c r="S85" s="4" t="str">
        <f t="shared" si="15"/>
        <v/>
      </c>
      <c r="T85" s="4" t="str">
        <f>IFERROR(Q85*Setup!$C$26+R85*Setup!$D$26+S85*Setup!$E$26,"")</f>
        <v/>
      </c>
      <c r="U85" s="4" t="str">
        <f t="shared" si="17"/>
        <v/>
      </c>
      <c r="V85" s="4">
        <f t="shared" si="16"/>
        <v>90</v>
      </c>
    </row>
    <row r="86" spans="1:22" hidden="1" x14ac:dyDescent="0.25">
      <c r="A86" s="4" t="str">
        <f>IF(INPUT_CAD!A86="","",INPUT_CAD!A86)</f>
        <v/>
      </c>
      <c r="B86" s="4" t="str">
        <f>IF(INPUT_CAD!B86="","",INPUT_CAD!B86)</f>
        <v/>
      </c>
      <c r="C86" s="4" t="str">
        <f>IF(INPUT_CAD!C86="","",INPUT_CAD!C86)</f>
        <v/>
      </c>
      <c r="D86" s="4" t="str">
        <f>IF(INPUT_CAD!D86="","",INPUT_CAD!D86)</f>
        <v/>
      </c>
      <c r="E86" s="4" t="str">
        <f>IF(INPUT_CAD!E86="","",INPUT_CAD!E86)</f>
        <v/>
      </c>
      <c r="F86" s="4" t="str">
        <f>IF(INPUT_CAD!F86="","",INPUT_CAD!F86)</f>
        <v/>
      </c>
      <c r="G86" s="4" t="str">
        <f>IF(INPUT_CAD!G86="","",INPUT_CAD!G86)</f>
        <v/>
      </c>
      <c r="I86" s="4" t="str">
        <f t="shared" ref="I86:I149" si="18">IFERROR(E85*E86+F85*F86+G85*G86,"")</f>
        <v/>
      </c>
      <c r="J86" s="4" t="str">
        <f t="shared" ref="J86:J149" si="19">IFERROR(SQRT(E86^2+F86^2+G86^2),"")</f>
        <v/>
      </c>
      <c r="K86" s="4" t="str">
        <f t="shared" ref="K86:K149" si="20">IFERROR(DEGREES(ACOS(I86/(J85*J86))),"")</f>
        <v/>
      </c>
      <c r="L86" s="4" t="str">
        <f>IFERROR(VLOOKUP(ROUND(K86,0),correction_tag!$A$7:$C$253,3),"x")</f>
        <v>x</v>
      </c>
      <c r="N86" s="4">
        <f t="shared" si="12"/>
        <v>1</v>
      </c>
      <c r="O86" s="4">
        <f>IF(N85=0,O85+INPUT_CAD!$B$4,INPUT_CAD!$B$4)</f>
        <v>2</v>
      </c>
      <c r="Q86" s="4" t="str">
        <f t="shared" si="13"/>
        <v/>
      </c>
      <c r="R86" s="4" t="str">
        <f t="shared" si="14"/>
        <v/>
      </c>
      <c r="S86" s="4" t="str">
        <f t="shared" si="15"/>
        <v/>
      </c>
      <c r="T86" s="4" t="str">
        <f>IFERROR(Q86*Setup!$C$26+R86*Setup!$D$26+S86*Setup!$E$26,"")</f>
        <v/>
      </c>
      <c r="U86" s="4" t="str">
        <f t="shared" si="17"/>
        <v/>
      </c>
      <c r="V86" s="4">
        <f t="shared" si="16"/>
        <v>90</v>
      </c>
    </row>
    <row r="87" spans="1:22" hidden="1" x14ac:dyDescent="0.25">
      <c r="A87" s="4" t="str">
        <f>IF(INPUT_CAD!A87="","",INPUT_CAD!A87)</f>
        <v/>
      </c>
      <c r="B87" s="4" t="str">
        <f>IF(INPUT_CAD!B87="","",INPUT_CAD!B87)</f>
        <v/>
      </c>
      <c r="C87" s="4" t="str">
        <f>IF(INPUT_CAD!C87="","",INPUT_CAD!C87)</f>
        <v/>
      </c>
      <c r="D87" s="4" t="str">
        <f>IF(INPUT_CAD!D87="","",INPUT_CAD!D87)</f>
        <v/>
      </c>
      <c r="E87" s="4" t="str">
        <f>IF(INPUT_CAD!E87="","",INPUT_CAD!E87)</f>
        <v/>
      </c>
      <c r="F87" s="4" t="str">
        <f>IF(INPUT_CAD!F87="","",INPUT_CAD!F87)</f>
        <v/>
      </c>
      <c r="G87" s="4" t="str">
        <f>IF(INPUT_CAD!G87="","",INPUT_CAD!G87)</f>
        <v/>
      </c>
      <c r="I87" s="4" t="str">
        <f t="shared" si="18"/>
        <v/>
      </c>
      <c r="J87" s="4" t="str">
        <f t="shared" si="19"/>
        <v/>
      </c>
      <c r="K87" s="4" t="str">
        <f t="shared" si="20"/>
        <v/>
      </c>
      <c r="L87" s="4" t="str">
        <f>IFERROR(VLOOKUP(ROUND(K87,0),correction_tag!$A$7:$C$253,3),"x")</f>
        <v>x</v>
      </c>
      <c r="N87" s="4">
        <f t="shared" si="12"/>
        <v>1</v>
      </c>
      <c r="O87" s="4">
        <f>IF(N86=0,O86+INPUT_CAD!$B$4,INPUT_CAD!$B$4)</f>
        <v>2</v>
      </c>
      <c r="Q87" s="4" t="str">
        <f t="shared" si="13"/>
        <v/>
      </c>
      <c r="R87" s="4" t="str">
        <f t="shared" si="14"/>
        <v/>
      </c>
      <c r="S87" s="4" t="str">
        <f t="shared" si="15"/>
        <v/>
      </c>
      <c r="T87" s="4" t="str">
        <f>IFERROR(Q87*Setup!$C$26+R87*Setup!$D$26+S87*Setup!$E$26,"")</f>
        <v/>
      </c>
      <c r="U87" s="4" t="str">
        <f t="shared" si="17"/>
        <v/>
      </c>
      <c r="V87" s="4">
        <f t="shared" si="16"/>
        <v>90</v>
      </c>
    </row>
    <row r="88" spans="1:22" hidden="1" x14ac:dyDescent="0.25">
      <c r="A88" s="4" t="str">
        <f>IF(INPUT_CAD!A88="","",INPUT_CAD!A88)</f>
        <v/>
      </c>
      <c r="B88" s="4" t="str">
        <f>IF(INPUT_CAD!B88="","",INPUT_CAD!B88)</f>
        <v/>
      </c>
      <c r="C88" s="4" t="str">
        <f>IF(INPUT_CAD!C88="","",INPUT_CAD!C88)</f>
        <v/>
      </c>
      <c r="D88" s="4" t="str">
        <f>IF(INPUT_CAD!D88="","",INPUT_CAD!D88)</f>
        <v/>
      </c>
      <c r="E88" s="4" t="str">
        <f>IF(INPUT_CAD!E88="","",INPUT_CAD!E88)</f>
        <v/>
      </c>
      <c r="F88" s="4" t="str">
        <f>IF(INPUT_CAD!F88="","",INPUT_CAD!F88)</f>
        <v/>
      </c>
      <c r="G88" s="4" t="str">
        <f>IF(INPUT_CAD!G88="","",INPUT_CAD!G88)</f>
        <v/>
      </c>
      <c r="I88" s="4" t="str">
        <f t="shared" si="18"/>
        <v/>
      </c>
      <c r="J88" s="4" t="str">
        <f t="shared" si="19"/>
        <v/>
      </c>
      <c r="K88" s="4" t="str">
        <f t="shared" si="20"/>
        <v/>
      </c>
      <c r="L88" s="4" t="str">
        <f>IFERROR(VLOOKUP(ROUND(K88,0),correction_tag!$A$7:$C$253,3),"x")</f>
        <v>x</v>
      </c>
      <c r="N88" s="4">
        <f t="shared" si="12"/>
        <v>1</v>
      </c>
      <c r="O88" s="4">
        <f>IF(N87=0,O87+INPUT_CAD!$B$4,INPUT_CAD!$B$4)</f>
        <v>2</v>
      </c>
      <c r="Q88" s="4" t="str">
        <f t="shared" si="13"/>
        <v/>
      </c>
      <c r="R88" s="4" t="str">
        <f t="shared" si="14"/>
        <v/>
      </c>
      <c r="S88" s="4" t="str">
        <f t="shared" si="15"/>
        <v/>
      </c>
      <c r="T88" s="4" t="str">
        <f>IFERROR(Q88*Setup!$C$26+R88*Setup!$D$26+S88*Setup!$E$26,"")</f>
        <v/>
      </c>
      <c r="U88" s="4" t="str">
        <f t="shared" si="17"/>
        <v/>
      </c>
      <c r="V88" s="4">
        <f t="shared" si="16"/>
        <v>90</v>
      </c>
    </row>
    <row r="89" spans="1:22" hidden="1" x14ac:dyDescent="0.25">
      <c r="A89" s="4" t="str">
        <f>IF(INPUT_CAD!A89="","",INPUT_CAD!A89)</f>
        <v/>
      </c>
      <c r="B89" s="4" t="str">
        <f>IF(INPUT_CAD!B89="","",INPUT_CAD!B89)</f>
        <v/>
      </c>
      <c r="C89" s="4" t="str">
        <f>IF(INPUT_CAD!C89="","",INPUT_CAD!C89)</f>
        <v/>
      </c>
      <c r="D89" s="4" t="str">
        <f>IF(INPUT_CAD!D89="","",INPUT_CAD!D89)</f>
        <v/>
      </c>
      <c r="E89" s="4" t="str">
        <f>IF(INPUT_CAD!E89="","",INPUT_CAD!E89)</f>
        <v/>
      </c>
      <c r="F89" s="4" t="str">
        <f>IF(INPUT_CAD!F89="","",INPUT_CAD!F89)</f>
        <v/>
      </c>
      <c r="G89" s="4" t="str">
        <f>IF(INPUT_CAD!G89="","",INPUT_CAD!G89)</f>
        <v/>
      </c>
      <c r="I89" s="4" t="str">
        <f t="shared" si="18"/>
        <v/>
      </c>
      <c r="J89" s="4" t="str">
        <f t="shared" si="19"/>
        <v/>
      </c>
      <c r="K89" s="4" t="str">
        <f t="shared" si="20"/>
        <v/>
      </c>
      <c r="L89" s="4" t="str">
        <f>IFERROR(VLOOKUP(ROUND(K89,0),correction_tag!$A$7:$C$253,3),"x")</f>
        <v>x</v>
      </c>
      <c r="N89" s="4">
        <f t="shared" si="12"/>
        <v>1</v>
      </c>
      <c r="O89" s="4">
        <f>IF(N88=0,O88+INPUT_CAD!$B$4,INPUT_CAD!$B$4)</f>
        <v>2</v>
      </c>
      <c r="Q89" s="4" t="str">
        <f t="shared" si="13"/>
        <v/>
      </c>
      <c r="R89" s="4" t="str">
        <f t="shared" si="14"/>
        <v/>
      </c>
      <c r="S89" s="4" t="str">
        <f t="shared" si="15"/>
        <v/>
      </c>
      <c r="T89" s="4" t="str">
        <f>IFERROR(Q89*Setup!$C$26+R89*Setup!$D$26+S89*Setup!$E$26,"")</f>
        <v/>
      </c>
      <c r="U89" s="4" t="str">
        <f t="shared" si="17"/>
        <v/>
      </c>
      <c r="V89" s="4">
        <f t="shared" si="16"/>
        <v>90</v>
      </c>
    </row>
    <row r="90" spans="1:22" hidden="1" x14ac:dyDescent="0.25">
      <c r="A90" s="4" t="str">
        <f>IF(INPUT_CAD!A90="","",INPUT_CAD!A90)</f>
        <v/>
      </c>
      <c r="B90" s="4" t="str">
        <f>IF(INPUT_CAD!B90="","",INPUT_CAD!B90)</f>
        <v/>
      </c>
      <c r="C90" s="4" t="str">
        <f>IF(INPUT_CAD!C90="","",INPUT_CAD!C90)</f>
        <v/>
      </c>
      <c r="D90" s="4" t="str">
        <f>IF(INPUT_CAD!D90="","",INPUT_CAD!D90)</f>
        <v/>
      </c>
      <c r="E90" s="4" t="str">
        <f>IF(INPUT_CAD!E90="","",INPUT_CAD!E90)</f>
        <v/>
      </c>
      <c r="F90" s="4" t="str">
        <f>IF(INPUT_CAD!F90="","",INPUT_CAD!F90)</f>
        <v/>
      </c>
      <c r="G90" s="4" t="str">
        <f>IF(INPUT_CAD!G90="","",INPUT_CAD!G90)</f>
        <v/>
      </c>
      <c r="I90" s="4" t="str">
        <f t="shared" si="18"/>
        <v/>
      </c>
      <c r="J90" s="4" t="str">
        <f t="shared" si="19"/>
        <v/>
      </c>
      <c r="K90" s="4" t="str">
        <f t="shared" si="20"/>
        <v/>
      </c>
      <c r="L90" s="4" t="str">
        <f>IFERROR(VLOOKUP(ROUND(K90,0),correction_tag!$A$7:$C$253,3),"x")</f>
        <v>x</v>
      </c>
      <c r="N90" s="4">
        <f t="shared" si="12"/>
        <v>1</v>
      </c>
      <c r="O90" s="4">
        <f>IF(N89=0,O89+INPUT_CAD!$B$4,INPUT_CAD!$B$4)</f>
        <v>2</v>
      </c>
      <c r="Q90" s="4" t="str">
        <f t="shared" si="13"/>
        <v/>
      </c>
      <c r="R90" s="4" t="str">
        <f t="shared" si="14"/>
        <v/>
      </c>
      <c r="S90" s="4" t="str">
        <f t="shared" si="15"/>
        <v/>
      </c>
      <c r="T90" s="4" t="str">
        <f>IFERROR(Q90*Setup!$C$26+R90*Setup!$D$26+S90*Setup!$E$26,"")</f>
        <v/>
      </c>
      <c r="U90" s="4" t="str">
        <f t="shared" si="17"/>
        <v/>
      </c>
      <c r="V90" s="4">
        <f t="shared" si="16"/>
        <v>90</v>
      </c>
    </row>
    <row r="91" spans="1:22" hidden="1" x14ac:dyDescent="0.25">
      <c r="A91" s="4" t="str">
        <f>IF(INPUT_CAD!A91="","",INPUT_CAD!A91)</f>
        <v/>
      </c>
      <c r="B91" s="4" t="str">
        <f>IF(INPUT_CAD!B91="","",INPUT_CAD!B91)</f>
        <v/>
      </c>
      <c r="C91" s="4" t="str">
        <f>IF(INPUT_CAD!C91="","",INPUT_CAD!C91)</f>
        <v/>
      </c>
      <c r="D91" s="4" t="str">
        <f>IF(INPUT_CAD!D91="","",INPUT_CAD!D91)</f>
        <v/>
      </c>
      <c r="E91" s="4" t="str">
        <f>IF(INPUT_CAD!E91="","",INPUT_CAD!E91)</f>
        <v/>
      </c>
      <c r="F91" s="4" t="str">
        <f>IF(INPUT_CAD!F91="","",INPUT_CAD!F91)</f>
        <v/>
      </c>
      <c r="G91" s="4" t="str">
        <f>IF(INPUT_CAD!G91="","",INPUT_CAD!G91)</f>
        <v/>
      </c>
      <c r="I91" s="4" t="str">
        <f t="shared" si="18"/>
        <v/>
      </c>
      <c r="J91" s="4" t="str">
        <f t="shared" si="19"/>
        <v/>
      </c>
      <c r="K91" s="4" t="str">
        <f t="shared" si="20"/>
        <v/>
      </c>
      <c r="L91" s="4" t="str">
        <f>IFERROR(VLOOKUP(ROUND(K91,0),correction_tag!$A$7:$C$253,3),"x")</f>
        <v>x</v>
      </c>
      <c r="N91" s="4">
        <f t="shared" si="12"/>
        <v>1</v>
      </c>
      <c r="O91" s="4">
        <f>IF(N90=0,O90+INPUT_CAD!$B$4,INPUT_CAD!$B$4)</f>
        <v>2</v>
      </c>
      <c r="Q91" s="4" t="str">
        <f t="shared" si="13"/>
        <v/>
      </c>
      <c r="R91" s="4" t="str">
        <f t="shared" si="14"/>
        <v/>
      </c>
      <c r="S91" s="4" t="str">
        <f t="shared" si="15"/>
        <v/>
      </c>
      <c r="T91" s="4" t="str">
        <f>IFERROR(Q91*Setup!$C$26+R91*Setup!$D$26+S91*Setup!$E$26,"")</f>
        <v/>
      </c>
      <c r="U91" s="4" t="str">
        <f t="shared" si="17"/>
        <v/>
      </c>
      <c r="V91" s="4">
        <f t="shared" si="16"/>
        <v>90</v>
      </c>
    </row>
    <row r="92" spans="1:22" hidden="1" x14ac:dyDescent="0.25">
      <c r="A92" s="4" t="str">
        <f>IF(INPUT_CAD!A92="","",INPUT_CAD!A92)</f>
        <v/>
      </c>
      <c r="B92" s="4" t="str">
        <f>IF(INPUT_CAD!B92="","",INPUT_CAD!B92)</f>
        <v/>
      </c>
      <c r="C92" s="4" t="str">
        <f>IF(INPUT_CAD!C92="","",INPUT_CAD!C92)</f>
        <v/>
      </c>
      <c r="D92" s="4" t="str">
        <f>IF(INPUT_CAD!D92="","",INPUT_CAD!D92)</f>
        <v/>
      </c>
      <c r="E92" s="4" t="str">
        <f>IF(INPUT_CAD!E92="","",INPUT_CAD!E92)</f>
        <v/>
      </c>
      <c r="F92" s="4" t="str">
        <f>IF(INPUT_CAD!F92="","",INPUT_CAD!F92)</f>
        <v/>
      </c>
      <c r="G92" s="4" t="str">
        <f>IF(INPUT_CAD!G92="","",INPUT_CAD!G92)</f>
        <v/>
      </c>
      <c r="I92" s="4" t="str">
        <f t="shared" si="18"/>
        <v/>
      </c>
      <c r="J92" s="4" t="str">
        <f t="shared" si="19"/>
        <v/>
      </c>
      <c r="K92" s="4" t="str">
        <f t="shared" si="20"/>
        <v/>
      </c>
      <c r="L92" s="4" t="str">
        <f>IFERROR(VLOOKUP(ROUND(K92,0),correction_tag!$A$7:$C$253,3),"x")</f>
        <v>x</v>
      </c>
      <c r="N92" s="4">
        <f t="shared" si="12"/>
        <v>1</v>
      </c>
      <c r="O92" s="4">
        <f>IF(N91=0,O91+INPUT_CAD!$B$4,INPUT_CAD!$B$4)</f>
        <v>2</v>
      </c>
      <c r="Q92" s="4" t="str">
        <f t="shared" si="13"/>
        <v/>
      </c>
      <c r="R92" s="4" t="str">
        <f t="shared" si="14"/>
        <v/>
      </c>
      <c r="S92" s="4" t="str">
        <f t="shared" si="15"/>
        <v/>
      </c>
      <c r="T92" s="4" t="str">
        <f>IFERROR(Q92*Setup!$C$26+R92*Setup!$D$26+S92*Setup!$E$26,"")</f>
        <v/>
      </c>
      <c r="U92" s="4" t="str">
        <f t="shared" si="17"/>
        <v/>
      </c>
      <c r="V92" s="4">
        <f t="shared" si="16"/>
        <v>90</v>
      </c>
    </row>
    <row r="93" spans="1:22" hidden="1" x14ac:dyDescent="0.25">
      <c r="A93" s="4" t="str">
        <f>IF(INPUT_CAD!A93="","",INPUT_CAD!A93)</f>
        <v/>
      </c>
      <c r="B93" s="4" t="str">
        <f>IF(INPUT_CAD!B93="","",INPUT_CAD!B93)</f>
        <v/>
      </c>
      <c r="C93" s="4" t="str">
        <f>IF(INPUT_CAD!C93="","",INPUT_CAD!C93)</f>
        <v/>
      </c>
      <c r="D93" s="4" t="str">
        <f>IF(INPUT_CAD!D93="","",INPUT_CAD!D93)</f>
        <v/>
      </c>
      <c r="E93" s="4" t="str">
        <f>IF(INPUT_CAD!E93="","",INPUT_CAD!E93)</f>
        <v/>
      </c>
      <c r="F93" s="4" t="str">
        <f>IF(INPUT_CAD!F93="","",INPUT_CAD!F93)</f>
        <v/>
      </c>
      <c r="G93" s="4" t="str">
        <f>IF(INPUT_CAD!G93="","",INPUT_CAD!G93)</f>
        <v/>
      </c>
      <c r="I93" s="4" t="str">
        <f t="shared" si="18"/>
        <v/>
      </c>
      <c r="J93" s="4" t="str">
        <f t="shared" si="19"/>
        <v/>
      </c>
      <c r="K93" s="4" t="str">
        <f t="shared" si="20"/>
        <v/>
      </c>
      <c r="L93" s="4" t="str">
        <f>IFERROR(VLOOKUP(ROUND(K93,0),correction_tag!$A$7:$C$253,3),"x")</f>
        <v>x</v>
      </c>
      <c r="N93" s="4">
        <f t="shared" si="12"/>
        <v>1</v>
      </c>
      <c r="O93" s="4">
        <f>IF(N92=0,O92+INPUT_CAD!$B$4,INPUT_CAD!$B$4)</f>
        <v>2</v>
      </c>
      <c r="Q93" s="4" t="str">
        <f t="shared" si="13"/>
        <v/>
      </c>
      <c r="R93" s="4" t="str">
        <f t="shared" si="14"/>
        <v/>
      </c>
      <c r="S93" s="4" t="str">
        <f t="shared" si="15"/>
        <v/>
      </c>
      <c r="T93" s="4" t="str">
        <f>IFERROR(Q93*Setup!$C$26+R93*Setup!$D$26+S93*Setup!$E$26,"")</f>
        <v/>
      </c>
      <c r="U93" s="4" t="str">
        <f t="shared" si="17"/>
        <v/>
      </c>
      <c r="V93" s="4">
        <f t="shared" si="16"/>
        <v>90</v>
      </c>
    </row>
    <row r="94" spans="1:22" hidden="1" x14ac:dyDescent="0.25">
      <c r="A94" s="4" t="str">
        <f>IF(INPUT_CAD!A94="","",INPUT_CAD!A94)</f>
        <v/>
      </c>
      <c r="B94" s="4" t="str">
        <f>IF(INPUT_CAD!B94="","",INPUT_CAD!B94)</f>
        <v/>
      </c>
      <c r="C94" s="4" t="str">
        <f>IF(INPUT_CAD!C94="","",INPUT_CAD!C94)</f>
        <v/>
      </c>
      <c r="D94" s="4" t="str">
        <f>IF(INPUT_CAD!D94="","",INPUT_CAD!D94)</f>
        <v/>
      </c>
      <c r="E94" s="4" t="str">
        <f>IF(INPUT_CAD!E94="","",INPUT_CAD!E94)</f>
        <v/>
      </c>
      <c r="F94" s="4" t="str">
        <f>IF(INPUT_CAD!F94="","",INPUT_CAD!F94)</f>
        <v/>
      </c>
      <c r="G94" s="4" t="str">
        <f>IF(INPUT_CAD!G94="","",INPUT_CAD!G94)</f>
        <v/>
      </c>
      <c r="I94" s="4" t="str">
        <f t="shared" si="18"/>
        <v/>
      </c>
      <c r="J94" s="4" t="str">
        <f t="shared" si="19"/>
        <v/>
      </c>
      <c r="K94" s="4" t="str">
        <f t="shared" si="20"/>
        <v/>
      </c>
      <c r="L94" s="4" t="str">
        <f>IFERROR(VLOOKUP(ROUND(K94,0),correction_tag!$A$7:$C$253,3),"x")</f>
        <v>x</v>
      </c>
      <c r="N94" s="4">
        <f t="shared" si="12"/>
        <v>1</v>
      </c>
      <c r="O94" s="4">
        <f>IF(N93=0,O93+INPUT_CAD!$B$4,INPUT_CAD!$B$4)</f>
        <v>2</v>
      </c>
      <c r="Q94" s="4" t="str">
        <f t="shared" si="13"/>
        <v/>
      </c>
      <c r="R94" s="4" t="str">
        <f t="shared" si="14"/>
        <v/>
      </c>
      <c r="S94" s="4" t="str">
        <f t="shared" si="15"/>
        <v/>
      </c>
      <c r="T94" s="4" t="str">
        <f>IFERROR(Q94*Setup!$C$26+R94*Setup!$D$26+S94*Setup!$E$26,"")</f>
        <v/>
      </c>
      <c r="U94" s="4" t="str">
        <f t="shared" si="17"/>
        <v/>
      </c>
      <c r="V94" s="4">
        <f t="shared" si="16"/>
        <v>90</v>
      </c>
    </row>
    <row r="95" spans="1:22" hidden="1" x14ac:dyDescent="0.25">
      <c r="A95" s="4" t="str">
        <f>IF(INPUT_CAD!A95="","",INPUT_CAD!A95)</f>
        <v/>
      </c>
      <c r="B95" s="4" t="str">
        <f>IF(INPUT_CAD!B95="","",INPUT_CAD!B95)</f>
        <v/>
      </c>
      <c r="C95" s="4" t="str">
        <f>IF(INPUT_CAD!C95="","",INPUT_CAD!C95)</f>
        <v/>
      </c>
      <c r="D95" s="4" t="str">
        <f>IF(INPUT_CAD!D95="","",INPUT_CAD!D95)</f>
        <v/>
      </c>
      <c r="E95" s="4" t="str">
        <f>IF(INPUT_CAD!E95="","",INPUT_CAD!E95)</f>
        <v/>
      </c>
      <c r="F95" s="4" t="str">
        <f>IF(INPUT_CAD!F95="","",INPUT_CAD!F95)</f>
        <v/>
      </c>
      <c r="G95" s="4" t="str">
        <f>IF(INPUT_CAD!G95="","",INPUT_CAD!G95)</f>
        <v/>
      </c>
      <c r="I95" s="4" t="str">
        <f t="shared" si="18"/>
        <v/>
      </c>
      <c r="J95" s="4" t="str">
        <f t="shared" si="19"/>
        <v/>
      </c>
      <c r="K95" s="4" t="str">
        <f t="shared" si="20"/>
        <v/>
      </c>
      <c r="L95" s="4" t="str">
        <f>IFERROR(VLOOKUP(ROUND(K95,0),correction_tag!$A$7:$C$253,3),"x")</f>
        <v>x</v>
      </c>
      <c r="N95" s="4">
        <f t="shared" si="12"/>
        <v>1</v>
      </c>
      <c r="O95" s="4">
        <f>IF(N94=0,O94+INPUT_CAD!$B$4,INPUT_CAD!$B$4)</f>
        <v>2</v>
      </c>
      <c r="Q95" s="4" t="str">
        <f t="shared" si="13"/>
        <v/>
      </c>
      <c r="R95" s="4" t="str">
        <f t="shared" si="14"/>
        <v/>
      </c>
      <c r="S95" s="4" t="str">
        <f t="shared" si="15"/>
        <v/>
      </c>
      <c r="T95" s="4" t="str">
        <f>IFERROR(Q95*Setup!$C$26+R95*Setup!$D$26+S95*Setup!$E$26,"")</f>
        <v/>
      </c>
      <c r="U95" s="4" t="str">
        <f t="shared" si="17"/>
        <v/>
      </c>
      <c r="V95" s="4">
        <f t="shared" si="16"/>
        <v>90</v>
      </c>
    </row>
    <row r="96" spans="1:22" hidden="1" x14ac:dyDescent="0.25">
      <c r="A96" s="4" t="str">
        <f>IF(INPUT_CAD!A96="","",INPUT_CAD!A96)</f>
        <v/>
      </c>
      <c r="B96" s="4" t="str">
        <f>IF(INPUT_CAD!B96="","",INPUT_CAD!B96)</f>
        <v/>
      </c>
      <c r="C96" s="4" t="str">
        <f>IF(INPUT_CAD!C96="","",INPUT_CAD!C96)</f>
        <v/>
      </c>
      <c r="D96" s="4" t="str">
        <f>IF(INPUT_CAD!D96="","",INPUT_CAD!D96)</f>
        <v/>
      </c>
      <c r="E96" s="4" t="str">
        <f>IF(INPUT_CAD!E96="","",INPUT_CAD!E96)</f>
        <v/>
      </c>
      <c r="F96" s="4" t="str">
        <f>IF(INPUT_CAD!F96="","",INPUT_CAD!F96)</f>
        <v/>
      </c>
      <c r="G96" s="4" t="str">
        <f>IF(INPUT_CAD!G96="","",INPUT_CAD!G96)</f>
        <v/>
      </c>
      <c r="I96" s="4" t="str">
        <f t="shared" si="18"/>
        <v/>
      </c>
      <c r="J96" s="4" t="str">
        <f t="shared" si="19"/>
        <v/>
      </c>
      <c r="K96" s="4" t="str">
        <f t="shared" si="20"/>
        <v/>
      </c>
      <c r="L96" s="4" t="str">
        <f>IFERROR(VLOOKUP(ROUND(K96,0),correction_tag!$A$7:$C$253,3),"x")</f>
        <v>x</v>
      </c>
      <c r="N96" s="4">
        <f t="shared" si="12"/>
        <v>1</v>
      </c>
      <c r="O96" s="4">
        <f>IF(N95=0,O95+INPUT_CAD!$B$4,INPUT_CAD!$B$4)</f>
        <v>2</v>
      </c>
      <c r="Q96" s="4" t="str">
        <f t="shared" si="13"/>
        <v/>
      </c>
      <c r="R96" s="4" t="str">
        <f t="shared" si="14"/>
        <v/>
      </c>
      <c r="S96" s="4" t="str">
        <f t="shared" si="15"/>
        <v/>
      </c>
      <c r="T96" s="4" t="str">
        <f>IFERROR(Q96*Setup!$C$26+R96*Setup!$D$26+S96*Setup!$E$26,"")</f>
        <v/>
      </c>
      <c r="U96" s="4" t="str">
        <f t="shared" si="17"/>
        <v/>
      </c>
      <c r="V96" s="4">
        <f t="shared" si="16"/>
        <v>90</v>
      </c>
    </row>
    <row r="97" spans="1:22" hidden="1" x14ac:dyDescent="0.25">
      <c r="A97" s="4" t="str">
        <f>IF(INPUT_CAD!A97="","",INPUT_CAD!A97)</f>
        <v/>
      </c>
      <c r="B97" s="4" t="str">
        <f>IF(INPUT_CAD!B97="","",INPUT_CAD!B97)</f>
        <v/>
      </c>
      <c r="C97" s="4" t="str">
        <f>IF(INPUT_CAD!C97="","",INPUT_CAD!C97)</f>
        <v/>
      </c>
      <c r="D97" s="4" t="str">
        <f>IF(INPUT_CAD!D97="","",INPUT_CAD!D97)</f>
        <v/>
      </c>
      <c r="E97" s="4" t="str">
        <f>IF(INPUT_CAD!E97="","",INPUT_CAD!E97)</f>
        <v/>
      </c>
      <c r="F97" s="4" t="str">
        <f>IF(INPUT_CAD!F97="","",INPUT_CAD!F97)</f>
        <v/>
      </c>
      <c r="G97" s="4" t="str">
        <f>IF(INPUT_CAD!G97="","",INPUT_CAD!G97)</f>
        <v/>
      </c>
      <c r="I97" s="4" t="str">
        <f t="shared" si="18"/>
        <v/>
      </c>
      <c r="J97" s="4" t="str">
        <f t="shared" si="19"/>
        <v/>
      </c>
      <c r="K97" s="4" t="str">
        <f t="shared" si="20"/>
        <v/>
      </c>
      <c r="L97" s="4" t="str">
        <f>IFERROR(VLOOKUP(ROUND(K97,0),correction_tag!$A$7:$C$253,3),"x")</f>
        <v>x</v>
      </c>
      <c r="N97" s="4">
        <f t="shared" si="12"/>
        <v>1</v>
      </c>
      <c r="O97" s="4">
        <f>IF(N96=0,O96+INPUT_CAD!$B$4,INPUT_CAD!$B$4)</f>
        <v>2</v>
      </c>
      <c r="Q97" s="4" t="str">
        <f t="shared" si="13"/>
        <v/>
      </c>
      <c r="R97" s="4" t="str">
        <f t="shared" si="14"/>
        <v/>
      </c>
      <c r="S97" s="4" t="str">
        <f t="shared" si="15"/>
        <v/>
      </c>
      <c r="T97" s="4" t="str">
        <f>IFERROR(Q97*Setup!$C$26+R97*Setup!$D$26+S97*Setup!$E$26,"")</f>
        <v/>
      </c>
      <c r="U97" s="4" t="str">
        <f t="shared" si="17"/>
        <v/>
      </c>
      <c r="V97" s="4">
        <f t="shared" si="16"/>
        <v>90</v>
      </c>
    </row>
    <row r="98" spans="1:22" hidden="1" x14ac:dyDescent="0.25">
      <c r="A98" s="4" t="str">
        <f>IF(INPUT_CAD!A98="","",INPUT_CAD!A98)</f>
        <v/>
      </c>
      <c r="B98" s="4" t="str">
        <f>IF(INPUT_CAD!B98="","",INPUT_CAD!B98)</f>
        <v/>
      </c>
      <c r="C98" s="4" t="str">
        <f>IF(INPUT_CAD!C98="","",INPUT_CAD!C98)</f>
        <v/>
      </c>
      <c r="D98" s="4" t="str">
        <f>IF(INPUT_CAD!D98="","",INPUT_CAD!D98)</f>
        <v/>
      </c>
      <c r="E98" s="4" t="str">
        <f>IF(INPUT_CAD!E98="","",INPUT_CAD!E98)</f>
        <v/>
      </c>
      <c r="F98" s="4" t="str">
        <f>IF(INPUT_CAD!F98="","",INPUT_CAD!F98)</f>
        <v/>
      </c>
      <c r="G98" s="4" t="str">
        <f>IF(INPUT_CAD!G98="","",INPUT_CAD!G98)</f>
        <v/>
      </c>
      <c r="I98" s="4" t="str">
        <f t="shared" si="18"/>
        <v/>
      </c>
      <c r="J98" s="4" t="str">
        <f t="shared" si="19"/>
        <v/>
      </c>
      <c r="K98" s="4" t="str">
        <f t="shared" si="20"/>
        <v/>
      </c>
      <c r="L98" s="4" t="str">
        <f>IFERROR(VLOOKUP(ROUND(K98,0),correction_tag!$A$7:$C$253,3),"x")</f>
        <v>x</v>
      </c>
      <c r="N98" s="4">
        <f t="shared" si="12"/>
        <v>1</v>
      </c>
      <c r="O98" s="4">
        <f>IF(N97=0,O97+INPUT_CAD!$B$4,INPUT_CAD!$B$4)</f>
        <v>2</v>
      </c>
      <c r="Q98" s="4" t="str">
        <f t="shared" si="13"/>
        <v/>
      </c>
      <c r="R98" s="4" t="str">
        <f t="shared" si="14"/>
        <v/>
      </c>
      <c r="S98" s="4" t="str">
        <f t="shared" si="15"/>
        <v/>
      </c>
      <c r="T98" s="4" t="str">
        <f>IFERROR(Q98*Setup!$C$26+R98*Setup!$D$26+S98*Setup!$E$26,"")</f>
        <v/>
      </c>
      <c r="U98" s="4" t="str">
        <f t="shared" si="17"/>
        <v/>
      </c>
      <c r="V98" s="4">
        <f t="shared" si="16"/>
        <v>90</v>
      </c>
    </row>
    <row r="99" spans="1:22" hidden="1" x14ac:dyDescent="0.25">
      <c r="A99" s="4" t="str">
        <f>IF(INPUT_CAD!A99="","",INPUT_CAD!A99)</f>
        <v/>
      </c>
      <c r="B99" s="4" t="str">
        <f>IF(INPUT_CAD!B99="","",INPUT_CAD!B99)</f>
        <v/>
      </c>
      <c r="C99" s="4" t="str">
        <f>IF(INPUT_CAD!C99="","",INPUT_CAD!C99)</f>
        <v/>
      </c>
      <c r="D99" s="4" t="str">
        <f>IF(INPUT_CAD!D99="","",INPUT_CAD!D99)</f>
        <v/>
      </c>
      <c r="E99" s="4" t="str">
        <f>IF(INPUT_CAD!E99="","",INPUT_CAD!E99)</f>
        <v/>
      </c>
      <c r="F99" s="4" t="str">
        <f>IF(INPUT_CAD!F99="","",INPUT_CAD!F99)</f>
        <v/>
      </c>
      <c r="G99" s="4" t="str">
        <f>IF(INPUT_CAD!G99="","",INPUT_CAD!G99)</f>
        <v/>
      </c>
      <c r="I99" s="4" t="str">
        <f t="shared" si="18"/>
        <v/>
      </c>
      <c r="J99" s="4" t="str">
        <f t="shared" si="19"/>
        <v/>
      </c>
      <c r="K99" s="4" t="str">
        <f t="shared" si="20"/>
        <v/>
      </c>
      <c r="L99" s="4" t="str">
        <f>IFERROR(VLOOKUP(ROUND(K99,0),correction_tag!$A$7:$C$253,3),"x")</f>
        <v>x</v>
      </c>
      <c r="N99" s="4">
        <f t="shared" si="12"/>
        <v>1</v>
      </c>
      <c r="O99" s="4">
        <f>IF(N98=0,O98+INPUT_CAD!$B$4,INPUT_CAD!$B$4)</f>
        <v>2</v>
      </c>
      <c r="Q99" s="4" t="str">
        <f t="shared" si="13"/>
        <v/>
      </c>
      <c r="R99" s="4" t="str">
        <f t="shared" si="14"/>
        <v/>
      </c>
      <c r="S99" s="4" t="str">
        <f t="shared" si="15"/>
        <v/>
      </c>
      <c r="T99" s="4" t="str">
        <f>IFERROR(Q99*Setup!$C$26+R99*Setup!$D$26+S99*Setup!$E$26,"")</f>
        <v/>
      </c>
      <c r="U99" s="4" t="str">
        <f t="shared" si="17"/>
        <v/>
      </c>
      <c r="V99" s="4">
        <f t="shared" si="16"/>
        <v>90</v>
      </c>
    </row>
    <row r="100" spans="1:22" hidden="1" x14ac:dyDescent="0.25">
      <c r="A100" s="4" t="str">
        <f>IF(INPUT_CAD!A100="","",INPUT_CAD!A100)</f>
        <v/>
      </c>
      <c r="B100" s="4" t="str">
        <f>IF(INPUT_CAD!B100="","",INPUT_CAD!B100)</f>
        <v/>
      </c>
      <c r="C100" s="4" t="str">
        <f>IF(INPUT_CAD!C100="","",INPUT_CAD!C100)</f>
        <v/>
      </c>
      <c r="D100" s="4" t="str">
        <f>IF(INPUT_CAD!D100="","",INPUT_CAD!D100)</f>
        <v/>
      </c>
      <c r="E100" s="4" t="str">
        <f>IF(INPUT_CAD!E100="","",INPUT_CAD!E100)</f>
        <v/>
      </c>
      <c r="F100" s="4" t="str">
        <f>IF(INPUT_CAD!F100="","",INPUT_CAD!F100)</f>
        <v/>
      </c>
      <c r="G100" s="4" t="str">
        <f>IF(INPUT_CAD!G100="","",INPUT_CAD!G100)</f>
        <v/>
      </c>
      <c r="I100" s="4" t="str">
        <f t="shared" si="18"/>
        <v/>
      </c>
      <c r="J100" s="4" t="str">
        <f t="shared" si="19"/>
        <v/>
      </c>
      <c r="K100" s="4" t="str">
        <f t="shared" si="20"/>
        <v/>
      </c>
      <c r="L100" s="4" t="str">
        <f>IFERROR(VLOOKUP(ROUND(K100,0),correction_tag!$A$7:$C$253,3),"x")</f>
        <v>x</v>
      </c>
      <c r="N100" s="4">
        <f t="shared" si="12"/>
        <v>1</v>
      </c>
      <c r="O100" s="4">
        <f>IF(N99=0,O99+INPUT_CAD!$B$4,INPUT_CAD!$B$4)</f>
        <v>2</v>
      </c>
      <c r="Q100" s="4" t="str">
        <f t="shared" si="13"/>
        <v/>
      </c>
      <c r="R100" s="4" t="str">
        <f t="shared" si="14"/>
        <v/>
      </c>
      <c r="S100" s="4" t="str">
        <f t="shared" si="15"/>
        <v/>
      </c>
      <c r="T100" s="4" t="str">
        <f>IFERROR(Q100*Setup!$C$26+R100*Setup!$D$26+S100*Setup!$E$26,"")</f>
        <v/>
      </c>
      <c r="U100" s="4" t="str">
        <f t="shared" si="17"/>
        <v/>
      </c>
      <c r="V100" s="4">
        <f t="shared" si="16"/>
        <v>90</v>
      </c>
    </row>
    <row r="101" spans="1:22" hidden="1" x14ac:dyDescent="0.25">
      <c r="A101" s="4" t="str">
        <f>IF(INPUT_CAD!A101="","",INPUT_CAD!A101)</f>
        <v/>
      </c>
      <c r="B101" s="4" t="str">
        <f>IF(INPUT_CAD!B101="","",INPUT_CAD!B101)</f>
        <v/>
      </c>
      <c r="C101" s="4" t="str">
        <f>IF(INPUT_CAD!C101="","",INPUT_CAD!C101)</f>
        <v/>
      </c>
      <c r="D101" s="4" t="str">
        <f>IF(INPUT_CAD!D101="","",INPUT_CAD!D101)</f>
        <v/>
      </c>
      <c r="E101" s="4" t="str">
        <f>IF(INPUT_CAD!E101="","",INPUT_CAD!E101)</f>
        <v/>
      </c>
      <c r="F101" s="4" t="str">
        <f>IF(INPUT_CAD!F101="","",INPUT_CAD!F101)</f>
        <v/>
      </c>
      <c r="G101" s="4" t="str">
        <f>IF(INPUT_CAD!G101="","",INPUT_CAD!G101)</f>
        <v/>
      </c>
      <c r="I101" s="4" t="str">
        <f t="shared" si="18"/>
        <v/>
      </c>
      <c r="J101" s="4" t="str">
        <f t="shared" si="19"/>
        <v/>
      </c>
      <c r="K101" s="4" t="str">
        <f t="shared" si="20"/>
        <v/>
      </c>
      <c r="L101" s="4" t="str">
        <f>IFERROR(VLOOKUP(ROUND(K101,0),correction_tag!$A$7:$C$253,3),"x")</f>
        <v>x</v>
      </c>
      <c r="N101" s="4">
        <f t="shared" si="12"/>
        <v>1</v>
      </c>
      <c r="O101" s="4">
        <f>IF(N100=0,O100+INPUT_CAD!$B$4,INPUT_CAD!$B$4)</f>
        <v>2</v>
      </c>
      <c r="Q101" s="4" t="str">
        <f t="shared" si="13"/>
        <v/>
      </c>
      <c r="R101" s="4" t="str">
        <f t="shared" si="14"/>
        <v/>
      </c>
      <c r="S101" s="4" t="str">
        <f t="shared" si="15"/>
        <v/>
      </c>
      <c r="T101" s="4" t="str">
        <f>IFERROR(Q101*Setup!$C$26+R101*Setup!$D$26+S101*Setup!$E$26,"")</f>
        <v/>
      </c>
      <c r="U101" s="4" t="str">
        <f t="shared" si="17"/>
        <v/>
      </c>
      <c r="V101" s="4">
        <f t="shared" si="16"/>
        <v>90</v>
      </c>
    </row>
    <row r="102" spans="1:22" hidden="1" x14ac:dyDescent="0.25">
      <c r="A102" s="4" t="str">
        <f>IF(INPUT_CAD!A102="","",INPUT_CAD!A102)</f>
        <v/>
      </c>
      <c r="B102" s="4" t="str">
        <f>IF(INPUT_CAD!B102="","",INPUT_CAD!B102)</f>
        <v/>
      </c>
      <c r="C102" s="4" t="str">
        <f>IF(INPUT_CAD!C102="","",INPUT_CAD!C102)</f>
        <v/>
      </c>
      <c r="D102" s="4" t="str">
        <f>IF(INPUT_CAD!D102="","",INPUT_CAD!D102)</f>
        <v/>
      </c>
      <c r="E102" s="4" t="str">
        <f>IF(INPUT_CAD!E102="","",INPUT_CAD!E102)</f>
        <v/>
      </c>
      <c r="F102" s="4" t="str">
        <f>IF(INPUT_CAD!F102="","",INPUT_CAD!F102)</f>
        <v/>
      </c>
      <c r="G102" s="4" t="str">
        <f>IF(INPUT_CAD!G102="","",INPUT_CAD!G102)</f>
        <v/>
      </c>
      <c r="I102" s="4" t="str">
        <f t="shared" si="18"/>
        <v/>
      </c>
      <c r="J102" s="4" t="str">
        <f t="shared" si="19"/>
        <v/>
      </c>
      <c r="K102" s="4" t="str">
        <f t="shared" si="20"/>
        <v/>
      </c>
      <c r="L102" s="4" t="str">
        <f>IFERROR(VLOOKUP(ROUND(K102,0),correction_tag!$A$7:$C$253,3),"x")</f>
        <v>x</v>
      </c>
      <c r="N102" s="4">
        <f t="shared" si="12"/>
        <v>1</v>
      </c>
      <c r="O102" s="4">
        <f>IF(N101=0,O101+INPUT_CAD!$B$4,INPUT_CAD!$B$4)</f>
        <v>2</v>
      </c>
      <c r="Q102" s="4" t="str">
        <f t="shared" si="13"/>
        <v/>
      </c>
      <c r="R102" s="4" t="str">
        <f t="shared" si="14"/>
        <v/>
      </c>
      <c r="S102" s="4" t="str">
        <f t="shared" si="15"/>
        <v/>
      </c>
      <c r="T102" s="4" t="str">
        <f>IFERROR(Q102*Setup!$C$26+R102*Setup!$D$26+S102*Setup!$E$26,"")</f>
        <v/>
      </c>
      <c r="U102" s="4" t="str">
        <f t="shared" si="17"/>
        <v/>
      </c>
      <c r="V102" s="4">
        <f t="shared" si="16"/>
        <v>90</v>
      </c>
    </row>
    <row r="103" spans="1:22" hidden="1" x14ac:dyDescent="0.25">
      <c r="A103" s="4" t="str">
        <f>IF(INPUT_CAD!A103="","",INPUT_CAD!A103)</f>
        <v/>
      </c>
      <c r="B103" s="4" t="str">
        <f>IF(INPUT_CAD!B103="","",INPUT_CAD!B103)</f>
        <v/>
      </c>
      <c r="C103" s="4" t="str">
        <f>IF(INPUT_CAD!C103="","",INPUT_CAD!C103)</f>
        <v/>
      </c>
      <c r="D103" s="4" t="str">
        <f>IF(INPUT_CAD!D103="","",INPUT_CAD!D103)</f>
        <v/>
      </c>
      <c r="E103" s="4" t="str">
        <f>IF(INPUT_CAD!E103="","",INPUT_CAD!E103)</f>
        <v/>
      </c>
      <c r="F103" s="4" t="str">
        <f>IF(INPUT_CAD!F103="","",INPUT_CAD!F103)</f>
        <v/>
      </c>
      <c r="G103" s="4" t="str">
        <f>IF(INPUT_CAD!G103="","",INPUT_CAD!G103)</f>
        <v/>
      </c>
      <c r="I103" s="4" t="str">
        <f t="shared" si="18"/>
        <v/>
      </c>
      <c r="J103" s="4" t="str">
        <f t="shared" si="19"/>
        <v/>
      </c>
      <c r="K103" s="4" t="str">
        <f t="shared" si="20"/>
        <v/>
      </c>
      <c r="L103" s="4" t="str">
        <f>IFERROR(VLOOKUP(ROUND(K103,0),correction_tag!$A$7:$C$253,3),"x")</f>
        <v>x</v>
      </c>
      <c r="N103" s="4">
        <f t="shared" si="12"/>
        <v>1</v>
      </c>
      <c r="O103" s="4">
        <f>IF(N102=0,O102+INPUT_CAD!$B$4,INPUT_CAD!$B$4)</f>
        <v>2</v>
      </c>
      <c r="Q103" s="4" t="str">
        <f t="shared" si="13"/>
        <v/>
      </c>
      <c r="R103" s="4" t="str">
        <f t="shared" si="14"/>
        <v/>
      </c>
      <c r="S103" s="4" t="str">
        <f t="shared" si="15"/>
        <v/>
      </c>
      <c r="T103" s="4" t="str">
        <f>IFERROR(Q103*Setup!$C$26+R103*Setup!$D$26+S103*Setup!$E$26,"")</f>
        <v/>
      </c>
      <c r="U103" s="4" t="str">
        <f t="shared" si="17"/>
        <v/>
      </c>
      <c r="V103" s="4">
        <f t="shared" si="16"/>
        <v>90</v>
      </c>
    </row>
    <row r="104" spans="1:22" hidden="1" x14ac:dyDescent="0.25">
      <c r="A104" s="4" t="str">
        <f>IF(INPUT_CAD!A104="","",INPUT_CAD!A104)</f>
        <v/>
      </c>
      <c r="B104" s="4" t="str">
        <f>IF(INPUT_CAD!B104="","",INPUT_CAD!B104)</f>
        <v/>
      </c>
      <c r="C104" s="4" t="str">
        <f>IF(INPUT_CAD!C104="","",INPUT_CAD!C104)</f>
        <v/>
      </c>
      <c r="D104" s="4" t="str">
        <f>IF(INPUT_CAD!D104="","",INPUT_CAD!D104)</f>
        <v/>
      </c>
      <c r="E104" s="4" t="str">
        <f>IF(INPUT_CAD!E104="","",INPUT_CAD!E104)</f>
        <v/>
      </c>
      <c r="F104" s="4" t="str">
        <f>IF(INPUT_CAD!F104="","",INPUT_CAD!F104)</f>
        <v/>
      </c>
      <c r="G104" s="4" t="str">
        <f>IF(INPUT_CAD!G104="","",INPUT_CAD!G104)</f>
        <v/>
      </c>
      <c r="I104" s="4" t="str">
        <f t="shared" si="18"/>
        <v/>
      </c>
      <c r="J104" s="4" t="str">
        <f t="shared" si="19"/>
        <v/>
      </c>
      <c r="K104" s="4" t="str">
        <f t="shared" si="20"/>
        <v/>
      </c>
      <c r="L104" s="4" t="str">
        <f>IFERROR(VLOOKUP(ROUND(K104,0),correction_tag!$A$7:$C$253,3),"x")</f>
        <v>x</v>
      </c>
      <c r="N104" s="4">
        <f t="shared" si="12"/>
        <v>1</v>
      </c>
      <c r="O104" s="4">
        <f>IF(N103=0,O103+INPUT_CAD!$B$4,INPUT_CAD!$B$4)</f>
        <v>2</v>
      </c>
      <c r="Q104" s="4" t="str">
        <f t="shared" si="13"/>
        <v/>
      </c>
      <c r="R104" s="4" t="str">
        <f t="shared" si="14"/>
        <v/>
      </c>
      <c r="S104" s="4" t="str">
        <f t="shared" si="15"/>
        <v/>
      </c>
      <c r="T104" s="4" t="str">
        <f>IFERROR(Q104*Setup!$C$26+R104*Setup!$D$26+S104*Setup!$E$26,"")</f>
        <v/>
      </c>
      <c r="U104" s="4" t="str">
        <f t="shared" si="17"/>
        <v/>
      </c>
      <c r="V104" s="4">
        <f t="shared" si="16"/>
        <v>90</v>
      </c>
    </row>
    <row r="105" spans="1:22" hidden="1" x14ac:dyDescent="0.25">
      <c r="A105" s="4" t="str">
        <f>IF(INPUT_CAD!A105="","",INPUT_CAD!A105)</f>
        <v/>
      </c>
      <c r="B105" s="4" t="str">
        <f>IF(INPUT_CAD!B105="","",INPUT_CAD!B105)</f>
        <v/>
      </c>
      <c r="C105" s="4" t="str">
        <f>IF(INPUT_CAD!C105="","",INPUT_CAD!C105)</f>
        <v/>
      </c>
      <c r="D105" s="4" t="str">
        <f>IF(INPUT_CAD!D105="","",INPUT_CAD!D105)</f>
        <v/>
      </c>
      <c r="E105" s="4" t="str">
        <f>IF(INPUT_CAD!E105="","",INPUT_CAD!E105)</f>
        <v/>
      </c>
      <c r="F105" s="4" t="str">
        <f>IF(INPUT_CAD!F105="","",INPUT_CAD!F105)</f>
        <v/>
      </c>
      <c r="G105" s="4" t="str">
        <f>IF(INPUT_CAD!G105="","",INPUT_CAD!G105)</f>
        <v/>
      </c>
      <c r="I105" s="4" t="str">
        <f t="shared" si="18"/>
        <v/>
      </c>
      <c r="J105" s="4" t="str">
        <f t="shared" si="19"/>
        <v/>
      </c>
      <c r="K105" s="4" t="str">
        <f t="shared" si="20"/>
        <v/>
      </c>
      <c r="L105" s="4" t="str">
        <f>IFERROR(VLOOKUP(ROUND(K105,0),correction_tag!$A$7:$C$253,3),"x")</f>
        <v>x</v>
      </c>
      <c r="N105" s="4">
        <f t="shared" si="12"/>
        <v>1</v>
      </c>
      <c r="O105" s="4">
        <f>IF(N104=0,O104+INPUT_CAD!$B$4,INPUT_CAD!$B$4)</f>
        <v>2</v>
      </c>
      <c r="Q105" s="4" t="str">
        <f t="shared" si="13"/>
        <v/>
      </c>
      <c r="R105" s="4" t="str">
        <f t="shared" si="14"/>
        <v/>
      </c>
      <c r="S105" s="4" t="str">
        <f t="shared" si="15"/>
        <v/>
      </c>
      <c r="T105" s="4" t="str">
        <f>IFERROR(Q105*Setup!$C$26+R105*Setup!$D$26+S105*Setup!$E$26,"")</f>
        <v/>
      </c>
      <c r="U105" s="4" t="str">
        <f t="shared" si="17"/>
        <v/>
      </c>
      <c r="V105" s="4">
        <f t="shared" si="16"/>
        <v>90</v>
      </c>
    </row>
    <row r="106" spans="1:22" hidden="1" x14ac:dyDescent="0.25">
      <c r="A106" s="4" t="str">
        <f>IF(INPUT_CAD!A106="","",INPUT_CAD!A106)</f>
        <v/>
      </c>
      <c r="B106" s="4" t="str">
        <f>IF(INPUT_CAD!B106="","",INPUT_CAD!B106)</f>
        <v/>
      </c>
      <c r="C106" s="4" t="str">
        <f>IF(INPUT_CAD!C106="","",INPUT_CAD!C106)</f>
        <v/>
      </c>
      <c r="D106" s="4" t="str">
        <f>IF(INPUT_CAD!D106="","",INPUT_CAD!D106)</f>
        <v/>
      </c>
      <c r="E106" s="4" t="str">
        <f>IF(INPUT_CAD!E106="","",INPUT_CAD!E106)</f>
        <v/>
      </c>
      <c r="F106" s="4" t="str">
        <f>IF(INPUT_CAD!F106="","",INPUT_CAD!F106)</f>
        <v/>
      </c>
      <c r="G106" s="4" t="str">
        <f>IF(INPUT_CAD!G106="","",INPUT_CAD!G106)</f>
        <v/>
      </c>
      <c r="I106" s="4" t="str">
        <f t="shared" si="18"/>
        <v/>
      </c>
      <c r="J106" s="4" t="str">
        <f t="shared" si="19"/>
        <v/>
      </c>
      <c r="K106" s="4" t="str">
        <f t="shared" si="20"/>
        <v/>
      </c>
      <c r="L106" s="4" t="str">
        <f>IFERROR(VLOOKUP(ROUND(K106,0),correction_tag!$A$7:$C$253,3),"x")</f>
        <v>x</v>
      </c>
      <c r="N106" s="4">
        <f t="shared" si="12"/>
        <v>1</v>
      </c>
      <c r="O106" s="4">
        <f>IF(N105=0,O105+INPUT_CAD!$B$4,INPUT_CAD!$B$4)</f>
        <v>2</v>
      </c>
      <c r="Q106" s="4" t="str">
        <f t="shared" si="13"/>
        <v/>
      </c>
      <c r="R106" s="4" t="str">
        <f t="shared" si="14"/>
        <v/>
      </c>
      <c r="S106" s="4" t="str">
        <f t="shared" si="15"/>
        <v/>
      </c>
      <c r="T106" s="4" t="str">
        <f>IFERROR(Q106*Setup!$C$26+R106*Setup!$D$26+S106*Setup!$E$26,"")</f>
        <v/>
      </c>
      <c r="U106" s="4" t="str">
        <f t="shared" si="17"/>
        <v/>
      </c>
      <c r="V106" s="4">
        <f t="shared" si="16"/>
        <v>90</v>
      </c>
    </row>
    <row r="107" spans="1:22" hidden="1" x14ac:dyDescent="0.25">
      <c r="A107" s="4" t="str">
        <f>IF(INPUT_CAD!A107="","",INPUT_CAD!A107)</f>
        <v/>
      </c>
      <c r="B107" s="4" t="str">
        <f>IF(INPUT_CAD!B107="","",INPUT_CAD!B107)</f>
        <v/>
      </c>
      <c r="C107" s="4" t="str">
        <f>IF(INPUT_CAD!C107="","",INPUT_CAD!C107)</f>
        <v/>
      </c>
      <c r="D107" s="4" t="str">
        <f>IF(INPUT_CAD!D107="","",INPUT_CAD!D107)</f>
        <v/>
      </c>
      <c r="E107" s="4" t="str">
        <f>IF(INPUT_CAD!E107="","",INPUT_CAD!E107)</f>
        <v/>
      </c>
      <c r="F107" s="4" t="str">
        <f>IF(INPUT_CAD!F107="","",INPUT_CAD!F107)</f>
        <v/>
      </c>
      <c r="G107" s="4" t="str">
        <f>IF(INPUT_CAD!G107="","",INPUT_CAD!G107)</f>
        <v/>
      </c>
      <c r="I107" s="4" t="str">
        <f t="shared" si="18"/>
        <v/>
      </c>
      <c r="J107" s="4" t="str">
        <f t="shared" si="19"/>
        <v/>
      </c>
      <c r="K107" s="4" t="str">
        <f t="shared" si="20"/>
        <v/>
      </c>
      <c r="L107" s="4" t="str">
        <f>IFERROR(VLOOKUP(ROUND(K107,0),correction_tag!$A$7:$C$253,3),"x")</f>
        <v>x</v>
      </c>
      <c r="N107" s="4">
        <f t="shared" si="12"/>
        <v>1</v>
      </c>
      <c r="O107" s="4">
        <f>IF(N106=0,O106+INPUT_CAD!$B$4,INPUT_CAD!$B$4)</f>
        <v>2</v>
      </c>
      <c r="Q107" s="4" t="str">
        <f t="shared" si="13"/>
        <v/>
      </c>
      <c r="R107" s="4" t="str">
        <f t="shared" si="14"/>
        <v/>
      </c>
      <c r="S107" s="4" t="str">
        <f t="shared" si="15"/>
        <v/>
      </c>
      <c r="T107" s="4" t="str">
        <f>IFERROR(Q107*Setup!$C$26+R107*Setup!$D$26+S107*Setup!$E$26,"")</f>
        <v/>
      </c>
      <c r="U107" s="4" t="str">
        <f t="shared" si="17"/>
        <v/>
      </c>
      <c r="V107" s="4">
        <f t="shared" si="16"/>
        <v>90</v>
      </c>
    </row>
    <row r="108" spans="1:22" hidden="1" x14ac:dyDescent="0.25">
      <c r="A108" s="4" t="str">
        <f>IF(INPUT_CAD!A108="","",INPUT_CAD!A108)</f>
        <v/>
      </c>
      <c r="B108" s="4" t="str">
        <f>IF(INPUT_CAD!B108="","",INPUT_CAD!B108)</f>
        <v/>
      </c>
      <c r="C108" s="4" t="str">
        <f>IF(INPUT_CAD!C108="","",INPUT_CAD!C108)</f>
        <v/>
      </c>
      <c r="D108" s="4" t="str">
        <f>IF(INPUT_CAD!D108="","",INPUT_CAD!D108)</f>
        <v/>
      </c>
      <c r="E108" s="4" t="str">
        <f>IF(INPUT_CAD!E108="","",INPUT_CAD!E108)</f>
        <v/>
      </c>
      <c r="F108" s="4" t="str">
        <f>IF(INPUT_CAD!F108="","",INPUT_CAD!F108)</f>
        <v/>
      </c>
      <c r="G108" s="4" t="str">
        <f>IF(INPUT_CAD!G108="","",INPUT_CAD!G108)</f>
        <v/>
      </c>
      <c r="I108" s="4" t="str">
        <f t="shared" si="18"/>
        <v/>
      </c>
      <c r="J108" s="4" t="str">
        <f t="shared" si="19"/>
        <v/>
      </c>
      <c r="K108" s="4" t="str">
        <f t="shared" si="20"/>
        <v/>
      </c>
      <c r="L108" s="4" t="str">
        <f>IFERROR(VLOOKUP(ROUND(K108,0),correction_tag!$A$7:$C$253,3),"x")</f>
        <v>x</v>
      </c>
      <c r="N108" s="4">
        <f t="shared" si="12"/>
        <v>1</v>
      </c>
      <c r="O108" s="4">
        <f>IF(N107=0,O107+INPUT_CAD!$B$4,INPUT_CAD!$B$4)</f>
        <v>2</v>
      </c>
      <c r="Q108" s="4" t="str">
        <f t="shared" si="13"/>
        <v/>
      </c>
      <c r="R108" s="4" t="str">
        <f t="shared" si="14"/>
        <v/>
      </c>
      <c r="S108" s="4" t="str">
        <f t="shared" si="15"/>
        <v/>
      </c>
      <c r="T108" s="4" t="str">
        <f>IFERROR(Q108*Setup!$C$26+R108*Setup!$D$26+S108*Setup!$E$26,"")</f>
        <v/>
      </c>
      <c r="U108" s="4" t="str">
        <f t="shared" si="17"/>
        <v/>
      </c>
      <c r="V108" s="4">
        <f t="shared" si="16"/>
        <v>90</v>
      </c>
    </row>
    <row r="109" spans="1:22" hidden="1" x14ac:dyDescent="0.25">
      <c r="A109" s="4" t="str">
        <f>IF(INPUT_CAD!A109="","",INPUT_CAD!A109)</f>
        <v/>
      </c>
      <c r="B109" s="4" t="str">
        <f>IF(INPUT_CAD!B109="","",INPUT_CAD!B109)</f>
        <v/>
      </c>
      <c r="C109" s="4" t="str">
        <f>IF(INPUT_CAD!C109="","",INPUT_CAD!C109)</f>
        <v/>
      </c>
      <c r="D109" s="4" t="str">
        <f>IF(INPUT_CAD!D109="","",INPUT_CAD!D109)</f>
        <v/>
      </c>
      <c r="E109" s="4" t="str">
        <f>IF(INPUT_CAD!E109="","",INPUT_CAD!E109)</f>
        <v/>
      </c>
      <c r="F109" s="4" t="str">
        <f>IF(INPUT_CAD!F109="","",INPUT_CAD!F109)</f>
        <v/>
      </c>
      <c r="G109" s="4" t="str">
        <f>IF(INPUT_CAD!G109="","",INPUT_CAD!G109)</f>
        <v/>
      </c>
      <c r="I109" s="4" t="str">
        <f t="shared" si="18"/>
        <v/>
      </c>
      <c r="J109" s="4" t="str">
        <f t="shared" si="19"/>
        <v/>
      </c>
      <c r="K109" s="4" t="str">
        <f t="shared" si="20"/>
        <v/>
      </c>
      <c r="L109" s="4" t="str">
        <f>IFERROR(VLOOKUP(ROUND(K109,0),correction_tag!$A$7:$C$253,3),"x")</f>
        <v>x</v>
      </c>
      <c r="N109" s="4">
        <f t="shared" si="12"/>
        <v>1</v>
      </c>
      <c r="O109" s="4">
        <f>IF(N108=0,O108+INPUT_CAD!$B$4,INPUT_CAD!$B$4)</f>
        <v>2</v>
      </c>
      <c r="Q109" s="4" t="str">
        <f t="shared" si="13"/>
        <v/>
      </c>
      <c r="R109" s="4" t="str">
        <f t="shared" si="14"/>
        <v/>
      </c>
      <c r="S109" s="4" t="str">
        <f t="shared" si="15"/>
        <v/>
      </c>
      <c r="T109" s="4" t="str">
        <f>IFERROR(Q109*Setup!$C$26+R109*Setup!$D$26+S109*Setup!$E$26,"")</f>
        <v/>
      </c>
      <c r="U109" s="4" t="str">
        <f t="shared" si="17"/>
        <v/>
      </c>
      <c r="V109" s="4">
        <f t="shared" si="16"/>
        <v>90</v>
      </c>
    </row>
    <row r="110" spans="1:22" hidden="1" x14ac:dyDescent="0.25">
      <c r="A110" s="4" t="str">
        <f>IF(INPUT_CAD!A110="","",INPUT_CAD!A110)</f>
        <v/>
      </c>
      <c r="B110" s="4" t="str">
        <f>IF(INPUT_CAD!B110="","",INPUT_CAD!B110)</f>
        <v/>
      </c>
      <c r="C110" s="4" t="str">
        <f>IF(INPUT_CAD!C110="","",INPUT_CAD!C110)</f>
        <v/>
      </c>
      <c r="D110" s="4" t="str">
        <f>IF(INPUT_CAD!D110="","",INPUT_CAD!D110)</f>
        <v/>
      </c>
      <c r="E110" s="4" t="str">
        <f>IF(INPUT_CAD!E110="","",INPUT_CAD!E110)</f>
        <v/>
      </c>
      <c r="F110" s="4" t="str">
        <f>IF(INPUT_CAD!F110="","",INPUT_CAD!F110)</f>
        <v/>
      </c>
      <c r="G110" s="4" t="str">
        <f>IF(INPUT_CAD!G110="","",INPUT_CAD!G110)</f>
        <v/>
      </c>
      <c r="I110" s="4" t="str">
        <f t="shared" si="18"/>
        <v/>
      </c>
      <c r="J110" s="4" t="str">
        <f t="shared" si="19"/>
        <v/>
      </c>
      <c r="K110" s="4" t="str">
        <f t="shared" si="20"/>
        <v/>
      </c>
      <c r="L110" s="4" t="str">
        <f>IFERROR(VLOOKUP(ROUND(K110,0),correction_tag!$A$7:$C$253,3),"x")</f>
        <v>x</v>
      </c>
      <c r="N110" s="4">
        <f t="shared" si="12"/>
        <v>1</v>
      </c>
      <c r="O110" s="4">
        <f>IF(N109=0,O109+INPUT_CAD!$B$4,INPUT_CAD!$B$4)</f>
        <v>2</v>
      </c>
      <c r="Q110" s="4" t="str">
        <f t="shared" si="13"/>
        <v/>
      </c>
      <c r="R110" s="4" t="str">
        <f t="shared" si="14"/>
        <v/>
      </c>
      <c r="S110" s="4" t="str">
        <f t="shared" si="15"/>
        <v/>
      </c>
      <c r="T110" s="4" t="str">
        <f>IFERROR(Q110*Setup!$C$26+R110*Setup!$D$26+S110*Setup!$E$26,"")</f>
        <v/>
      </c>
      <c r="U110" s="4" t="str">
        <f t="shared" si="17"/>
        <v/>
      </c>
      <c r="V110" s="4">
        <f t="shared" si="16"/>
        <v>90</v>
      </c>
    </row>
    <row r="111" spans="1:22" hidden="1" x14ac:dyDescent="0.25">
      <c r="A111" s="4" t="str">
        <f>IF(INPUT_CAD!A111="","",INPUT_CAD!A111)</f>
        <v/>
      </c>
      <c r="B111" s="4" t="str">
        <f>IF(INPUT_CAD!B111="","",INPUT_CAD!B111)</f>
        <v/>
      </c>
      <c r="C111" s="4" t="str">
        <f>IF(INPUT_CAD!C111="","",INPUT_CAD!C111)</f>
        <v/>
      </c>
      <c r="D111" s="4" t="str">
        <f>IF(INPUT_CAD!D111="","",INPUT_CAD!D111)</f>
        <v/>
      </c>
      <c r="E111" s="4" t="str">
        <f>IF(INPUT_CAD!E111="","",INPUT_CAD!E111)</f>
        <v/>
      </c>
      <c r="F111" s="4" t="str">
        <f>IF(INPUT_CAD!F111="","",INPUT_CAD!F111)</f>
        <v/>
      </c>
      <c r="G111" s="4" t="str">
        <f>IF(INPUT_CAD!G111="","",INPUT_CAD!G111)</f>
        <v/>
      </c>
      <c r="I111" s="4" t="str">
        <f t="shared" si="18"/>
        <v/>
      </c>
      <c r="J111" s="4" t="str">
        <f t="shared" si="19"/>
        <v/>
      </c>
      <c r="K111" s="4" t="str">
        <f t="shared" si="20"/>
        <v/>
      </c>
      <c r="L111" s="4" t="str">
        <f>IFERROR(VLOOKUP(ROUND(K111,0),correction_tag!$A$7:$C$253,3),"x")</f>
        <v>x</v>
      </c>
      <c r="N111" s="4">
        <f t="shared" si="12"/>
        <v>1</v>
      </c>
      <c r="O111" s="4">
        <f>IF(N110=0,O110+INPUT_CAD!$B$4,INPUT_CAD!$B$4)</f>
        <v>2</v>
      </c>
      <c r="Q111" s="4" t="str">
        <f t="shared" si="13"/>
        <v/>
      </c>
      <c r="R111" s="4" t="str">
        <f t="shared" si="14"/>
        <v/>
      </c>
      <c r="S111" s="4" t="str">
        <f t="shared" si="15"/>
        <v/>
      </c>
      <c r="T111" s="4" t="str">
        <f>IFERROR(Q111*Setup!$C$26+R111*Setup!$D$26+S111*Setup!$E$26,"")</f>
        <v/>
      </c>
      <c r="U111" s="4" t="str">
        <f t="shared" si="17"/>
        <v/>
      </c>
      <c r="V111" s="4">
        <f t="shared" si="16"/>
        <v>90</v>
      </c>
    </row>
    <row r="112" spans="1:22" hidden="1" x14ac:dyDescent="0.25">
      <c r="A112" s="4" t="str">
        <f>IF(INPUT_CAD!A112="","",INPUT_CAD!A112)</f>
        <v/>
      </c>
      <c r="B112" s="4" t="str">
        <f>IF(INPUT_CAD!B112="","",INPUT_CAD!B112)</f>
        <v/>
      </c>
      <c r="C112" s="4" t="str">
        <f>IF(INPUT_CAD!C112="","",INPUT_CAD!C112)</f>
        <v/>
      </c>
      <c r="D112" s="4" t="str">
        <f>IF(INPUT_CAD!D112="","",INPUT_CAD!D112)</f>
        <v/>
      </c>
      <c r="E112" s="4" t="str">
        <f>IF(INPUT_CAD!E112="","",INPUT_CAD!E112)</f>
        <v/>
      </c>
      <c r="F112" s="4" t="str">
        <f>IF(INPUT_CAD!F112="","",INPUT_CAD!F112)</f>
        <v/>
      </c>
      <c r="G112" s="4" t="str">
        <f>IF(INPUT_CAD!G112="","",INPUT_CAD!G112)</f>
        <v/>
      </c>
      <c r="I112" s="4" t="str">
        <f t="shared" si="18"/>
        <v/>
      </c>
      <c r="J112" s="4" t="str">
        <f t="shared" si="19"/>
        <v/>
      </c>
      <c r="K112" s="4" t="str">
        <f t="shared" si="20"/>
        <v/>
      </c>
      <c r="L112" s="4" t="str">
        <f>IFERROR(VLOOKUP(ROUND(K112,0),correction_tag!$A$7:$C$253,3),"x")</f>
        <v>x</v>
      </c>
      <c r="N112" s="4">
        <f t="shared" si="12"/>
        <v>1</v>
      </c>
      <c r="O112" s="4">
        <f>IF(N111=0,O111+INPUT_CAD!$B$4,INPUT_CAD!$B$4)</f>
        <v>2</v>
      </c>
      <c r="Q112" s="4" t="str">
        <f t="shared" si="13"/>
        <v/>
      </c>
      <c r="R112" s="4" t="str">
        <f t="shared" si="14"/>
        <v/>
      </c>
      <c r="S112" s="4" t="str">
        <f t="shared" si="15"/>
        <v/>
      </c>
      <c r="T112" s="4" t="str">
        <f>IFERROR(Q112*Setup!$C$26+R112*Setup!$D$26+S112*Setup!$E$26,"")</f>
        <v/>
      </c>
      <c r="U112" s="4" t="str">
        <f t="shared" si="17"/>
        <v/>
      </c>
      <c r="V112" s="4">
        <f t="shared" si="16"/>
        <v>90</v>
      </c>
    </row>
    <row r="113" spans="1:22" hidden="1" x14ac:dyDescent="0.25">
      <c r="A113" s="4" t="str">
        <f>IF(INPUT_CAD!A113="","",INPUT_CAD!A113)</f>
        <v/>
      </c>
      <c r="B113" s="4" t="str">
        <f>IF(INPUT_CAD!B113="","",INPUT_CAD!B113)</f>
        <v/>
      </c>
      <c r="C113" s="4" t="str">
        <f>IF(INPUT_CAD!C113="","",INPUT_CAD!C113)</f>
        <v/>
      </c>
      <c r="D113" s="4" t="str">
        <f>IF(INPUT_CAD!D113="","",INPUT_CAD!D113)</f>
        <v/>
      </c>
      <c r="E113" s="4" t="str">
        <f>IF(INPUT_CAD!E113="","",INPUT_CAD!E113)</f>
        <v/>
      </c>
      <c r="F113" s="4" t="str">
        <f>IF(INPUT_CAD!F113="","",INPUT_CAD!F113)</f>
        <v/>
      </c>
      <c r="G113" s="4" t="str">
        <f>IF(INPUT_CAD!G113="","",INPUT_CAD!G113)</f>
        <v/>
      </c>
      <c r="I113" s="4" t="str">
        <f t="shared" si="18"/>
        <v/>
      </c>
      <c r="J113" s="4" t="str">
        <f t="shared" si="19"/>
        <v/>
      </c>
      <c r="K113" s="4" t="str">
        <f t="shared" si="20"/>
        <v/>
      </c>
      <c r="L113" s="4" t="str">
        <f>IFERROR(VLOOKUP(ROUND(K113,0),correction_tag!$A$7:$C$253,3),"x")</f>
        <v>x</v>
      </c>
      <c r="N113" s="4">
        <f t="shared" si="12"/>
        <v>1</v>
      </c>
      <c r="O113" s="4">
        <f>IF(N112=0,O112+INPUT_CAD!$B$4,INPUT_CAD!$B$4)</f>
        <v>2</v>
      </c>
      <c r="Q113" s="4" t="str">
        <f t="shared" si="13"/>
        <v/>
      </c>
      <c r="R113" s="4" t="str">
        <f t="shared" si="14"/>
        <v/>
      </c>
      <c r="S113" s="4" t="str">
        <f t="shared" si="15"/>
        <v/>
      </c>
      <c r="T113" s="4" t="str">
        <f>IFERROR(Q113*Setup!$C$26+R113*Setup!$D$26+S113*Setup!$E$26,"")</f>
        <v/>
      </c>
      <c r="U113" s="4" t="str">
        <f t="shared" si="17"/>
        <v/>
      </c>
      <c r="V113" s="4">
        <f t="shared" si="16"/>
        <v>90</v>
      </c>
    </row>
    <row r="114" spans="1:22" hidden="1" x14ac:dyDescent="0.25">
      <c r="A114" s="4" t="str">
        <f>IF(INPUT_CAD!A114="","",INPUT_CAD!A114)</f>
        <v/>
      </c>
      <c r="B114" s="4" t="str">
        <f>IF(INPUT_CAD!B114="","",INPUT_CAD!B114)</f>
        <v/>
      </c>
      <c r="C114" s="4" t="str">
        <f>IF(INPUT_CAD!C114="","",INPUT_CAD!C114)</f>
        <v/>
      </c>
      <c r="D114" s="4" t="str">
        <f>IF(INPUT_CAD!D114="","",INPUT_CAD!D114)</f>
        <v/>
      </c>
      <c r="E114" s="4" t="str">
        <f>IF(INPUT_CAD!E114="","",INPUT_CAD!E114)</f>
        <v/>
      </c>
      <c r="F114" s="4" t="str">
        <f>IF(INPUT_CAD!F114="","",INPUT_CAD!F114)</f>
        <v/>
      </c>
      <c r="G114" s="4" t="str">
        <f>IF(INPUT_CAD!G114="","",INPUT_CAD!G114)</f>
        <v/>
      </c>
      <c r="I114" s="4" t="str">
        <f t="shared" si="18"/>
        <v/>
      </c>
      <c r="J114" s="4" t="str">
        <f t="shared" si="19"/>
        <v/>
      </c>
      <c r="K114" s="4" t="str">
        <f t="shared" si="20"/>
        <v/>
      </c>
      <c r="L114" s="4" t="str">
        <f>IFERROR(VLOOKUP(ROUND(K114,0),correction_tag!$A$7:$C$253,3),"x")</f>
        <v>x</v>
      </c>
      <c r="N114" s="4">
        <f t="shared" si="12"/>
        <v>1</v>
      </c>
      <c r="O114" s="4">
        <f>IF(N113=0,O113+INPUT_CAD!$B$4,INPUT_CAD!$B$4)</f>
        <v>2</v>
      </c>
      <c r="Q114" s="4" t="str">
        <f t="shared" si="13"/>
        <v/>
      </c>
      <c r="R114" s="4" t="str">
        <f t="shared" si="14"/>
        <v/>
      </c>
      <c r="S114" s="4" t="str">
        <f t="shared" si="15"/>
        <v/>
      </c>
      <c r="T114" s="4" t="str">
        <f>IFERROR(Q114*Setup!$C$26+R114*Setup!$D$26+S114*Setup!$E$26,"")</f>
        <v/>
      </c>
      <c r="U114" s="4" t="str">
        <f t="shared" si="17"/>
        <v/>
      </c>
      <c r="V114" s="4">
        <f t="shared" si="16"/>
        <v>90</v>
      </c>
    </row>
    <row r="115" spans="1:22" hidden="1" x14ac:dyDescent="0.25">
      <c r="A115" s="4" t="str">
        <f>IF(INPUT_CAD!A115="","",INPUT_CAD!A115)</f>
        <v/>
      </c>
      <c r="B115" s="4" t="str">
        <f>IF(INPUT_CAD!B115="","",INPUT_CAD!B115)</f>
        <v/>
      </c>
      <c r="C115" s="4" t="str">
        <f>IF(INPUT_CAD!C115="","",INPUT_CAD!C115)</f>
        <v/>
      </c>
      <c r="D115" s="4" t="str">
        <f>IF(INPUT_CAD!D115="","",INPUT_CAD!D115)</f>
        <v/>
      </c>
      <c r="E115" s="4" t="str">
        <f>IF(INPUT_CAD!E115="","",INPUT_CAD!E115)</f>
        <v/>
      </c>
      <c r="F115" s="4" t="str">
        <f>IF(INPUT_CAD!F115="","",INPUT_CAD!F115)</f>
        <v/>
      </c>
      <c r="G115" s="4" t="str">
        <f>IF(INPUT_CAD!G115="","",INPUT_CAD!G115)</f>
        <v/>
      </c>
      <c r="I115" s="4" t="str">
        <f t="shared" si="18"/>
        <v/>
      </c>
      <c r="J115" s="4" t="str">
        <f t="shared" si="19"/>
        <v/>
      </c>
      <c r="K115" s="4" t="str">
        <f t="shared" si="20"/>
        <v/>
      </c>
      <c r="L115" s="4" t="str">
        <f>IFERROR(VLOOKUP(ROUND(K115,0),correction_tag!$A$7:$C$253,3),"x")</f>
        <v>x</v>
      </c>
      <c r="N115" s="4">
        <f t="shared" si="12"/>
        <v>1</v>
      </c>
      <c r="O115" s="4">
        <f>IF(N114=0,O114+INPUT_CAD!$B$4,INPUT_CAD!$B$4)</f>
        <v>2</v>
      </c>
      <c r="Q115" s="4" t="str">
        <f t="shared" si="13"/>
        <v/>
      </c>
      <c r="R115" s="4" t="str">
        <f t="shared" si="14"/>
        <v/>
      </c>
      <c r="S115" s="4" t="str">
        <f t="shared" si="15"/>
        <v/>
      </c>
      <c r="T115" s="4" t="str">
        <f>IFERROR(Q115*Setup!$C$26+R115*Setup!$D$26+S115*Setup!$E$26,"")</f>
        <v/>
      </c>
      <c r="U115" s="4" t="str">
        <f t="shared" si="17"/>
        <v/>
      </c>
      <c r="V115" s="4">
        <f t="shared" si="16"/>
        <v>90</v>
      </c>
    </row>
    <row r="116" spans="1:22" hidden="1" x14ac:dyDescent="0.25">
      <c r="A116" s="4" t="str">
        <f>IF(INPUT_CAD!A116="","",INPUT_CAD!A116)</f>
        <v/>
      </c>
      <c r="B116" s="4" t="str">
        <f>IF(INPUT_CAD!B116="","",INPUT_CAD!B116)</f>
        <v/>
      </c>
      <c r="C116" s="4" t="str">
        <f>IF(INPUT_CAD!C116="","",INPUT_CAD!C116)</f>
        <v/>
      </c>
      <c r="D116" s="4" t="str">
        <f>IF(INPUT_CAD!D116="","",INPUT_CAD!D116)</f>
        <v/>
      </c>
      <c r="E116" s="4" t="str">
        <f>IF(INPUT_CAD!E116="","",INPUT_CAD!E116)</f>
        <v/>
      </c>
      <c r="F116" s="4" t="str">
        <f>IF(INPUT_CAD!F116="","",INPUT_CAD!F116)</f>
        <v/>
      </c>
      <c r="G116" s="4" t="str">
        <f>IF(INPUT_CAD!G116="","",INPUT_CAD!G116)</f>
        <v/>
      </c>
      <c r="I116" s="4" t="str">
        <f t="shared" si="18"/>
        <v/>
      </c>
      <c r="J116" s="4" t="str">
        <f t="shared" si="19"/>
        <v/>
      </c>
      <c r="K116" s="4" t="str">
        <f t="shared" si="20"/>
        <v/>
      </c>
      <c r="L116" s="4" t="str">
        <f>IFERROR(VLOOKUP(ROUND(K116,0),correction_tag!$A$7:$C$253,3),"x")</f>
        <v>x</v>
      </c>
      <c r="N116" s="4">
        <f t="shared" si="12"/>
        <v>1</v>
      </c>
      <c r="O116" s="4">
        <f>IF(N115=0,O115+INPUT_CAD!$B$4,INPUT_CAD!$B$4)</f>
        <v>2</v>
      </c>
      <c r="Q116" s="4" t="str">
        <f t="shared" si="13"/>
        <v/>
      </c>
      <c r="R116" s="4" t="str">
        <f t="shared" si="14"/>
        <v/>
      </c>
      <c r="S116" s="4" t="str">
        <f t="shared" si="15"/>
        <v/>
      </c>
      <c r="T116" s="4" t="str">
        <f>IFERROR(Q116*Setup!$C$26+R116*Setup!$D$26+S116*Setup!$E$26,"")</f>
        <v/>
      </c>
      <c r="U116" s="4" t="str">
        <f t="shared" si="17"/>
        <v/>
      </c>
      <c r="V116" s="4">
        <f t="shared" si="16"/>
        <v>90</v>
      </c>
    </row>
    <row r="117" spans="1:22" hidden="1" x14ac:dyDescent="0.25">
      <c r="A117" s="4" t="str">
        <f>IF(INPUT_CAD!A117="","",INPUT_CAD!A117)</f>
        <v/>
      </c>
      <c r="B117" s="4" t="str">
        <f>IF(INPUT_CAD!B117="","",INPUT_CAD!B117)</f>
        <v/>
      </c>
      <c r="C117" s="4" t="str">
        <f>IF(INPUT_CAD!C117="","",INPUT_CAD!C117)</f>
        <v/>
      </c>
      <c r="D117" s="4" t="str">
        <f>IF(INPUT_CAD!D117="","",INPUT_CAD!D117)</f>
        <v/>
      </c>
      <c r="E117" s="4" t="str">
        <f>IF(INPUT_CAD!E117="","",INPUT_CAD!E117)</f>
        <v/>
      </c>
      <c r="F117" s="4" t="str">
        <f>IF(INPUT_CAD!F117="","",INPUT_CAD!F117)</f>
        <v/>
      </c>
      <c r="G117" s="4" t="str">
        <f>IF(INPUT_CAD!G117="","",INPUT_CAD!G117)</f>
        <v/>
      </c>
      <c r="I117" s="4" t="str">
        <f t="shared" si="18"/>
        <v/>
      </c>
      <c r="J117" s="4" t="str">
        <f t="shared" si="19"/>
        <v/>
      </c>
      <c r="K117" s="4" t="str">
        <f t="shared" si="20"/>
        <v/>
      </c>
      <c r="L117" s="4" t="str">
        <f>IFERROR(VLOOKUP(ROUND(K117,0),correction_tag!$A$7:$C$253,3),"x")</f>
        <v>x</v>
      </c>
      <c r="N117" s="4">
        <f t="shared" si="12"/>
        <v>1</v>
      </c>
      <c r="O117" s="4">
        <f>IF(N116=0,O116+INPUT_CAD!$B$4,INPUT_CAD!$B$4)</f>
        <v>2</v>
      </c>
      <c r="Q117" s="4" t="str">
        <f t="shared" si="13"/>
        <v/>
      </c>
      <c r="R117" s="4" t="str">
        <f t="shared" si="14"/>
        <v/>
      </c>
      <c r="S117" s="4" t="str">
        <f t="shared" si="15"/>
        <v/>
      </c>
      <c r="T117" s="4" t="str">
        <f>IFERROR(Q117*Setup!$C$26+R117*Setup!$D$26+S117*Setup!$E$26,"")</f>
        <v/>
      </c>
      <c r="U117" s="4" t="str">
        <f t="shared" si="17"/>
        <v/>
      </c>
      <c r="V117" s="4">
        <f t="shared" si="16"/>
        <v>90</v>
      </c>
    </row>
    <row r="118" spans="1:22" hidden="1" x14ac:dyDescent="0.25">
      <c r="A118" s="4" t="str">
        <f>IF(INPUT_CAD!A118="","",INPUT_CAD!A118)</f>
        <v/>
      </c>
      <c r="B118" s="4" t="str">
        <f>IF(INPUT_CAD!B118="","",INPUT_CAD!B118)</f>
        <v/>
      </c>
      <c r="C118" s="4" t="str">
        <f>IF(INPUT_CAD!C118="","",INPUT_CAD!C118)</f>
        <v/>
      </c>
      <c r="D118" s="4" t="str">
        <f>IF(INPUT_CAD!D118="","",INPUT_CAD!D118)</f>
        <v/>
      </c>
      <c r="E118" s="4" t="str">
        <f>IF(INPUT_CAD!E118="","",INPUT_CAD!E118)</f>
        <v/>
      </c>
      <c r="F118" s="4" t="str">
        <f>IF(INPUT_CAD!F118="","",INPUT_CAD!F118)</f>
        <v/>
      </c>
      <c r="G118" s="4" t="str">
        <f>IF(INPUT_CAD!G118="","",INPUT_CAD!G118)</f>
        <v/>
      </c>
      <c r="I118" s="4" t="str">
        <f t="shared" si="18"/>
        <v/>
      </c>
      <c r="J118" s="4" t="str">
        <f t="shared" si="19"/>
        <v/>
      </c>
      <c r="K118" s="4" t="str">
        <f t="shared" si="20"/>
        <v/>
      </c>
      <c r="L118" s="4" t="str">
        <f>IFERROR(VLOOKUP(ROUND(K118,0),correction_tag!$A$7:$C$253,3),"x")</f>
        <v>x</v>
      </c>
      <c r="N118" s="4">
        <f t="shared" si="12"/>
        <v>1</v>
      </c>
      <c r="O118" s="4">
        <f>IF(N117=0,O117+INPUT_CAD!$B$4,INPUT_CAD!$B$4)</f>
        <v>2</v>
      </c>
      <c r="Q118" s="4" t="str">
        <f t="shared" si="13"/>
        <v/>
      </c>
      <c r="R118" s="4" t="str">
        <f t="shared" si="14"/>
        <v/>
      </c>
      <c r="S118" s="4" t="str">
        <f t="shared" si="15"/>
        <v/>
      </c>
      <c r="T118" s="4" t="str">
        <f>IFERROR(Q118*Setup!$C$26+R118*Setup!$D$26+S118*Setup!$E$26,"")</f>
        <v/>
      </c>
      <c r="U118" s="4" t="str">
        <f t="shared" si="17"/>
        <v/>
      </c>
      <c r="V118" s="4">
        <f t="shared" si="16"/>
        <v>90</v>
      </c>
    </row>
    <row r="119" spans="1:22" hidden="1" x14ac:dyDescent="0.25">
      <c r="A119" s="4" t="str">
        <f>IF(INPUT_CAD!A119="","",INPUT_CAD!A119)</f>
        <v/>
      </c>
      <c r="B119" s="4" t="str">
        <f>IF(INPUT_CAD!B119="","",INPUT_CAD!B119)</f>
        <v/>
      </c>
      <c r="C119" s="4" t="str">
        <f>IF(INPUT_CAD!C119="","",INPUT_CAD!C119)</f>
        <v/>
      </c>
      <c r="D119" s="4" t="str">
        <f>IF(INPUT_CAD!D119="","",INPUT_CAD!D119)</f>
        <v/>
      </c>
      <c r="E119" s="4" t="str">
        <f>IF(INPUT_CAD!E119="","",INPUT_CAD!E119)</f>
        <v/>
      </c>
      <c r="F119" s="4" t="str">
        <f>IF(INPUT_CAD!F119="","",INPUT_CAD!F119)</f>
        <v/>
      </c>
      <c r="G119" s="4" t="str">
        <f>IF(INPUT_CAD!G119="","",INPUT_CAD!G119)</f>
        <v/>
      </c>
      <c r="I119" s="4" t="str">
        <f t="shared" si="18"/>
        <v/>
      </c>
      <c r="J119" s="4" t="str">
        <f t="shared" si="19"/>
        <v/>
      </c>
      <c r="K119" s="4" t="str">
        <f t="shared" si="20"/>
        <v/>
      </c>
      <c r="L119" s="4" t="str">
        <f>IFERROR(VLOOKUP(ROUND(K119,0),correction_tag!$A$7:$C$253,3),"x")</f>
        <v>x</v>
      </c>
      <c r="N119" s="4">
        <f t="shared" si="12"/>
        <v>1</v>
      </c>
      <c r="O119" s="4">
        <f>IF(N118=0,O118+INPUT_CAD!$B$4,INPUT_CAD!$B$4)</f>
        <v>2</v>
      </c>
      <c r="Q119" s="4" t="str">
        <f t="shared" si="13"/>
        <v/>
      </c>
      <c r="R119" s="4" t="str">
        <f t="shared" si="14"/>
        <v/>
      </c>
      <c r="S119" s="4" t="str">
        <f t="shared" si="15"/>
        <v/>
      </c>
      <c r="T119" s="4" t="str">
        <f>IFERROR(Q119*Setup!$C$26+R119*Setup!$D$26+S119*Setup!$E$26,"")</f>
        <v/>
      </c>
      <c r="U119" s="4" t="str">
        <f t="shared" si="17"/>
        <v/>
      </c>
      <c r="V119" s="4">
        <f t="shared" si="16"/>
        <v>90</v>
      </c>
    </row>
    <row r="120" spans="1:22" hidden="1" x14ac:dyDescent="0.25">
      <c r="A120" s="4" t="str">
        <f>IF(INPUT_CAD!A120="","",INPUT_CAD!A120)</f>
        <v/>
      </c>
      <c r="B120" s="4" t="str">
        <f>IF(INPUT_CAD!B120="","",INPUT_CAD!B120)</f>
        <v/>
      </c>
      <c r="C120" s="4" t="str">
        <f>IF(INPUT_CAD!C120="","",INPUT_CAD!C120)</f>
        <v/>
      </c>
      <c r="D120" s="4" t="str">
        <f>IF(INPUT_CAD!D120="","",INPUT_CAD!D120)</f>
        <v/>
      </c>
      <c r="E120" s="4" t="str">
        <f>IF(INPUT_CAD!E120="","",INPUT_CAD!E120)</f>
        <v/>
      </c>
      <c r="F120" s="4" t="str">
        <f>IF(INPUT_CAD!F120="","",INPUT_CAD!F120)</f>
        <v/>
      </c>
      <c r="G120" s="4" t="str">
        <f>IF(INPUT_CAD!G120="","",INPUT_CAD!G120)</f>
        <v/>
      </c>
      <c r="I120" s="4" t="str">
        <f t="shared" si="18"/>
        <v/>
      </c>
      <c r="J120" s="4" t="str">
        <f t="shared" si="19"/>
        <v/>
      </c>
      <c r="K120" s="4" t="str">
        <f t="shared" si="20"/>
        <v/>
      </c>
      <c r="L120" s="4" t="str">
        <f>IFERROR(VLOOKUP(ROUND(K120,0),correction_tag!$A$7:$C$253,3),"x")</f>
        <v>x</v>
      </c>
      <c r="N120" s="4">
        <f t="shared" si="12"/>
        <v>1</v>
      </c>
      <c r="O120" s="4">
        <f>IF(N119=0,O119+INPUT_CAD!$B$4,INPUT_CAD!$B$4)</f>
        <v>2</v>
      </c>
      <c r="Q120" s="4" t="str">
        <f t="shared" si="13"/>
        <v/>
      </c>
      <c r="R120" s="4" t="str">
        <f t="shared" si="14"/>
        <v/>
      </c>
      <c r="S120" s="4" t="str">
        <f t="shared" si="15"/>
        <v/>
      </c>
      <c r="T120" s="4" t="str">
        <f>IFERROR(Q120*Setup!$C$26+R120*Setup!$D$26+S120*Setup!$E$26,"")</f>
        <v/>
      </c>
      <c r="U120" s="4" t="str">
        <f t="shared" si="17"/>
        <v/>
      </c>
      <c r="V120" s="4">
        <f t="shared" si="16"/>
        <v>90</v>
      </c>
    </row>
    <row r="121" spans="1:22" hidden="1" x14ac:dyDescent="0.25">
      <c r="A121" s="4" t="str">
        <f>IF(INPUT_CAD!A121="","",INPUT_CAD!A121)</f>
        <v/>
      </c>
      <c r="B121" s="4" t="str">
        <f>IF(INPUT_CAD!B121="","",INPUT_CAD!B121)</f>
        <v/>
      </c>
      <c r="C121" s="4" t="str">
        <f>IF(INPUT_CAD!C121="","",INPUT_CAD!C121)</f>
        <v/>
      </c>
      <c r="D121" s="4" t="str">
        <f>IF(INPUT_CAD!D121="","",INPUT_CAD!D121)</f>
        <v/>
      </c>
      <c r="E121" s="4" t="str">
        <f>IF(INPUT_CAD!E121="","",INPUT_CAD!E121)</f>
        <v/>
      </c>
      <c r="F121" s="4" t="str">
        <f>IF(INPUT_CAD!F121="","",INPUT_CAD!F121)</f>
        <v/>
      </c>
      <c r="G121" s="4" t="str">
        <f>IF(INPUT_CAD!G121="","",INPUT_CAD!G121)</f>
        <v/>
      </c>
      <c r="I121" s="4" t="str">
        <f t="shared" si="18"/>
        <v/>
      </c>
      <c r="J121" s="4" t="str">
        <f t="shared" si="19"/>
        <v/>
      </c>
      <c r="K121" s="4" t="str">
        <f t="shared" si="20"/>
        <v/>
      </c>
      <c r="L121" s="4" t="str">
        <f>IFERROR(VLOOKUP(ROUND(K121,0),correction_tag!$A$7:$C$253,3),"x")</f>
        <v>x</v>
      </c>
      <c r="N121" s="4">
        <f t="shared" si="12"/>
        <v>1</v>
      </c>
      <c r="O121" s="4">
        <f>IF(N120=0,O120+INPUT_CAD!$B$4,INPUT_CAD!$B$4)</f>
        <v>2</v>
      </c>
      <c r="Q121" s="4" t="str">
        <f t="shared" si="13"/>
        <v/>
      </c>
      <c r="R121" s="4" t="str">
        <f t="shared" si="14"/>
        <v/>
      </c>
      <c r="S121" s="4" t="str">
        <f t="shared" si="15"/>
        <v/>
      </c>
      <c r="T121" s="4" t="str">
        <f>IFERROR(Q121*Setup!$C$26+R121*Setup!$D$26+S121*Setup!$E$26,"")</f>
        <v/>
      </c>
      <c r="U121" s="4" t="str">
        <f t="shared" si="17"/>
        <v/>
      </c>
      <c r="V121" s="4">
        <f t="shared" si="16"/>
        <v>90</v>
      </c>
    </row>
    <row r="122" spans="1:22" hidden="1" x14ac:dyDescent="0.25">
      <c r="A122" s="4" t="str">
        <f>IF(INPUT_CAD!A122="","",INPUT_CAD!A122)</f>
        <v/>
      </c>
      <c r="B122" s="4" t="str">
        <f>IF(INPUT_CAD!B122="","",INPUT_CAD!B122)</f>
        <v/>
      </c>
      <c r="C122" s="4" t="str">
        <f>IF(INPUT_CAD!C122="","",INPUT_CAD!C122)</f>
        <v/>
      </c>
      <c r="D122" s="4" t="str">
        <f>IF(INPUT_CAD!D122="","",INPUT_CAD!D122)</f>
        <v/>
      </c>
      <c r="E122" s="4" t="str">
        <f>IF(INPUT_CAD!E122="","",INPUT_CAD!E122)</f>
        <v/>
      </c>
      <c r="F122" s="4" t="str">
        <f>IF(INPUT_CAD!F122="","",INPUT_CAD!F122)</f>
        <v/>
      </c>
      <c r="G122" s="4" t="str">
        <f>IF(INPUT_CAD!G122="","",INPUT_CAD!G122)</f>
        <v/>
      </c>
      <c r="I122" s="4" t="str">
        <f t="shared" si="18"/>
        <v/>
      </c>
      <c r="J122" s="4" t="str">
        <f t="shared" si="19"/>
        <v/>
      </c>
      <c r="K122" s="4" t="str">
        <f t="shared" si="20"/>
        <v/>
      </c>
      <c r="L122" s="4" t="str">
        <f>IFERROR(VLOOKUP(ROUND(K122,0),correction_tag!$A$7:$C$253,3),"x")</f>
        <v>x</v>
      </c>
      <c r="N122" s="4">
        <f t="shared" si="12"/>
        <v>1</v>
      </c>
      <c r="O122" s="4">
        <f>IF(N121=0,O121+INPUT_CAD!$B$4,INPUT_CAD!$B$4)</f>
        <v>2</v>
      </c>
      <c r="Q122" s="4" t="str">
        <f t="shared" si="13"/>
        <v/>
      </c>
      <c r="R122" s="4" t="str">
        <f t="shared" si="14"/>
        <v/>
      </c>
      <c r="S122" s="4" t="str">
        <f t="shared" si="15"/>
        <v/>
      </c>
      <c r="T122" s="4" t="str">
        <f>IFERROR(Q122*Setup!$C$26+R122*Setup!$D$26+S122*Setup!$E$26,"")</f>
        <v/>
      </c>
      <c r="U122" s="4" t="str">
        <f t="shared" si="17"/>
        <v/>
      </c>
      <c r="V122" s="4">
        <f t="shared" si="16"/>
        <v>90</v>
      </c>
    </row>
    <row r="123" spans="1:22" hidden="1" x14ac:dyDescent="0.25">
      <c r="A123" s="4" t="str">
        <f>IF(INPUT_CAD!A123="","",INPUT_CAD!A123)</f>
        <v/>
      </c>
      <c r="B123" s="4" t="str">
        <f>IF(INPUT_CAD!B123="","",INPUT_CAD!B123)</f>
        <v/>
      </c>
      <c r="C123" s="4" t="str">
        <f>IF(INPUT_CAD!C123="","",INPUT_CAD!C123)</f>
        <v/>
      </c>
      <c r="D123" s="4" t="str">
        <f>IF(INPUT_CAD!D123="","",INPUT_CAD!D123)</f>
        <v/>
      </c>
      <c r="E123" s="4" t="str">
        <f>IF(INPUT_CAD!E123="","",INPUT_CAD!E123)</f>
        <v/>
      </c>
      <c r="F123" s="4" t="str">
        <f>IF(INPUT_CAD!F123="","",INPUT_CAD!F123)</f>
        <v/>
      </c>
      <c r="G123" s="4" t="str">
        <f>IF(INPUT_CAD!G123="","",INPUT_CAD!G123)</f>
        <v/>
      </c>
      <c r="I123" s="4" t="str">
        <f t="shared" si="18"/>
        <v/>
      </c>
      <c r="J123" s="4" t="str">
        <f t="shared" si="19"/>
        <v/>
      </c>
      <c r="K123" s="4" t="str">
        <f t="shared" si="20"/>
        <v/>
      </c>
      <c r="L123" s="4" t="str">
        <f>IFERROR(VLOOKUP(ROUND(K123,0),correction_tag!$A$7:$C$253,3),"x")</f>
        <v>x</v>
      </c>
      <c r="N123" s="4">
        <f t="shared" si="12"/>
        <v>1</v>
      </c>
      <c r="O123" s="4">
        <f>IF(N122=0,O122+INPUT_CAD!$B$4,INPUT_CAD!$B$4)</f>
        <v>2</v>
      </c>
      <c r="Q123" s="4" t="str">
        <f t="shared" si="13"/>
        <v/>
      </c>
      <c r="R123" s="4" t="str">
        <f t="shared" si="14"/>
        <v/>
      </c>
      <c r="S123" s="4" t="str">
        <f t="shared" si="15"/>
        <v/>
      </c>
      <c r="T123" s="4" t="str">
        <f>IFERROR(Q123*Setup!$C$26+R123*Setup!$D$26+S123*Setup!$E$26,"")</f>
        <v/>
      </c>
      <c r="U123" s="4" t="str">
        <f t="shared" si="17"/>
        <v/>
      </c>
      <c r="V123" s="4">
        <f t="shared" si="16"/>
        <v>90</v>
      </c>
    </row>
    <row r="124" spans="1:22" hidden="1" x14ac:dyDescent="0.25">
      <c r="A124" s="4" t="str">
        <f>IF(INPUT_CAD!A124="","",INPUT_CAD!A124)</f>
        <v/>
      </c>
      <c r="B124" s="4" t="str">
        <f>IF(INPUT_CAD!B124="","",INPUT_CAD!B124)</f>
        <v/>
      </c>
      <c r="C124" s="4" t="str">
        <f>IF(INPUT_CAD!C124="","",INPUT_CAD!C124)</f>
        <v/>
      </c>
      <c r="D124" s="4" t="str">
        <f>IF(INPUT_CAD!D124="","",INPUT_CAD!D124)</f>
        <v/>
      </c>
      <c r="E124" s="4" t="str">
        <f>IF(INPUT_CAD!E124="","",INPUT_CAD!E124)</f>
        <v/>
      </c>
      <c r="F124" s="4" t="str">
        <f>IF(INPUT_CAD!F124="","",INPUT_CAD!F124)</f>
        <v/>
      </c>
      <c r="G124" s="4" t="str">
        <f>IF(INPUT_CAD!G124="","",INPUT_CAD!G124)</f>
        <v/>
      </c>
      <c r="I124" s="4" t="str">
        <f t="shared" si="18"/>
        <v/>
      </c>
      <c r="J124" s="4" t="str">
        <f t="shared" si="19"/>
        <v/>
      </c>
      <c r="K124" s="4" t="str">
        <f t="shared" si="20"/>
        <v/>
      </c>
      <c r="L124" s="4" t="str">
        <f>IFERROR(VLOOKUP(ROUND(K124,0),correction_tag!$A$7:$C$253,3),"x")</f>
        <v>x</v>
      </c>
      <c r="N124" s="4">
        <f t="shared" si="12"/>
        <v>1</v>
      </c>
      <c r="O124" s="4">
        <f>IF(N123=0,O123+INPUT_CAD!$B$4,INPUT_CAD!$B$4)</f>
        <v>2</v>
      </c>
      <c r="Q124" s="4" t="str">
        <f t="shared" si="13"/>
        <v/>
      </c>
      <c r="R124" s="4" t="str">
        <f t="shared" si="14"/>
        <v/>
      </c>
      <c r="S124" s="4" t="str">
        <f t="shared" si="15"/>
        <v/>
      </c>
      <c r="T124" s="4" t="str">
        <f>IFERROR(Q124*Setup!$C$26+R124*Setup!$D$26+S124*Setup!$E$26,"")</f>
        <v/>
      </c>
      <c r="U124" s="4" t="str">
        <f t="shared" si="17"/>
        <v/>
      </c>
      <c r="V124" s="4">
        <f t="shared" si="16"/>
        <v>90</v>
      </c>
    </row>
    <row r="125" spans="1:22" hidden="1" x14ac:dyDescent="0.25">
      <c r="A125" s="4" t="str">
        <f>IF(INPUT_CAD!A125="","",INPUT_CAD!A125)</f>
        <v/>
      </c>
      <c r="B125" s="4" t="str">
        <f>IF(INPUT_CAD!B125="","",INPUT_CAD!B125)</f>
        <v/>
      </c>
      <c r="C125" s="4" t="str">
        <f>IF(INPUT_CAD!C125="","",INPUT_CAD!C125)</f>
        <v/>
      </c>
      <c r="D125" s="4" t="str">
        <f>IF(INPUT_CAD!D125="","",INPUT_CAD!D125)</f>
        <v/>
      </c>
      <c r="E125" s="4" t="str">
        <f>IF(INPUT_CAD!E125="","",INPUT_CAD!E125)</f>
        <v/>
      </c>
      <c r="F125" s="4" t="str">
        <f>IF(INPUT_CAD!F125="","",INPUT_CAD!F125)</f>
        <v/>
      </c>
      <c r="G125" s="4" t="str">
        <f>IF(INPUT_CAD!G125="","",INPUT_CAD!G125)</f>
        <v/>
      </c>
      <c r="I125" s="4" t="str">
        <f t="shared" si="18"/>
        <v/>
      </c>
      <c r="J125" s="4" t="str">
        <f t="shared" si="19"/>
        <v/>
      </c>
      <c r="K125" s="4" t="str">
        <f t="shared" si="20"/>
        <v/>
      </c>
      <c r="L125" s="4" t="str">
        <f>IFERROR(VLOOKUP(ROUND(K125,0),correction_tag!$A$7:$C$253,3),"x")</f>
        <v>x</v>
      </c>
      <c r="N125" s="4">
        <f t="shared" si="12"/>
        <v>1</v>
      </c>
      <c r="O125" s="4">
        <f>IF(N124=0,O124+INPUT_CAD!$B$4,INPUT_CAD!$B$4)</f>
        <v>2</v>
      </c>
      <c r="Q125" s="4" t="str">
        <f t="shared" si="13"/>
        <v/>
      </c>
      <c r="R125" s="4" t="str">
        <f t="shared" si="14"/>
        <v/>
      </c>
      <c r="S125" s="4" t="str">
        <f t="shared" si="15"/>
        <v/>
      </c>
      <c r="T125" s="4" t="str">
        <f>IFERROR(Q125*Setup!$C$26+R125*Setup!$D$26+S125*Setup!$E$26,"")</f>
        <v/>
      </c>
      <c r="U125" s="4" t="str">
        <f t="shared" si="17"/>
        <v/>
      </c>
      <c r="V125" s="4">
        <f t="shared" si="16"/>
        <v>90</v>
      </c>
    </row>
    <row r="126" spans="1:22" hidden="1" x14ac:dyDescent="0.25">
      <c r="A126" s="4" t="str">
        <f>IF(INPUT_CAD!A126="","",INPUT_CAD!A126)</f>
        <v/>
      </c>
      <c r="B126" s="4" t="str">
        <f>IF(INPUT_CAD!B126="","",INPUT_CAD!B126)</f>
        <v/>
      </c>
      <c r="C126" s="4" t="str">
        <f>IF(INPUT_CAD!C126="","",INPUT_CAD!C126)</f>
        <v/>
      </c>
      <c r="D126" s="4" t="str">
        <f>IF(INPUT_CAD!D126="","",INPUT_CAD!D126)</f>
        <v/>
      </c>
      <c r="E126" s="4" t="str">
        <f>IF(INPUT_CAD!E126="","",INPUT_CAD!E126)</f>
        <v/>
      </c>
      <c r="F126" s="4" t="str">
        <f>IF(INPUT_CAD!F126="","",INPUT_CAD!F126)</f>
        <v/>
      </c>
      <c r="G126" s="4" t="str">
        <f>IF(INPUT_CAD!G126="","",INPUT_CAD!G126)</f>
        <v/>
      </c>
      <c r="I126" s="4" t="str">
        <f t="shared" si="18"/>
        <v/>
      </c>
      <c r="J126" s="4" t="str">
        <f t="shared" si="19"/>
        <v/>
      </c>
      <c r="K126" s="4" t="str">
        <f t="shared" si="20"/>
        <v/>
      </c>
      <c r="L126" s="4" t="str">
        <f>IFERROR(VLOOKUP(ROUND(K126,0),correction_tag!$A$7:$C$253,3),"x")</f>
        <v>x</v>
      </c>
      <c r="N126" s="4">
        <f t="shared" si="12"/>
        <v>1</v>
      </c>
      <c r="O126" s="4">
        <f>IF(N125=0,O125+INPUT_CAD!$B$4,INPUT_CAD!$B$4)</f>
        <v>2</v>
      </c>
      <c r="Q126" s="4" t="str">
        <f t="shared" si="13"/>
        <v/>
      </c>
      <c r="R126" s="4" t="str">
        <f t="shared" si="14"/>
        <v/>
      </c>
      <c r="S126" s="4" t="str">
        <f t="shared" si="15"/>
        <v/>
      </c>
      <c r="T126" s="4" t="str">
        <f>IFERROR(Q126*Setup!$C$26+R126*Setup!$D$26+S126*Setup!$E$26,"")</f>
        <v/>
      </c>
      <c r="U126" s="4" t="str">
        <f t="shared" si="17"/>
        <v/>
      </c>
      <c r="V126" s="4">
        <f t="shared" si="16"/>
        <v>90</v>
      </c>
    </row>
    <row r="127" spans="1:22" hidden="1" x14ac:dyDescent="0.25">
      <c r="A127" s="4" t="str">
        <f>IF(INPUT_CAD!A127="","",INPUT_CAD!A127)</f>
        <v/>
      </c>
      <c r="B127" s="4" t="str">
        <f>IF(INPUT_CAD!B127="","",INPUT_CAD!B127)</f>
        <v/>
      </c>
      <c r="C127" s="4" t="str">
        <f>IF(INPUT_CAD!C127="","",INPUT_CAD!C127)</f>
        <v/>
      </c>
      <c r="D127" s="4" t="str">
        <f>IF(INPUT_CAD!D127="","",INPUT_CAD!D127)</f>
        <v/>
      </c>
      <c r="E127" s="4" t="str">
        <f>IF(INPUT_CAD!E127="","",INPUT_CAD!E127)</f>
        <v/>
      </c>
      <c r="F127" s="4" t="str">
        <f>IF(INPUT_CAD!F127="","",INPUT_CAD!F127)</f>
        <v/>
      </c>
      <c r="G127" s="4" t="str">
        <f>IF(INPUT_CAD!G127="","",INPUT_CAD!G127)</f>
        <v/>
      </c>
      <c r="I127" s="4" t="str">
        <f t="shared" si="18"/>
        <v/>
      </c>
      <c r="J127" s="4" t="str">
        <f t="shared" si="19"/>
        <v/>
      </c>
      <c r="K127" s="4" t="str">
        <f t="shared" si="20"/>
        <v/>
      </c>
      <c r="L127" s="4" t="str">
        <f>IFERROR(VLOOKUP(ROUND(K127,0),correction_tag!$A$7:$C$253,3),"x")</f>
        <v>x</v>
      </c>
      <c r="N127" s="4">
        <f t="shared" si="12"/>
        <v>1</v>
      </c>
      <c r="O127" s="4">
        <f>IF(N126=0,O126+INPUT_CAD!$B$4,INPUT_CAD!$B$4)</f>
        <v>2</v>
      </c>
      <c r="Q127" s="4" t="str">
        <f t="shared" si="13"/>
        <v/>
      </c>
      <c r="R127" s="4" t="str">
        <f t="shared" si="14"/>
        <v/>
      </c>
      <c r="S127" s="4" t="str">
        <f t="shared" si="15"/>
        <v/>
      </c>
      <c r="T127" s="4" t="str">
        <f>IFERROR(Q127*Setup!$C$26+R127*Setup!$D$26+S127*Setup!$E$26,"")</f>
        <v/>
      </c>
      <c r="U127" s="4" t="str">
        <f t="shared" si="17"/>
        <v/>
      </c>
      <c r="V127" s="4">
        <f t="shared" si="16"/>
        <v>90</v>
      </c>
    </row>
    <row r="128" spans="1:22" hidden="1" x14ac:dyDescent="0.25">
      <c r="A128" s="4" t="str">
        <f>IF(INPUT_CAD!A128="","",INPUT_CAD!A128)</f>
        <v/>
      </c>
      <c r="B128" s="4" t="str">
        <f>IF(INPUT_CAD!B128="","",INPUT_CAD!B128)</f>
        <v/>
      </c>
      <c r="C128" s="4" t="str">
        <f>IF(INPUT_CAD!C128="","",INPUT_CAD!C128)</f>
        <v/>
      </c>
      <c r="D128" s="4" t="str">
        <f>IF(INPUT_CAD!D128="","",INPUT_CAD!D128)</f>
        <v/>
      </c>
      <c r="E128" s="4" t="str">
        <f>IF(INPUT_CAD!E128="","",INPUT_CAD!E128)</f>
        <v/>
      </c>
      <c r="F128" s="4" t="str">
        <f>IF(INPUT_CAD!F128="","",INPUT_CAD!F128)</f>
        <v/>
      </c>
      <c r="G128" s="4" t="str">
        <f>IF(INPUT_CAD!G128="","",INPUT_CAD!G128)</f>
        <v/>
      </c>
      <c r="I128" s="4" t="str">
        <f t="shared" si="18"/>
        <v/>
      </c>
      <c r="J128" s="4" t="str">
        <f t="shared" si="19"/>
        <v/>
      </c>
      <c r="K128" s="4" t="str">
        <f t="shared" si="20"/>
        <v/>
      </c>
      <c r="L128" s="4" t="str">
        <f>IFERROR(VLOOKUP(ROUND(K128,0),correction_tag!$A$7:$C$253,3),"x")</f>
        <v>x</v>
      </c>
      <c r="N128" s="4">
        <f t="shared" si="12"/>
        <v>1</v>
      </c>
      <c r="O128" s="4">
        <f>IF(N127=0,O127+INPUT_CAD!$B$4,INPUT_CAD!$B$4)</f>
        <v>2</v>
      </c>
      <c r="Q128" s="4" t="str">
        <f t="shared" si="13"/>
        <v/>
      </c>
      <c r="R128" s="4" t="str">
        <f t="shared" si="14"/>
        <v/>
      </c>
      <c r="S128" s="4" t="str">
        <f t="shared" si="15"/>
        <v/>
      </c>
      <c r="T128" s="4" t="str">
        <f>IFERROR(Q128*Setup!$C$26+R128*Setup!$D$26+S128*Setup!$E$26,"")</f>
        <v/>
      </c>
      <c r="U128" s="4" t="str">
        <f t="shared" si="17"/>
        <v/>
      </c>
      <c r="V128" s="4">
        <f t="shared" si="16"/>
        <v>90</v>
      </c>
    </row>
    <row r="129" spans="1:22" hidden="1" x14ac:dyDescent="0.25">
      <c r="A129" s="4" t="str">
        <f>IF(INPUT_CAD!A129="","",INPUT_CAD!A129)</f>
        <v/>
      </c>
      <c r="B129" s="4" t="str">
        <f>IF(INPUT_CAD!B129="","",INPUT_CAD!B129)</f>
        <v/>
      </c>
      <c r="C129" s="4" t="str">
        <f>IF(INPUT_CAD!C129="","",INPUT_CAD!C129)</f>
        <v/>
      </c>
      <c r="D129" s="4" t="str">
        <f>IF(INPUT_CAD!D129="","",INPUT_CAD!D129)</f>
        <v/>
      </c>
      <c r="E129" s="4" t="str">
        <f>IF(INPUT_CAD!E129="","",INPUT_CAD!E129)</f>
        <v/>
      </c>
      <c r="F129" s="4" t="str">
        <f>IF(INPUT_CAD!F129="","",INPUT_CAD!F129)</f>
        <v/>
      </c>
      <c r="G129" s="4" t="str">
        <f>IF(INPUT_CAD!G129="","",INPUT_CAD!G129)</f>
        <v/>
      </c>
      <c r="I129" s="4" t="str">
        <f t="shared" si="18"/>
        <v/>
      </c>
      <c r="J129" s="4" t="str">
        <f t="shared" si="19"/>
        <v/>
      </c>
      <c r="K129" s="4" t="str">
        <f t="shared" si="20"/>
        <v/>
      </c>
      <c r="L129" s="4" t="str">
        <f>IFERROR(VLOOKUP(ROUND(K129,0),correction_tag!$A$7:$C$253,3),"x")</f>
        <v>x</v>
      </c>
      <c r="N129" s="4">
        <f t="shared" si="12"/>
        <v>1</v>
      </c>
      <c r="O129" s="4">
        <f>IF(N128=0,O128+INPUT_CAD!$B$4,INPUT_CAD!$B$4)</f>
        <v>2</v>
      </c>
      <c r="Q129" s="4" t="str">
        <f t="shared" si="13"/>
        <v/>
      </c>
      <c r="R129" s="4" t="str">
        <f t="shared" si="14"/>
        <v/>
      </c>
      <c r="S129" s="4" t="str">
        <f t="shared" si="15"/>
        <v/>
      </c>
      <c r="T129" s="4" t="str">
        <f>IFERROR(Q129*Setup!$C$26+R129*Setup!$D$26+S129*Setup!$E$26,"")</f>
        <v/>
      </c>
      <c r="U129" s="4" t="str">
        <f t="shared" si="17"/>
        <v/>
      </c>
      <c r="V129" s="4">
        <f t="shared" si="16"/>
        <v>90</v>
      </c>
    </row>
    <row r="130" spans="1:22" hidden="1" x14ac:dyDescent="0.25">
      <c r="A130" s="4" t="str">
        <f>IF(INPUT_CAD!A130="","",INPUT_CAD!A130)</f>
        <v/>
      </c>
      <c r="B130" s="4" t="str">
        <f>IF(INPUT_CAD!B130="","",INPUT_CAD!B130)</f>
        <v/>
      </c>
      <c r="C130" s="4" t="str">
        <f>IF(INPUT_CAD!C130="","",INPUT_CAD!C130)</f>
        <v/>
      </c>
      <c r="D130" s="4" t="str">
        <f>IF(INPUT_CAD!D130="","",INPUT_CAD!D130)</f>
        <v/>
      </c>
      <c r="E130" s="4" t="str">
        <f>IF(INPUT_CAD!E130="","",INPUT_CAD!E130)</f>
        <v/>
      </c>
      <c r="F130" s="4" t="str">
        <f>IF(INPUT_CAD!F130="","",INPUT_CAD!F130)</f>
        <v/>
      </c>
      <c r="G130" s="4" t="str">
        <f>IF(INPUT_CAD!G130="","",INPUT_CAD!G130)</f>
        <v/>
      </c>
      <c r="I130" s="4" t="str">
        <f t="shared" si="18"/>
        <v/>
      </c>
      <c r="J130" s="4" t="str">
        <f t="shared" si="19"/>
        <v/>
      </c>
      <c r="K130" s="4" t="str">
        <f t="shared" si="20"/>
        <v/>
      </c>
      <c r="L130" s="4" t="str">
        <f>IFERROR(VLOOKUP(ROUND(K130,0),correction_tag!$A$7:$C$253,3),"x")</f>
        <v>x</v>
      </c>
      <c r="N130" s="4">
        <f t="shared" si="12"/>
        <v>1</v>
      </c>
      <c r="O130" s="4">
        <f>IF(N129=0,O129+INPUT_CAD!$B$4,INPUT_CAD!$B$4)</f>
        <v>2</v>
      </c>
      <c r="Q130" s="4" t="str">
        <f t="shared" si="13"/>
        <v/>
      </c>
      <c r="R130" s="4" t="str">
        <f t="shared" si="14"/>
        <v/>
      </c>
      <c r="S130" s="4" t="str">
        <f t="shared" si="15"/>
        <v/>
      </c>
      <c r="T130" s="4" t="str">
        <f>IFERROR(Q130*Setup!$C$26+R130*Setup!$D$26+S130*Setup!$E$26,"")</f>
        <v/>
      </c>
      <c r="U130" s="4" t="str">
        <f t="shared" si="17"/>
        <v/>
      </c>
      <c r="V130" s="4">
        <f t="shared" si="16"/>
        <v>90</v>
      </c>
    </row>
    <row r="131" spans="1:22" hidden="1" x14ac:dyDescent="0.25">
      <c r="A131" s="4" t="str">
        <f>IF(INPUT_CAD!A131="","",INPUT_CAD!A131)</f>
        <v/>
      </c>
      <c r="B131" s="4" t="str">
        <f>IF(INPUT_CAD!B131="","",INPUT_CAD!B131)</f>
        <v/>
      </c>
      <c r="C131" s="4" t="str">
        <f>IF(INPUT_CAD!C131="","",INPUT_CAD!C131)</f>
        <v/>
      </c>
      <c r="D131" s="4" t="str">
        <f>IF(INPUT_CAD!D131="","",INPUT_CAD!D131)</f>
        <v/>
      </c>
      <c r="E131" s="4" t="str">
        <f>IF(INPUT_CAD!E131="","",INPUT_CAD!E131)</f>
        <v/>
      </c>
      <c r="F131" s="4" t="str">
        <f>IF(INPUT_CAD!F131="","",INPUT_CAD!F131)</f>
        <v/>
      </c>
      <c r="G131" s="4" t="str">
        <f>IF(INPUT_CAD!G131="","",INPUT_CAD!G131)</f>
        <v/>
      </c>
      <c r="I131" s="4" t="str">
        <f t="shared" si="18"/>
        <v/>
      </c>
      <c r="J131" s="4" t="str">
        <f t="shared" si="19"/>
        <v/>
      </c>
      <c r="K131" s="4" t="str">
        <f t="shared" si="20"/>
        <v/>
      </c>
      <c r="L131" s="4" t="str">
        <f>IFERROR(VLOOKUP(ROUND(K131,0),correction_tag!$A$7:$C$253,3),"x")</f>
        <v>x</v>
      </c>
      <c r="N131" s="4">
        <f t="shared" si="12"/>
        <v>1</v>
      </c>
      <c r="O131" s="4">
        <f>IF(N130=0,O130+INPUT_CAD!$B$4,INPUT_CAD!$B$4)</f>
        <v>2</v>
      </c>
      <c r="Q131" s="4" t="str">
        <f t="shared" si="13"/>
        <v/>
      </c>
      <c r="R131" s="4" t="str">
        <f t="shared" si="14"/>
        <v/>
      </c>
      <c r="S131" s="4" t="str">
        <f t="shared" si="15"/>
        <v/>
      </c>
      <c r="T131" s="4" t="str">
        <f>IFERROR(Q131*Setup!$C$26+R131*Setup!$D$26+S131*Setup!$E$26,"")</f>
        <v/>
      </c>
      <c r="U131" s="4" t="str">
        <f t="shared" si="17"/>
        <v/>
      </c>
      <c r="V131" s="4">
        <f t="shared" si="16"/>
        <v>90</v>
      </c>
    </row>
    <row r="132" spans="1:22" hidden="1" x14ac:dyDescent="0.25">
      <c r="A132" s="4" t="str">
        <f>IF(INPUT_CAD!A132="","",INPUT_CAD!A132)</f>
        <v/>
      </c>
      <c r="B132" s="4" t="str">
        <f>IF(INPUT_CAD!B132="","",INPUT_CAD!B132)</f>
        <v/>
      </c>
      <c r="C132" s="4" t="str">
        <f>IF(INPUT_CAD!C132="","",INPUT_CAD!C132)</f>
        <v/>
      </c>
      <c r="D132" s="4" t="str">
        <f>IF(INPUT_CAD!D132="","",INPUT_CAD!D132)</f>
        <v/>
      </c>
      <c r="E132" s="4" t="str">
        <f>IF(INPUT_CAD!E132="","",INPUT_CAD!E132)</f>
        <v/>
      </c>
      <c r="F132" s="4" t="str">
        <f>IF(INPUT_CAD!F132="","",INPUT_CAD!F132)</f>
        <v/>
      </c>
      <c r="G132" s="4" t="str">
        <f>IF(INPUT_CAD!G132="","",INPUT_CAD!G132)</f>
        <v/>
      </c>
      <c r="I132" s="4" t="str">
        <f t="shared" si="18"/>
        <v/>
      </c>
      <c r="J132" s="4" t="str">
        <f t="shared" si="19"/>
        <v/>
      </c>
      <c r="K132" s="4" t="str">
        <f t="shared" si="20"/>
        <v/>
      </c>
      <c r="L132" s="4" t="str">
        <f>IFERROR(VLOOKUP(ROUND(K132,0),correction_tag!$A$7:$C$253,3),"x")</f>
        <v>x</v>
      </c>
      <c r="N132" s="4">
        <f t="shared" si="12"/>
        <v>1</v>
      </c>
      <c r="O132" s="4">
        <f>IF(N131=0,O131+INPUT_CAD!$B$4,INPUT_CAD!$B$4)</f>
        <v>2</v>
      </c>
      <c r="Q132" s="4" t="str">
        <f t="shared" si="13"/>
        <v/>
      </c>
      <c r="R132" s="4" t="str">
        <f t="shared" si="14"/>
        <v/>
      </c>
      <c r="S132" s="4" t="str">
        <f t="shared" si="15"/>
        <v/>
      </c>
      <c r="T132" s="4" t="str">
        <f>IFERROR(Q132*Setup!$C$26+R132*Setup!$D$26+S132*Setup!$E$26,"")</f>
        <v/>
      </c>
      <c r="U132" s="4" t="str">
        <f t="shared" si="17"/>
        <v/>
      </c>
      <c r="V132" s="4">
        <f t="shared" si="16"/>
        <v>90</v>
      </c>
    </row>
    <row r="133" spans="1:22" hidden="1" x14ac:dyDescent="0.25">
      <c r="A133" s="4" t="str">
        <f>IF(INPUT_CAD!A133="","",INPUT_CAD!A133)</f>
        <v/>
      </c>
      <c r="B133" s="4" t="str">
        <f>IF(INPUT_CAD!B133="","",INPUT_CAD!B133)</f>
        <v/>
      </c>
      <c r="C133" s="4" t="str">
        <f>IF(INPUT_CAD!C133="","",INPUT_CAD!C133)</f>
        <v/>
      </c>
      <c r="D133" s="4" t="str">
        <f>IF(INPUT_CAD!D133="","",INPUT_CAD!D133)</f>
        <v/>
      </c>
      <c r="E133" s="4" t="str">
        <f>IF(INPUT_CAD!E133="","",INPUT_CAD!E133)</f>
        <v/>
      </c>
      <c r="F133" s="4" t="str">
        <f>IF(INPUT_CAD!F133="","",INPUT_CAD!F133)</f>
        <v/>
      </c>
      <c r="G133" s="4" t="str">
        <f>IF(INPUT_CAD!G133="","",INPUT_CAD!G133)</f>
        <v/>
      </c>
      <c r="I133" s="4" t="str">
        <f t="shared" si="18"/>
        <v/>
      </c>
      <c r="J133" s="4" t="str">
        <f t="shared" si="19"/>
        <v/>
      </c>
      <c r="K133" s="4" t="str">
        <f t="shared" si="20"/>
        <v/>
      </c>
      <c r="L133" s="4" t="str">
        <f>IFERROR(VLOOKUP(ROUND(K133,0),correction_tag!$A$7:$C$253,3),"x")</f>
        <v>x</v>
      </c>
      <c r="N133" s="4">
        <f t="shared" si="12"/>
        <v>1</v>
      </c>
      <c r="O133" s="4">
        <f>IF(N132=0,O132+INPUT_CAD!$B$4,INPUT_CAD!$B$4)</f>
        <v>2</v>
      </c>
      <c r="Q133" s="4" t="str">
        <f t="shared" si="13"/>
        <v/>
      </c>
      <c r="R133" s="4" t="str">
        <f t="shared" si="14"/>
        <v/>
      </c>
      <c r="S133" s="4" t="str">
        <f t="shared" si="15"/>
        <v/>
      </c>
      <c r="T133" s="4" t="str">
        <f>IFERROR(Q133*Setup!$C$26+R133*Setup!$D$26+S133*Setup!$E$26,"")</f>
        <v/>
      </c>
      <c r="U133" s="4" t="str">
        <f t="shared" si="17"/>
        <v/>
      </c>
      <c r="V133" s="4">
        <f t="shared" si="16"/>
        <v>90</v>
      </c>
    </row>
    <row r="134" spans="1:22" hidden="1" x14ac:dyDescent="0.25">
      <c r="A134" s="4" t="str">
        <f>IF(INPUT_CAD!A134="","",INPUT_CAD!A134)</f>
        <v/>
      </c>
      <c r="B134" s="4" t="str">
        <f>IF(INPUT_CAD!B134="","",INPUT_CAD!B134)</f>
        <v/>
      </c>
      <c r="C134" s="4" t="str">
        <f>IF(INPUT_CAD!C134="","",INPUT_CAD!C134)</f>
        <v/>
      </c>
      <c r="D134" s="4" t="str">
        <f>IF(INPUT_CAD!D134="","",INPUT_CAD!D134)</f>
        <v/>
      </c>
      <c r="E134" s="4" t="str">
        <f>IF(INPUT_CAD!E134="","",INPUT_CAD!E134)</f>
        <v/>
      </c>
      <c r="F134" s="4" t="str">
        <f>IF(INPUT_CAD!F134="","",INPUT_CAD!F134)</f>
        <v/>
      </c>
      <c r="G134" s="4" t="str">
        <f>IF(INPUT_CAD!G134="","",INPUT_CAD!G134)</f>
        <v/>
      </c>
      <c r="I134" s="4" t="str">
        <f t="shared" si="18"/>
        <v/>
      </c>
      <c r="J134" s="4" t="str">
        <f t="shared" si="19"/>
        <v/>
      </c>
      <c r="K134" s="4" t="str">
        <f t="shared" si="20"/>
        <v/>
      </c>
      <c r="L134" s="4" t="str">
        <f>IFERROR(VLOOKUP(ROUND(K134,0),correction_tag!$A$7:$C$253,3),"x")</f>
        <v>x</v>
      </c>
      <c r="N134" s="4">
        <f t="shared" si="12"/>
        <v>1</v>
      </c>
      <c r="O134" s="4">
        <f>IF(N133=0,O133+INPUT_CAD!$B$4,INPUT_CAD!$B$4)</f>
        <v>2</v>
      </c>
      <c r="Q134" s="4" t="str">
        <f t="shared" si="13"/>
        <v/>
      </c>
      <c r="R134" s="4" t="str">
        <f t="shared" si="14"/>
        <v/>
      </c>
      <c r="S134" s="4" t="str">
        <f t="shared" si="15"/>
        <v/>
      </c>
      <c r="T134" s="4" t="str">
        <f>IFERROR(Q134*Setup!$C$26+R134*Setup!$D$26+S134*Setup!$E$26,"")</f>
        <v/>
      </c>
      <c r="U134" s="4" t="str">
        <f t="shared" si="17"/>
        <v/>
      </c>
      <c r="V134" s="4">
        <f t="shared" si="16"/>
        <v>90</v>
      </c>
    </row>
    <row r="135" spans="1:22" hidden="1" x14ac:dyDescent="0.25">
      <c r="A135" s="4" t="str">
        <f>IF(INPUT_CAD!A135="","",INPUT_CAD!A135)</f>
        <v/>
      </c>
      <c r="B135" s="4" t="str">
        <f>IF(INPUT_CAD!B135="","",INPUT_CAD!B135)</f>
        <v/>
      </c>
      <c r="C135" s="4" t="str">
        <f>IF(INPUT_CAD!C135="","",INPUT_CAD!C135)</f>
        <v/>
      </c>
      <c r="D135" s="4" t="str">
        <f>IF(INPUT_CAD!D135="","",INPUT_CAD!D135)</f>
        <v/>
      </c>
      <c r="E135" s="4" t="str">
        <f>IF(INPUT_CAD!E135="","",INPUT_CAD!E135)</f>
        <v/>
      </c>
      <c r="F135" s="4" t="str">
        <f>IF(INPUT_CAD!F135="","",INPUT_CAD!F135)</f>
        <v/>
      </c>
      <c r="G135" s="4" t="str">
        <f>IF(INPUT_CAD!G135="","",INPUT_CAD!G135)</f>
        <v/>
      </c>
      <c r="I135" s="4" t="str">
        <f t="shared" si="18"/>
        <v/>
      </c>
      <c r="J135" s="4" t="str">
        <f t="shared" si="19"/>
        <v/>
      </c>
      <c r="K135" s="4" t="str">
        <f t="shared" si="20"/>
        <v/>
      </c>
      <c r="L135" s="4" t="str">
        <f>IFERROR(VLOOKUP(ROUND(K135,0),correction_tag!$A$7:$C$253,3),"x")</f>
        <v>x</v>
      </c>
      <c r="N135" s="4">
        <f t="shared" si="12"/>
        <v>1</v>
      </c>
      <c r="O135" s="4">
        <f>IF(N134=0,O134+INPUT_CAD!$B$4,INPUT_CAD!$B$4)</f>
        <v>2</v>
      </c>
      <c r="Q135" s="4" t="str">
        <f t="shared" si="13"/>
        <v/>
      </c>
      <c r="R135" s="4" t="str">
        <f t="shared" si="14"/>
        <v/>
      </c>
      <c r="S135" s="4" t="str">
        <f t="shared" si="15"/>
        <v/>
      </c>
      <c r="T135" s="4" t="str">
        <f>IFERROR(Q135*Setup!$C$26+R135*Setup!$D$26+S135*Setup!$E$26,"")</f>
        <v/>
      </c>
      <c r="U135" s="4" t="str">
        <f t="shared" si="17"/>
        <v/>
      </c>
      <c r="V135" s="4">
        <f t="shared" si="16"/>
        <v>90</v>
      </c>
    </row>
    <row r="136" spans="1:22" hidden="1" x14ac:dyDescent="0.25">
      <c r="A136" s="4" t="str">
        <f>IF(INPUT_CAD!A136="","",INPUT_CAD!A136)</f>
        <v/>
      </c>
      <c r="B136" s="4" t="str">
        <f>IF(INPUT_CAD!B136="","",INPUT_CAD!B136)</f>
        <v/>
      </c>
      <c r="C136" s="4" t="str">
        <f>IF(INPUT_CAD!C136="","",INPUT_CAD!C136)</f>
        <v/>
      </c>
      <c r="D136" s="4" t="str">
        <f>IF(INPUT_CAD!D136="","",INPUT_CAD!D136)</f>
        <v/>
      </c>
      <c r="E136" s="4" t="str">
        <f>IF(INPUT_CAD!E136="","",INPUT_CAD!E136)</f>
        <v/>
      </c>
      <c r="F136" s="4" t="str">
        <f>IF(INPUT_CAD!F136="","",INPUT_CAD!F136)</f>
        <v/>
      </c>
      <c r="G136" s="4" t="str">
        <f>IF(INPUT_CAD!G136="","",INPUT_CAD!G136)</f>
        <v/>
      </c>
      <c r="I136" s="4" t="str">
        <f t="shared" si="18"/>
        <v/>
      </c>
      <c r="J136" s="4" t="str">
        <f t="shared" si="19"/>
        <v/>
      </c>
      <c r="K136" s="4" t="str">
        <f t="shared" si="20"/>
        <v/>
      </c>
      <c r="L136" s="4" t="str">
        <f>IFERROR(VLOOKUP(ROUND(K136,0),correction_tag!$A$7:$C$253,3),"x")</f>
        <v>x</v>
      </c>
      <c r="N136" s="4">
        <f t="shared" si="12"/>
        <v>1</v>
      </c>
      <c r="O136" s="4">
        <f>IF(N135=0,O135+INPUT_CAD!$B$4,INPUT_CAD!$B$4)</f>
        <v>2</v>
      </c>
      <c r="Q136" s="4" t="str">
        <f t="shared" si="13"/>
        <v/>
      </c>
      <c r="R136" s="4" t="str">
        <f t="shared" si="14"/>
        <v/>
      </c>
      <c r="S136" s="4" t="str">
        <f t="shared" si="15"/>
        <v/>
      </c>
      <c r="T136" s="4" t="str">
        <f>IFERROR(Q136*Setup!$C$26+R136*Setup!$D$26+S136*Setup!$E$26,"")</f>
        <v/>
      </c>
      <c r="U136" s="4" t="str">
        <f t="shared" si="17"/>
        <v/>
      </c>
      <c r="V136" s="4">
        <f t="shared" si="16"/>
        <v>90</v>
      </c>
    </row>
    <row r="137" spans="1:22" hidden="1" x14ac:dyDescent="0.25">
      <c r="A137" s="4" t="str">
        <f>IF(INPUT_CAD!A137="","",INPUT_CAD!A137)</f>
        <v/>
      </c>
      <c r="B137" s="4" t="str">
        <f>IF(INPUT_CAD!B137="","",INPUT_CAD!B137)</f>
        <v/>
      </c>
      <c r="C137" s="4" t="str">
        <f>IF(INPUT_CAD!C137="","",INPUT_CAD!C137)</f>
        <v/>
      </c>
      <c r="D137" s="4" t="str">
        <f>IF(INPUT_CAD!D137="","",INPUT_CAD!D137)</f>
        <v/>
      </c>
      <c r="E137" s="4" t="str">
        <f>IF(INPUT_CAD!E137="","",INPUT_CAD!E137)</f>
        <v/>
      </c>
      <c r="F137" s="4" t="str">
        <f>IF(INPUT_CAD!F137="","",INPUT_CAD!F137)</f>
        <v/>
      </c>
      <c r="G137" s="4" t="str">
        <f>IF(INPUT_CAD!G137="","",INPUT_CAD!G137)</f>
        <v/>
      </c>
      <c r="I137" s="4" t="str">
        <f t="shared" si="18"/>
        <v/>
      </c>
      <c r="J137" s="4" t="str">
        <f t="shared" si="19"/>
        <v/>
      </c>
      <c r="K137" s="4" t="str">
        <f t="shared" si="20"/>
        <v/>
      </c>
      <c r="L137" s="4" t="str">
        <f>IFERROR(VLOOKUP(ROUND(K137,0),correction_tag!$A$7:$C$253,3),"x")</f>
        <v>x</v>
      </c>
      <c r="N137" s="4">
        <f t="shared" si="12"/>
        <v>1</v>
      </c>
      <c r="O137" s="4">
        <f>IF(N136=0,O136+INPUT_CAD!$B$4,INPUT_CAD!$B$4)</f>
        <v>2</v>
      </c>
      <c r="Q137" s="4" t="str">
        <f t="shared" si="13"/>
        <v/>
      </c>
      <c r="R137" s="4" t="str">
        <f t="shared" si="14"/>
        <v/>
      </c>
      <c r="S137" s="4" t="str">
        <f t="shared" si="15"/>
        <v/>
      </c>
      <c r="T137" s="4" t="str">
        <f>IFERROR(Q137*Setup!$C$26+R137*Setup!$D$26+S137*Setup!$E$26,"")</f>
        <v/>
      </c>
      <c r="U137" s="4" t="str">
        <f t="shared" si="17"/>
        <v/>
      </c>
      <c r="V137" s="4">
        <f t="shared" si="16"/>
        <v>90</v>
      </c>
    </row>
    <row r="138" spans="1:22" hidden="1" x14ac:dyDescent="0.25">
      <c r="A138" s="4" t="str">
        <f>IF(INPUT_CAD!A138="","",INPUT_CAD!A138)</f>
        <v/>
      </c>
      <c r="B138" s="4" t="str">
        <f>IF(INPUT_CAD!B138="","",INPUT_CAD!B138)</f>
        <v/>
      </c>
      <c r="C138" s="4" t="str">
        <f>IF(INPUT_CAD!C138="","",INPUT_CAD!C138)</f>
        <v/>
      </c>
      <c r="D138" s="4" t="str">
        <f>IF(INPUT_CAD!D138="","",INPUT_CAD!D138)</f>
        <v/>
      </c>
      <c r="E138" s="4" t="str">
        <f>IF(INPUT_CAD!E138="","",INPUT_CAD!E138)</f>
        <v/>
      </c>
      <c r="F138" s="4" t="str">
        <f>IF(INPUT_CAD!F138="","",INPUT_CAD!F138)</f>
        <v/>
      </c>
      <c r="G138" s="4" t="str">
        <f>IF(INPUT_CAD!G138="","",INPUT_CAD!G138)</f>
        <v/>
      </c>
      <c r="I138" s="4" t="str">
        <f t="shared" si="18"/>
        <v/>
      </c>
      <c r="J138" s="4" t="str">
        <f t="shared" si="19"/>
        <v/>
      </c>
      <c r="K138" s="4" t="str">
        <f t="shared" si="20"/>
        <v/>
      </c>
      <c r="L138" s="4" t="str">
        <f>IFERROR(VLOOKUP(ROUND(K138,0),correction_tag!$A$7:$C$253,3),"x")</f>
        <v>x</v>
      </c>
      <c r="N138" s="4">
        <f t="shared" si="12"/>
        <v>1</v>
      </c>
      <c r="O138" s="4">
        <f>IF(N137=0,O137+INPUT_CAD!$B$4,INPUT_CAD!$B$4)</f>
        <v>2</v>
      </c>
      <c r="Q138" s="4" t="str">
        <f t="shared" si="13"/>
        <v/>
      </c>
      <c r="R138" s="4" t="str">
        <f t="shared" si="14"/>
        <v/>
      </c>
      <c r="S138" s="4" t="str">
        <f t="shared" si="15"/>
        <v/>
      </c>
      <c r="T138" s="4" t="str">
        <f>IFERROR(Q138*Setup!$C$26+R138*Setup!$D$26+S138*Setup!$E$26,"")</f>
        <v/>
      </c>
      <c r="U138" s="4" t="str">
        <f t="shared" si="17"/>
        <v/>
      </c>
      <c r="V138" s="4">
        <f t="shared" si="16"/>
        <v>90</v>
      </c>
    </row>
    <row r="139" spans="1:22" hidden="1" x14ac:dyDescent="0.25">
      <c r="A139" s="4" t="str">
        <f>IF(INPUT_CAD!A139="","",INPUT_CAD!A139)</f>
        <v/>
      </c>
      <c r="B139" s="4" t="str">
        <f>IF(INPUT_CAD!B139="","",INPUT_CAD!B139)</f>
        <v/>
      </c>
      <c r="C139" s="4" t="str">
        <f>IF(INPUT_CAD!C139="","",INPUT_CAD!C139)</f>
        <v/>
      </c>
      <c r="D139" s="4" t="str">
        <f>IF(INPUT_CAD!D139="","",INPUT_CAD!D139)</f>
        <v/>
      </c>
      <c r="E139" s="4" t="str">
        <f>IF(INPUT_CAD!E139="","",INPUT_CAD!E139)</f>
        <v/>
      </c>
      <c r="F139" s="4" t="str">
        <f>IF(INPUT_CAD!F139="","",INPUT_CAD!F139)</f>
        <v/>
      </c>
      <c r="G139" s="4" t="str">
        <f>IF(INPUT_CAD!G139="","",INPUT_CAD!G139)</f>
        <v/>
      </c>
      <c r="I139" s="4" t="str">
        <f t="shared" si="18"/>
        <v/>
      </c>
      <c r="J139" s="4" t="str">
        <f t="shared" si="19"/>
        <v/>
      </c>
      <c r="K139" s="4" t="str">
        <f t="shared" si="20"/>
        <v/>
      </c>
      <c r="L139" s="4" t="str">
        <f>IFERROR(VLOOKUP(ROUND(K139,0),correction_tag!$A$7:$C$253,3),"x")</f>
        <v>x</v>
      </c>
      <c r="N139" s="4">
        <f t="shared" ref="N139:N202" si="21">IF(AND(K139&lt;&gt;0,K139&lt;&gt;"x"), 1,0)</f>
        <v>1</v>
      </c>
      <c r="O139" s="4">
        <f>IF(N138=0,O138+INPUT_CAD!$B$4,INPUT_CAD!$B$4)</f>
        <v>2</v>
      </c>
      <c r="Q139" s="4" t="str">
        <f t="shared" ref="Q139:Q202" si="22">IFERROR(F138*G139-G138*F139,"")</f>
        <v/>
      </c>
      <c r="R139" s="4" t="str">
        <f t="shared" ref="R139:R202" si="23">IFERROR(G138*E139-E138*G139,"")</f>
        <v/>
      </c>
      <c r="S139" s="4" t="str">
        <f t="shared" ref="S139:S202" si="24">IFERROR(E138*F139-F138*E139,"")</f>
        <v/>
      </c>
      <c r="T139" s="4" t="str">
        <f>IFERROR(Q139*Setup!$C$26+R139*Setup!$D$26+S139*Setup!$E$26,"")</f>
        <v/>
      </c>
      <c r="U139" s="4" t="str">
        <f t="shared" si="17"/>
        <v/>
      </c>
      <c r="V139" s="4">
        <f t="shared" ref="V139:V202" si="25">IFERROR(DEGREES(ACOS(T139/(U138*U139))),90)</f>
        <v>90</v>
      </c>
    </row>
    <row r="140" spans="1:22" hidden="1" x14ac:dyDescent="0.25">
      <c r="A140" s="4" t="str">
        <f>IF(INPUT_CAD!A140="","",INPUT_CAD!A140)</f>
        <v/>
      </c>
      <c r="B140" s="4" t="str">
        <f>IF(INPUT_CAD!B140="","",INPUT_CAD!B140)</f>
        <v/>
      </c>
      <c r="C140" s="4" t="str">
        <f>IF(INPUT_CAD!C140="","",INPUT_CAD!C140)</f>
        <v/>
      </c>
      <c r="D140" s="4" t="str">
        <f>IF(INPUT_CAD!D140="","",INPUT_CAD!D140)</f>
        <v/>
      </c>
      <c r="E140" s="4" t="str">
        <f>IF(INPUT_CAD!E140="","",INPUT_CAD!E140)</f>
        <v/>
      </c>
      <c r="F140" s="4" t="str">
        <f>IF(INPUT_CAD!F140="","",INPUT_CAD!F140)</f>
        <v/>
      </c>
      <c r="G140" s="4" t="str">
        <f>IF(INPUT_CAD!G140="","",INPUT_CAD!G140)</f>
        <v/>
      </c>
      <c r="I140" s="4" t="str">
        <f t="shared" si="18"/>
        <v/>
      </c>
      <c r="J140" s="4" t="str">
        <f t="shared" si="19"/>
        <v/>
      </c>
      <c r="K140" s="4" t="str">
        <f t="shared" si="20"/>
        <v/>
      </c>
      <c r="L140" s="4" t="str">
        <f>IFERROR(VLOOKUP(ROUND(K140,0),correction_tag!$A$7:$C$253,3),"x")</f>
        <v>x</v>
      </c>
      <c r="N140" s="4">
        <f t="shared" si="21"/>
        <v>1</v>
      </c>
      <c r="O140" s="4">
        <f>IF(N139=0,O139+INPUT_CAD!$B$4,INPUT_CAD!$B$4)</f>
        <v>2</v>
      </c>
      <c r="Q140" s="4" t="str">
        <f t="shared" si="22"/>
        <v/>
      </c>
      <c r="R140" s="4" t="str">
        <f t="shared" si="23"/>
        <v/>
      </c>
      <c r="S140" s="4" t="str">
        <f t="shared" si="24"/>
        <v/>
      </c>
      <c r="T140" s="4" t="str">
        <f>IFERROR(Q140*Setup!$C$26+R140*Setup!$D$26+S140*Setup!$E$26,"")</f>
        <v/>
      </c>
      <c r="U140" s="4" t="str">
        <f t="shared" ref="U140:U203" si="26">IFERROR(SQRT(Q140^2+R140^2+S140^2),"")</f>
        <v/>
      </c>
      <c r="V140" s="4">
        <f t="shared" si="25"/>
        <v>90</v>
      </c>
    </row>
    <row r="141" spans="1:22" hidden="1" x14ac:dyDescent="0.25">
      <c r="A141" s="4" t="str">
        <f>IF(INPUT_CAD!A141="","",INPUT_CAD!A141)</f>
        <v/>
      </c>
      <c r="B141" s="4" t="str">
        <f>IF(INPUT_CAD!B141="","",INPUT_CAD!B141)</f>
        <v/>
      </c>
      <c r="C141" s="4" t="str">
        <f>IF(INPUT_CAD!C141="","",INPUT_CAD!C141)</f>
        <v/>
      </c>
      <c r="D141" s="4" t="str">
        <f>IF(INPUT_CAD!D141="","",INPUT_CAD!D141)</f>
        <v/>
      </c>
      <c r="E141" s="4" t="str">
        <f>IF(INPUT_CAD!E141="","",INPUT_CAD!E141)</f>
        <v/>
      </c>
      <c r="F141" s="4" t="str">
        <f>IF(INPUT_CAD!F141="","",INPUT_CAD!F141)</f>
        <v/>
      </c>
      <c r="G141" s="4" t="str">
        <f>IF(INPUT_CAD!G141="","",INPUT_CAD!G141)</f>
        <v/>
      </c>
      <c r="I141" s="4" t="str">
        <f t="shared" si="18"/>
        <v/>
      </c>
      <c r="J141" s="4" t="str">
        <f t="shared" si="19"/>
        <v/>
      </c>
      <c r="K141" s="4" t="str">
        <f t="shared" si="20"/>
        <v/>
      </c>
      <c r="L141" s="4" t="str">
        <f>IFERROR(VLOOKUP(ROUND(K141,0),correction_tag!$A$7:$C$253,3),"x")</f>
        <v>x</v>
      </c>
      <c r="N141" s="4">
        <f t="shared" si="21"/>
        <v>1</v>
      </c>
      <c r="O141" s="4">
        <f>IF(N140=0,O140+INPUT_CAD!$B$4,INPUT_CAD!$B$4)</f>
        <v>2</v>
      </c>
      <c r="Q141" s="4" t="str">
        <f t="shared" si="22"/>
        <v/>
      </c>
      <c r="R141" s="4" t="str">
        <f t="shared" si="23"/>
        <v/>
      </c>
      <c r="S141" s="4" t="str">
        <f t="shared" si="24"/>
        <v/>
      </c>
      <c r="T141" s="4" t="str">
        <f>IFERROR(Q141*Setup!$C$26+R141*Setup!$D$26+S141*Setup!$E$26,"")</f>
        <v/>
      </c>
      <c r="U141" s="4" t="str">
        <f t="shared" si="26"/>
        <v/>
      </c>
      <c r="V141" s="4">
        <f t="shared" si="25"/>
        <v>90</v>
      </c>
    </row>
    <row r="142" spans="1:22" hidden="1" x14ac:dyDescent="0.25">
      <c r="A142" s="4" t="str">
        <f>IF(INPUT_CAD!A142="","",INPUT_CAD!A142)</f>
        <v/>
      </c>
      <c r="B142" s="4" t="str">
        <f>IF(INPUT_CAD!B142="","",INPUT_CAD!B142)</f>
        <v/>
      </c>
      <c r="C142" s="4" t="str">
        <f>IF(INPUT_CAD!C142="","",INPUT_CAD!C142)</f>
        <v/>
      </c>
      <c r="D142" s="4" t="str">
        <f>IF(INPUT_CAD!D142="","",INPUT_CAD!D142)</f>
        <v/>
      </c>
      <c r="E142" s="4" t="str">
        <f>IF(INPUT_CAD!E142="","",INPUT_CAD!E142)</f>
        <v/>
      </c>
      <c r="F142" s="4" t="str">
        <f>IF(INPUT_CAD!F142="","",INPUT_CAD!F142)</f>
        <v/>
      </c>
      <c r="G142" s="4" t="str">
        <f>IF(INPUT_CAD!G142="","",INPUT_CAD!G142)</f>
        <v/>
      </c>
      <c r="I142" s="4" t="str">
        <f t="shared" si="18"/>
        <v/>
      </c>
      <c r="J142" s="4" t="str">
        <f t="shared" si="19"/>
        <v/>
      </c>
      <c r="K142" s="4" t="str">
        <f t="shared" si="20"/>
        <v/>
      </c>
      <c r="L142" s="4" t="str">
        <f>IFERROR(VLOOKUP(ROUND(K142,0),correction_tag!$A$7:$C$253,3),"x")</f>
        <v>x</v>
      </c>
      <c r="N142" s="4">
        <f t="shared" si="21"/>
        <v>1</v>
      </c>
      <c r="O142" s="4">
        <f>IF(N141=0,O141+INPUT_CAD!$B$4,INPUT_CAD!$B$4)</f>
        <v>2</v>
      </c>
      <c r="Q142" s="4" t="str">
        <f t="shared" si="22"/>
        <v/>
      </c>
      <c r="R142" s="4" t="str">
        <f t="shared" si="23"/>
        <v/>
      </c>
      <c r="S142" s="4" t="str">
        <f t="shared" si="24"/>
        <v/>
      </c>
      <c r="T142" s="4" t="str">
        <f>IFERROR(Q142*Setup!$C$26+R142*Setup!$D$26+S142*Setup!$E$26,"")</f>
        <v/>
      </c>
      <c r="U142" s="4" t="str">
        <f t="shared" si="26"/>
        <v/>
      </c>
      <c r="V142" s="4">
        <f t="shared" si="25"/>
        <v>90</v>
      </c>
    </row>
    <row r="143" spans="1:22" hidden="1" x14ac:dyDescent="0.25">
      <c r="A143" s="4" t="str">
        <f>IF(INPUT_CAD!A143="","",INPUT_CAD!A143)</f>
        <v/>
      </c>
      <c r="B143" s="4" t="str">
        <f>IF(INPUT_CAD!B143="","",INPUT_CAD!B143)</f>
        <v/>
      </c>
      <c r="C143" s="4" t="str">
        <f>IF(INPUT_CAD!C143="","",INPUT_CAD!C143)</f>
        <v/>
      </c>
      <c r="D143" s="4" t="str">
        <f>IF(INPUT_CAD!D143="","",INPUT_CAD!D143)</f>
        <v/>
      </c>
      <c r="E143" s="4" t="str">
        <f>IF(INPUT_CAD!E143="","",INPUT_CAD!E143)</f>
        <v/>
      </c>
      <c r="F143" s="4" t="str">
        <f>IF(INPUT_CAD!F143="","",INPUT_CAD!F143)</f>
        <v/>
      </c>
      <c r="G143" s="4" t="str">
        <f>IF(INPUT_CAD!G143="","",INPUT_CAD!G143)</f>
        <v/>
      </c>
      <c r="I143" s="4" t="str">
        <f t="shared" si="18"/>
        <v/>
      </c>
      <c r="J143" s="4" t="str">
        <f t="shared" si="19"/>
        <v/>
      </c>
      <c r="K143" s="4" t="str">
        <f t="shared" si="20"/>
        <v/>
      </c>
      <c r="L143" s="4" t="str">
        <f>IFERROR(VLOOKUP(ROUND(K143,0),correction_tag!$A$7:$C$253,3),"x")</f>
        <v>x</v>
      </c>
      <c r="N143" s="4">
        <f t="shared" si="21"/>
        <v>1</v>
      </c>
      <c r="O143" s="4">
        <f>IF(N142=0,O142+INPUT_CAD!$B$4,INPUT_CAD!$B$4)</f>
        <v>2</v>
      </c>
      <c r="Q143" s="4" t="str">
        <f t="shared" si="22"/>
        <v/>
      </c>
      <c r="R143" s="4" t="str">
        <f t="shared" si="23"/>
        <v/>
      </c>
      <c r="S143" s="4" t="str">
        <f t="shared" si="24"/>
        <v/>
      </c>
      <c r="T143" s="4" t="str">
        <f>IFERROR(Q143*Setup!$C$26+R143*Setup!$D$26+S143*Setup!$E$26,"")</f>
        <v/>
      </c>
      <c r="U143" s="4" t="str">
        <f t="shared" si="26"/>
        <v/>
      </c>
      <c r="V143" s="4">
        <f t="shared" si="25"/>
        <v>90</v>
      </c>
    </row>
    <row r="144" spans="1:22" hidden="1" x14ac:dyDescent="0.25">
      <c r="A144" s="4" t="str">
        <f>IF(INPUT_CAD!A144="","",INPUT_CAD!A144)</f>
        <v/>
      </c>
      <c r="B144" s="4" t="str">
        <f>IF(INPUT_CAD!B144="","",INPUT_CAD!B144)</f>
        <v/>
      </c>
      <c r="C144" s="4" t="str">
        <f>IF(INPUT_CAD!C144="","",INPUT_CAD!C144)</f>
        <v/>
      </c>
      <c r="D144" s="4" t="str">
        <f>IF(INPUT_CAD!D144="","",INPUT_CAD!D144)</f>
        <v/>
      </c>
      <c r="E144" s="4" t="str">
        <f>IF(INPUT_CAD!E144="","",INPUT_CAD!E144)</f>
        <v/>
      </c>
      <c r="F144" s="4" t="str">
        <f>IF(INPUT_CAD!F144="","",INPUT_CAD!F144)</f>
        <v/>
      </c>
      <c r="G144" s="4" t="str">
        <f>IF(INPUT_CAD!G144="","",INPUT_CAD!G144)</f>
        <v/>
      </c>
      <c r="I144" s="4" t="str">
        <f t="shared" si="18"/>
        <v/>
      </c>
      <c r="J144" s="4" t="str">
        <f t="shared" si="19"/>
        <v/>
      </c>
      <c r="K144" s="4" t="str">
        <f t="shared" si="20"/>
        <v/>
      </c>
      <c r="L144" s="4" t="str">
        <f>IFERROR(VLOOKUP(ROUND(K144,0),correction_tag!$A$7:$C$253,3),"x")</f>
        <v>x</v>
      </c>
      <c r="N144" s="4">
        <f t="shared" si="21"/>
        <v>1</v>
      </c>
      <c r="O144" s="4">
        <f>IF(N143=0,O143+INPUT_CAD!$B$4,INPUT_CAD!$B$4)</f>
        <v>2</v>
      </c>
      <c r="Q144" s="4" t="str">
        <f t="shared" si="22"/>
        <v/>
      </c>
      <c r="R144" s="4" t="str">
        <f t="shared" si="23"/>
        <v/>
      </c>
      <c r="S144" s="4" t="str">
        <f t="shared" si="24"/>
        <v/>
      </c>
      <c r="T144" s="4" t="str">
        <f>IFERROR(Q144*Setup!$C$26+R144*Setup!$D$26+S144*Setup!$E$26,"")</f>
        <v/>
      </c>
      <c r="U144" s="4" t="str">
        <f t="shared" si="26"/>
        <v/>
      </c>
      <c r="V144" s="4">
        <f t="shared" si="25"/>
        <v>90</v>
      </c>
    </row>
    <row r="145" spans="1:22" hidden="1" x14ac:dyDescent="0.25">
      <c r="A145" s="4" t="str">
        <f>IF(INPUT_CAD!A145="","",INPUT_CAD!A145)</f>
        <v/>
      </c>
      <c r="B145" s="4" t="str">
        <f>IF(INPUT_CAD!B145="","",INPUT_CAD!B145)</f>
        <v/>
      </c>
      <c r="C145" s="4" t="str">
        <f>IF(INPUT_CAD!C145="","",INPUT_CAD!C145)</f>
        <v/>
      </c>
      <c r="D145" s="4" t="str">
        <f>IF(INPUT_CAD!D145="","",INPUT_CAD!D145)</f>
        <v/>
      </c>
      <c r="E145" s="4" t="str">
        <f>IF(INPUT_CAD!E145="","",INPUT_CAD!E145)</f>
        <v/>
      </c>
      <c r="F145" s="4" t="str">
        <f>IF(INPUT_CAD!F145="","",INPUT_CAD!F145)</f>
        <v/>
      </c>
      <c r="G145" s="4" t="str">
        <f>IF(INPUT_CAD!G145="","",INPUT_CAD!G145)</f>
        <v/>
      </c>
      <c r="I145" s="4" t="str">
        <f t="shared" si="18"/>
        <v/>
      </c>
      <c r="J145" s="4" t="str">
        <f t="shared" si="19"/>
        <v/>
      </c>
      <c r="K145" s="4" t="str">
        <f t="shared" si="20"/>
        <v/>
      </c>
      <c r="L145" s="4" t="str">
        <f>IFERROR(VLOOKUP(ROUND(K145,0),correction_tag!$A$7:$C$253,3),"x")</f>
        <v>x</v>
      </c>
      <c r="N145" s="4">
        <f t="shared" si="21"/>
        <v>1</v>
      </c>
      <c r="O145" s="4">
        <f>IF(N144=0,O144+INPUT_CAD!$B$4,INPUT_CAD!$B$4)</f>
        <v>2</v>
      </c>
      <c r="Q145" s="4" t="str">
        <f t="shared" si="22"/>
        <v/>
      </c>
      <c r="R145" s="4" t="str">
        <f t="shared" si="23"/>
        <v/>
      </c>
      <c r="S145" s="4" t="str">
        <f t="shared" si="24"/>
        <v/>
      </c>
      <c r="T145" s="4" t="str">
        <f>IFERROR(Q145*Setup!$C$26+R145*Setup!$D$26+S145*Setup!$E$26,"")</f>
        <v/>
      </c>
      <c r="U145" s="4" t="str">
        <f t="shared" si="26"/>
        <v/>
      </c>
      <c r="V145" s="4">
        <f t="shared" si="25"/>
        <v>90</v>
      </c>
    </row>
    <row r="146" spans="1:22" hidden="1" x14ac:dyDescent="0.25">
      <c r="A146" s="4" t="str">
        <f>IF(INPUT_CAD!A146="","",INPUT_CAD!A146)</f>
        <v/>
      </c>
      <c r="B146" s="4" t="str">
        <f>IF(INPUT_CAD!B146="","",INPUT_CAD!B146)</f>
        <v/>
      </c>
      <c r="C146" s="4" t="str">
        <f>IF(INPUT_CAD!C146="","",INPUT_CAD!C146)</f>
        <v/>
      </c>
      <c r="D146" s="4" t="str">
        <f>IF(INPUT_CAD!D146="","",INPUT_CAD!D146)</f>
        <v/>
      </c>
      <c r="E146" s="4" t="str">
        <f>IF(INPUT_CAD!E146="","",INPUT_CAD!E146)</f>
        <v/>
      </c>
      <c r="F146" s="4" t="str">
        <f>IF(INPUT_CAD!F146="","",INPUT_CAD!F146)</f>
        <v/>
      </c>
      <c r="G146" s="4" t="str">
        <f>IF(INPUT_CAD!G146="","",INPUT_CAD!G146)</f>
        <v/>
      </c>
      <c r="I146" s="4" t="str">
        <f t="shared" si="18"/>
        <v/>
      </c>
      <c r="J146" s="4" t="str">
        <f t="shared" si="19"/>
        <v/>
      </c>
      <c r="K146" s="4" t="str">
        <f t="shared" si="20"/>
        <v/>
      </c>
      <c r="L146" s="4" t="str">
        <f>IFERROR(VLOOKUP(ROUND(K146,0),correction_tag!$A$7:$C$253,3),"x")</f>
        <v>x</v>
      </c>
      <c r="N146" s="4">
        <f t="shared" si="21"/>
        <v>1</v>
      </c>
      <c r="O146" s="4">
        <f>IF(N145=0,O145+INPUT_CAD!$B$4,INPUT_CAD!$B$4)</f>
        <v>2</v>
      </c>
      <c r="Q146" s="4" t="str">
        <f t="shared" si="22"/>
        <v/>
      </c>
      <c r="R146" s="4" t="str">
        <f t="shared" si="23"/>
        <v/>
      </c>
      <c r="S146" s="4" t="str">
        <f t="shared" si="24"/>
        <v/>
      </c>
      <c r="T146" s="4" t="str">
        <f>IFERROR(Q146*Setup!$C$26+R146*Setup!$D$26+S146*Setup!$E$26,"")</f>
        <v/>
      </c>
      <c r="U146" s="4" t="str">
        <f t="shared" si="26"/>
        <v/>
      </c>
      <c r="V146" s="4">
        <f t="shared" si="25"/>
        <v>90</v>
      </c>
    </row>
    <row r="147" spans="1:22" hidden="1" x14ac:dyDescent="0.25">
      <c r="A147" s="4" t="str">
        <f>IF(INPUT_CAD!A147="","",INPUT_CAD!A147)</f>
        <v/>
      </c>
      <c r="B147" s="4" t="str">
        <f>IF(INPUT_CAD!B147="","",INPUT_CAD!B147)</f>
        <v/>
      </c>
      <c r="C147" s="4" t="str">
        <f>IF(INPUT_CAD!C147="","",INPUT_CAD!C147)</f>
        <v/>
      </c>
      <c r="D147" s="4" t="str">
        <f>IF(INPUT_CAD!D147="","",INPUT_CAD!D147)</f>
        <v/>
      </c>
      <c r="E147" s="4" t="str">
        <f>IF(INPUT_CAD!E147="","",INPUT_CAD!E147)</f>
        <v/>
      </c>
      <c r="F147" s="4" t="str">
        <f>IF(INPUT_CAD!F147="","",INPUT_CAD!F147)</f>
        <v/>
      </c>
      <c r="G147" s="4" t="str">
        <f>IF(INPUT_CAD!G147="","",INPUT_CAD!G147)</f>
        <v/>
      </c>
      <c r="I147" s="4" t="str">
        <f t="shared" si="18"/>
        <v/>
      </c>
      <c r="J147" s="4" t="str">
        <f t="shared" si="19"/>
        <v/>
      </c>
      <c r="K147" s="4" t="str">
        <f t="shared" si="20"/>
        <v/>
      </c>
      <c r="L147" s="4" t="str">
        <f>IFERROR(VLOOKUP(ROUND(K147,0),correction_tag!$A$7:$C$253,3),"x")</f>
        <v>x</v>
      </c>
      <c r="N147" s="4">
        <f t="shared" si="21"/>
        <v>1</v>
      </c>
      <c r="O147" s="4">
        <f>IF(N146=0,O146+INPUT_CAD!$B$4,INPUT_CAD!$B$4)</f>
        <v>2</v>
      </c>
      <c r="Q147" s="4" t="str">
        <f t="shared" si="22"/>
        <v/>
      </c>
      <c r="R147" s="4" t="str">
        <f t="shared" si="23"/>
        <v/>
      </c>
      <c r="S147" s="4" t="str">
        <f t="shared" si="24"/>
        <v/>
      </c>
      <c r="T147" s="4" t="str">
        <f>IFERROR(Q147*Setup!$C$26+R147*Setup!$D$26+S147*Setup!$E$26,"")</f>
        <v/>
      </c>
      <c r="U147" s="4" t="str">
        <f t="shared" si="26"/>
        <v/>
      </c>
      <c r="V147" s="4">
        <f t="shared" si="25"/>
        <v>90</v>
      </c>
    </row>
    <row r="148" spans="1:22" hidden="1" x14ac:dyDescent="0.25">
      <c r="A148" s="4" t="str">
        <f>IF(INPUT_CAD!A148="","",INPUT_CAD!A148)</f>
        <v/>
      </c>
      <c r="B148" s="4" t="str">
        <f>IF(INPUT_CAD!B148="","",INPUT_CAD!B148)</f>
        <v/>
      </c>
      <c r="C148" s="4" t="str">
        <f>IF(INPUT_CAD!C148="","",INPUT_CAD!C148)</f>
        <v/>
      </c>
      <c r="D148" s="4" t="str">
        <f>IF(INPUT_CAD!D148="","",INPUT_CAD!D148)</f>
        <v/>
      </c>
      <c r="E148" s="4" t="str">
        <f>IF(INPUT_CAD!E148="","",INPUT_CAD!E148)</f>
        <v/>
      </c>
      <c r="F148" s="4" t="str">
        <f>IF(INPUT_CAD!F148="","",INPUT_CAD!F148)</f>
        <v/>
      </c>
      <c r="G148" s="4" t="str">
        <f>IF(INPUT_CAD!G148="","",INPUT_CAD!G148)</f>
        <v/>
      </c>
      <c r="I148" s="4" t="str">
        <f t="shared" si="18"/>
        <v/>
      </c>
      <c r="J148" s="4" t="str">
        <f t="shared" si="19"/>
        <v/>
      </c>
      <c r="K148" s="4" t="str">
        <f t="shared" si="20"/>
        <v/>
      </c>
      <c r="L148" s="4" t="str">
        <f>IFERROR(VLOOKUP(ROUND(K148,0),correction_tag!$A$7:$C$253,3),"x")</f>
        <v>x</v>
      </c>
      <c r="N148" s="4">
        <f t="shared" si="21"/>
        <v>1</v>
      </c>
      <c r="O148" s="4">
        <f>IF(N147=0,O147+INPUT_CAD!$B$4,INPUT_CAD!$B$4)</f>
        <v>2</v>
      </c>
      <c r="Q148" s="4" t="str">
        <f t="shared" si="22"/>
        <v/>
      </c>
      <c r="R148" s="4" t="str">
        <f t="shared" si="23"/>
        <v/>
      </c>
      <c r="S148" s="4" t="str">
        <f t="shared" si="24"/>
        <v/>
      </c>
      <c r="T148" s="4" t="str">
        <f>IFERROR(Q148*Setup!$C$26+R148*Setup!$D$26+S148*Setup!$E$26,"")</f>
        <v/>
      </c>
      <c r="U148" s="4" t="str">
        <f t="shared" si="26"/>
        <v/>
      </c>
      <c r="V148" s="4">
        <f t="shared" si="25"/>
        <v>90</v>
      </c>
    </row>
    <row r="149" spans="1:22" hidden="1" x14ac:dyDescent="0.25">
      <c r="A149" s="4" t="str">
        <f>IF(INPUT_CAD!A149="","",INPUT_CAD!A149)</f>
        <v/>
      </c>
      <c r="B149" s="4" t="str">
        <f>IF(INPUT_CAD!B149="","",INPUT_CAD!B149)</f>
        <v/>
      </c>
      <c r="C149" s="4" t="str">
        <f>IF(INPUT_CAD!C149="","",INPUT_CAD!C149)</f>
        <v/>
      </c>
      <c r="D149" s="4" t="str">
        <f>IF(INPUT_CAD!D149="","",INPUT_CAD!D149)</f>
        <v/>
      </c>
      <c r="E149" s="4" t="str">
        <f>IF(INPUT_CAD!E149="","",INPUT_CAD!E149)</f>
        <v/>
      </c>
      <c r="F149" s="4" t="str">
        <f>IF(INPUT_CAD!F149="","",INPUT_CAD!F149)</f>
        <v/>
      </c>
      <c r="G149" s="4" t="str">
        <f>IF(INPUT_CAD!G149="","",INPUT_CAD!G149)</f>
        <v/>
      </c>
      <c r="I149" s="4" t="str">
        <f t="shared" si="18"/>
        <v/>
      </c>
      <c r="J149" s="4" t="str">
        <f t="shared" si="19"/>
        <v/>
      </c>
      <c r="K149" s="4" t="str">
        <f t="shared" si="20"/>
        <v/>
      </c>
      <c r="L149" s="4" t="str">
        <f>IFERROR(VLOOKUP(ROUND(K149,0),correction_tag!$A$7:$C$253,3),"x")</f>
        <v>x</v>
      </c>
      <c r="N149" s="4">
        <f t="shared" si="21"/>
        <v>1</v>
      </c>
      <c r="O149" s="4">
        <f>IF(N148=0,O148+INPUT_CAD!$B$4,INPUT_CAD!$B$4)</f>
        <v>2</v>
      </c>
      <c r="Q149" s="4" t="str">
        <f t="shared" si="22"/>
        <v/>
      </c>
      <c r="R149" s="4" t="str">
        <f t="shared" si="23"/>
        <v/>
      </c>
      <c r="S149" s="4" t="str">
        <f t="shared" si="24"/>
        <v/>
      </c>
      <c r="T149" s="4" t="str">
        <f>IFERROR(Q149*Setup!$C$26+R149*Setup!$D$26+S149*Setup!$E$26,"")</f>
        <v/>
      </c>
      <c r="U149" s="4" t="str">
        <f t="shared" si="26"/>
        <v/>
      </c>
      <c r="V149" s="4">
        <f t="shared" si="25"/>
        <v>90</v>
      </c>
    </row>
    <row r="150" spans="1:22" hidden="1" x14ac:dyDescent="0.25">
      <c r="A150" s="4" t="str">
        <f>IF(INPUT_CAD!A150="","",INPUT_CAD!A150)</f>
        <v/>
      </c>
      <c r="B150" s="4" t="str">
        <f>IF(INPUT_CAD!B150="","",INPUT_CAD!B150)</f>
        <v/>
      </c>
      <c r="C150" s="4" t="str">
        <f>IF(INPUT_CAD!C150="","",INPUT_CAD!C150)</f>
        <v/>
      </c>
      <c r="D150" s="4" t="str">
        <f>IF(INPUT_CAD!D150="","",INPUT_CAD!D150)</f>
        <v/>
      </c>
      <c r="E150" s="4" t="str">
        <f>IF(INPUT_CAD!E150="","",INPUT_CAD!E150)</f>
        <v/>
      </c>
      <c r="F150" s="4" t="str">
        <f>IF(INPUT_CAD!F150="","",INPUT_CAD!F150)</f>
        <v/>
      </c>
      <c r="G150" s="4" t="str">
        <f>IF(INPUT_CAD!G150="","",INPUT_CAD!G150)</f>
        <v/>
      </c>
      <c r="I150" s="4" t="str">
        <f t="shared" ref="I150:I213" si="27">IFERROR(E149*E150+F149*F150+G149*G150,"")</f>
        <v/>
      </c>
      <c r="J150" s="4" t="str">
        <f t="shared" ref="J150:J213" si="28">IFERROR(SQRT(E150^2+F150^2+G150^2),"")</f>
        <v/>
      </c>
      <c r="K150" s="4" t="str">
        <f t="shared" ref="K150:K213" si="29">IFERROR(DEGREES(ACOS(I150/(J149*J150))),"")</f>
        <v/>
      </c>
      <c r="L150" s="4" t="str">
        <f>IFERROR(VLOOKUP(ROUND(K150,0),correction_tag!$A$7:$C$253,3),"x")</f>
        <v>x</v>
      </c>
      <c r="N150" s="4">
        <f t="shared" si="21"/>
        <v>1</v>
      </c>
      <c r="O150" s="4">
        <f>IF(N149=0,O149+INPUT_CAD!$B$4,INPUT_CAD!$B$4)</f>
        <v>2</v>
      </c>
      <c r="Q150" s="4" t="str">
        <f t="shared" si="22"/>
        <v/>
      </c>
      <c r="R150" s="4" t="str">
        <f t="shared" si="23"/>
        <v/>
      </c>
      <c r="S150" s="4" t="str">
        <f t="shared" si="24"/>
        <v/>
      </c>
      <c r="T150" s="4" t="str">
        <f>IFERROR(Q150*Setup!$C$26+R150*Setup!$D$26+S150*Setup!$E$26,"")</f>
        <v/>
      </c>
      <c r="U150" s="4" t="str">
        <f t="shared" si="26"/>
        <v/>
      </c>
      <c r="V150" s="4">
        <f t="shared" si="25"/>
        <v>90</v>
      </c>
    </row>
    <row r="151" spans="1:22" hidden="1" x14ac:dyDescent="0.25">
      <c r="A151" s="4" t="str">
        <f>IF(INPUT_CAD!A151="","",INPUT_CAD!A151)</f>
        <v/>
      </c>
      <c r="B151" s="4" t="str">
        <f>IF(INPUT_CAD!B151="","",INPUT_CAD!B151)</f>
        <v/>
      </c>
      <c r="C151" s="4" t="str">
        <f>IF(INPUT_CAD!C151="","",INPUT_CAD!C151)</f>
        <v/>
      </c>
      <c r="D151" s="4" t="str">
        <f>IF(INPUT_CAD!D151="","",INPUT_CAD!D151)</f>
        <v/>
      </c>
      <c r="E151" s="4" t="str">
        <f>IF(INPUT_CAD!E151="","",INPUT_CAD!E151)</f>
        <v/>
      </c>
      <c r="F151" s="4" t="str">
        <f>IF(INPUT_CAD!F151="","",INPUT_CAD!F151)</f>
        <v/>
      </c>
      <c r="G151" s="4" t="str">
        <f>IF(INPUT_CAD!G151="","",INPUT_CAD!G151)</f>
        <v/>
      </c>
      <c r="I151" s="4" t="str">
        <f t="shared" si="27"/>
        <v/>
      </c>
      <c r="J151" s="4" t="str">
        <f t="shared" si="28"/>
        <v/>
      </c>
      <c r="K151" s="4" t="str">
        <f t="shared" si="29"/>
        <v/>
      </c>
      <c r="L151" s="4" t="str">
        <f>IFERROR(VLOOKUP(ROUND(K151,0),correction_tag!$A$7:$C$253,3),"x")</f>
        <v>x</v>
      </c>
      <c r="N151" s="4">
        <f t="shared" si="21"/>
        <v>1</v>
      </c>
      <c r="O151" s="4">
        <f>IF(N150=0,O150+INPUT_CAD!$B$4,INPUT_CAD!$B$4)</f>
        <v>2</v>
      </c>
      <c r="Q151" s="4" t="str">
        <f t="shared" si="22"/>
        <v/>
      </c>
      <c r="R151" s="4" t="str">
        <f t="shared" si="23"/>
        <v/>
      </c>
      <c r="S151" s="4" t="str">
        <f t="shared" si="24"/>
        <v/>
      </c>
      <c r="T151" s="4" t="str">
        <f>IFERROR(Q151*Setup!$C$26+R151*Setup!$D$26+S151*Setup!$E$26,"")</f>
        <v/>
      </c>
      <c r="U151" s="4" t="str">
        <f t="shared" si="26"/>
        <v/>
      </c>
      <c r="V151" s="4">
        <f t="shared" si="25"/>
        <v>90</v>
      </c>
    </row>
    <row r="152" spans="1:22" hidden="1" x14ac:dyDescent="0.25">
      <c r="A152" s="4" t="str">
        <f>IF(INPUT_CAD!A152="","",INPUT_CAD!A152)</f>
        <v/>
      </c>
      <c r="B152" s="4" t="str">
        <f>IF(INPUT_CAD!B152="","",INPUT_CAD!B152)</f>
        <v/>
      </c>
      <c r="C152" s="4" t="str">
        <f>IF(INPUT_CAD!C152="","",INPUT_CAD!C152)</f>
        <v/>
      </c>
      <c r="D152" s="4" t="str">
        <f>IF(INPUT_CAD!D152="","",INPUT_CAD!D152)</f>
        <v/>
      </c>
      <c r="E152" s="4" t="str">
        <f>IF(INPUT_CAD!E152="","",INPUT_CAD!E152)</f>
        <v/>
      </c>
      <c r="F152" s="4" t="str">
        <f>IF(INPUT_CAD!F152="","",INPUT_CAD!F152)</f>
        <v/>
      </c>
      <c r="G152" s="4" t="str">
        <f>IF(INPUT_CAD!G152="","",INPUT_CAD!G152)</f>
        <v/>
      </c>
      <c r="I152" s="4" t="str">
        <f t="shared" si="27"/>
        <v/>
      </c>
      <c r="J152" s="4" t="str">
        <f t="shared" si="28"/>
        <v/>
      </c>
      <c r="K152" s="4" t="str">
        <f t="shared" si="29"/>
        <v/>
      </c>
      <c r="L152" s="4" t="str">
        <f>IFERROR(VLOOKUP(ROUND(K152,0),correction_tag!$A$7:$C$253,3),"x")</f>
        <v>x</v>
      </c>
      <c r="N152" s="4">
        <f t="shared" si="21"/>
        <v>1</v>
      </c>
      <c r="O152" s="4">
        <f>IF(N151=0,O151+INPUT_CAD!$B$4,INPUT_CAD!$B$4)</f>
        <v>2</v>
      </c>
      <c r="Q152" s="4" t="str">
        <f t="shared" si="22"/>
        <v/>
      </c>
      <c r="R152" s="4" t="str">
        <f t="shared" si="23"/>
        <v/>
      </c>
      <c r="S152" s="4" t="str">
        <f t="shared" si="24"/>
        <v/>
      </c>
      <c r="T152" s="4" t="str">
        <f>IFERROR(Q152*Setup!$C$26+R152*Setup!$D$26+S152*Setup!$E$26,"")</f>
        <v/>
      </c>
      <c r="U152" s="4" t="str">
        <f t="shared" si="26"/>
        <v/>
      </c>
      <c r="V152" s="4">
        <f t="shared" si="25"/>
        <v>90</v>
      </c>
    </row>
    <row r="153" spans="1:22" hidden="1" x14ac:dyDescent="0.25">
      <c r="A153" s="4" t="str">
        <f>IF(INPUT_CAD!A153="","",INPUT_CAD!A153)</f>
        <v/>
      </c>
      <c r="B153" s="4" t="str">
        <f>IF(INPUT_CAD!B153="","",INPUT_CAD!B153)</f>
        <v/>
      </c>
      <c r="C153" s="4" t="str">
        <f>IF(INPUT_CAD!C153="","",INPUT_CAD!C153)</f>
        <v/>
      </c>
      <c r="D153" s="4" t="str">
        <f>IF(INPUT_CAD!D153="","",INPUT_CAD!D153)</f>
        <v/>
      </c>
      <c r="E153" s="4" t="str">
        <f>IF(INPUT_CAD!E153="","",INPUT_CAD!E153)</f>
        <v/>
      </c>
      <c r="F153" s="4" t="str">
        <f>IF(INPUT_CAD!F153="","",INPUT_CAD!F153)</f>
        <v/>
      </c>
      <c r="G153" s="4" t="str">
        <f>IF(INPUT_CAD!G153="","",INPUT_CAD!G153)</f>
        <v/>
      </c>
      <c r="I153" s="4" t="str">
        <f t="shared" si="27"/>
        <v/>
      </c>
      <c r="J153" s="4" t="str">
        <f t="shared" si="28"/>
        <v/>
      </c>
      <c r="K153" s="4" t="str">
        <f t="shared" si="29"/>
        <v/>
      </c>
      <c r="L153" s="4" t="str">
        <f>IFERROR(VLOOKUP(ROUND(K153,0),correction_tag!$A$7:$C$253,3),"x")</f>
        <v>x</v>
      </c>
      <c r="N153" s="4">
        <f t="shared" si="21"/>
        <v>1</v>
      </c>
      <c r="O153" s="4">
        <f>IF(N152=0,O152+INPUT_CAD!$B$4,INPUT_CAD!$B$4)</f>
        <v>2</v>
      </c>
      <c r="Q153" s="4" t="str">
        <f t="shared" si="22"/>
        <v/>
      </c>
      <c r="R153" s="4" t="str">
        <f t="shared" si="23"/>
        <v/>
      </c>
      <c r="S153" s="4" t="str">
        <f t="shared" si="24"/>
        <v/>
      </c>
      <c r="T153" s="4" t="str">
        <f>IFERROR(Q153*Setup!$C$26+R153*Setup!$D$26+S153*Setup!$E$26,"")</f>
        <v/>
      </c>
      <c r="U153" s="4" t="str">
        <f t="shared" si="26"/>
        <v/>
      </c>
      <c r="V153" s="4">
        <f t="shared" si="25"/>
        <v>90</v>
      </c>
    </row>
    <row r="154" spans="1:22" hidden="1" x14ac:dyDescent="0.25">
      <c r="A154" s="4" t="str">
        <f>IF(INPUT_CAD!A154="","",INPUT_CAD!A154)</f>
        <v/>
      </c>
      <c r="B154" s="4" t="str">
        <f>IF(INPUT_CAD!B154="","",INPUT_CAD!B154)</f>
        <v/>
      </c>
      <c r="C154" s="4" t="str">
        <f>IF(INPUT_CAD!C154="","",INPUT_CAD!C154)</f>
        <v/>
      </c>
      <c r="D154" s="4" t="str">
        <f>IF(INPUT_CAD!D154="","",INPUT_CAD!D154)</f>
        <v/>
      </c>
      <c r="E154" s="4" t="str">
        <f>IF(INPUT_CAD!E154="","",INPUT_CAD!E154)</f>
        <v/>
      </c>
      <c r="F154" s="4" t="str">
        <f>IF(INPUT_CAD!F154="","",INPUT_CAD!F154)</f>
        <v/>
      </c>
      <c r="G154" s="4" t="str">
        <f>IF(INPUT_CAD!G154="","",INPUT_CAD!G154)</f>
        <v/>
      </c>
      <c r="I154" s="4" t="str">
        <f t="shared" si="27"/>
        <v/>
      </c>
      <c r="J154" s="4" t="str">
        <f t="shared" si="28"/>
        <v/>
      </c>
      <c r="K154" s="4" t="str">
        <f t="shared" si="29"/>
        <v/>
      </c>
      <c r="L154" s="4" t="str">
        <f>IFERROR(VLOOKUP(ROUND(K154,0),correction_tag!$A$7:$C$253,3),"x")</f>
        <v>x</v>
      </c>
      <c r="N154" s="4">
        <f t="shared" si="21"/>
        <v>1</v>
      </c>
      <c r="O154" s="4">
        <f>IF(N153=0,O153+INPUT_CAD!$B$4,INPUT_CAD!$B$4)</f>
        <v>2</v>
      </c>
      <c r="Q154" s="4" t="str">
        <f t="shared" si="22"/>
        <v/>
      </c>
      <c r="R154" s="4" t="str">
        <f t="shared" si="23"/>
        <v/>
      </c>
      <c r="S154" s="4" t="str">
        <f t="shared" si="24"/>
        <v/>
      </c>
      <c r="T154" s="4" t="str">
        <f>IFERROR(Q154*Setup!$C$26+R154*Setup!$D$26+S154*Setup!$E$26,"")</f>
        <v/>
      </c>
      <c r="U154" s="4" t="str">
        <f t="shared" si="26"/>
        <v/>
      </c>
      <c r="V154" s="4">
        <f t="shared" si="25"/>
        <v>90</v>
      </c>
    </row>
    <row r="155" spans="1:22" hidden="1" x14ac:dyDescent="0.25">
      <c r="A155" s="4" t="str">
        <f>IF(INPUT_CAD!A155="","",INPUT_CAD!A155)</f>
        <v/>
      </c>
      <c r="B155" s="4" t="str">
        <f>IF(INPUT_CAD!B155="","",INPUT_CAD!B155)</f>
        <v/>
      </c>
      <c r="C155" s="4" t="str">
        <f>IF(INPUT_CAD!C155="","",INPUT_CAD!C155)</f>
        <v/>
      </c>
      <c r="D155" s="4" t="str">
        <f>IF(INPUT_CAD!D155="","",INPUT_CAD!D155)</f>
        <v/>
      </c>
      <c r="E155" s="4" t="str">
        <f>IF(INPUT_CAD!E155="","",INPUT_CAD!E155)</f>
        <v/>
      </c>
      <c r="F155" s="4" t="str">
        <f>IF(INPUT_CAD!F155="","",INPUT_CAD!F155)</f>
        <v/>
      </c>
      <c r="G155" s="4" t="str">
        <f>IF(INPUT_CAD!G155="","",INPUT_CAD!G155)</f>
        <v/>
      </c>
      <c r="I155" s="4" t="str">
        <f t="shared" si="27"/>
        <v/>
      </c>
      <c r="J155" s="4" t="str">
        <f t="shared" si="28"/>
        <v/>
      </c>
      <c r="K155" s="4" t="str">
        <f t="shared" si="29"/>
        <v/>
      </c>
      <c r="L155" s="4" t="str">
        <f>IFERROR(VLOOKUP(ROUND(K155,0),correction_tag!$A$7:$C$253,3),"x")</f>
        <v>x</v>
      </c>
      <c r="N155" s="4">
        <f t="shared" si="21"/>
        <v>1</v>
      </c>
      <c r="O155" s="4">
        <f>IF(N154=0,O154+INPUT_CAD!$B$4,INPUT_CAD!$B$4)</f>
        <v>2</v>
      </c>
      <c r="Q155" s="4" t="str">
        <f t="shared" si="22"/>
        <v/>
      </c>
      <c r="R155" s="4" t="str">
        <f t="shared" si="23"/>
        <v/>
      </c>
      <c r="S155" s="4" t="str">
        <f t="shared" si="24"/>
        <v/>
      </c>
      <c r="T155" s="4" t="str">
        <f>IFERROR(Q155*Setup!$C$26+R155*Setup!$D$26+S155*Setup!$E$26,"")</f>
        <v/>
      </c>
      <c r="U155" s="4" t="str">
        <f t="shared" si="26"/>
        <v/>
      </c>
      <c r="V155" s="4">
        <f t="shared" si="25"/>
        <v>90</v>
      </c>
    </row>
    <row r="156" spans="1:22" hidden="1" x14ac:dyDescent="0.25">
      <c r="A156" s="4" t="str">
        <f>IF(INPUT_CAD!A156="","",INPUT_CAD!A156)</f>
        <v/>
      </c>
      <c r="B156" s="4" t="str">
        <f>IF(INPUT_CAD!B156="","",INPUT_CAD!B156)</f>
        <v/>
      </c>
      <c r="C156" s="4" t="str">
        <f>IF(INPUT_CAD!C156="","",INPUT_CAD!C156)</f>
        <v/>
      </c>
      <c r="D156" s="4" t="str">
        <f>IF(INPUT_CAD!D156="","",INPUT_CAD!D156)</f>
        <v/>
      </c>
      <c r="E156" s="4" t="str">
        <f>IF(INPUT_CAD!E156="","",INPUT_CAD!E156)</f>
        <v/>
      </c>
      <c r="F156" s="4" t="str">
        <f>IF(INPUT_CAD!F156="","",INPUT_CAD!F156)</f>
        <v/>
      </c>
      <c r="G156" s="4" t="str">
        <f>IF(INPUT_CAD!G156="","",INPUT_CAD!G156)</f>
        <v/>
      </c>
      <c r="I156" s="4" t="str">
        <f t="shared" si="27"/>
        <v/>
      </c>
      <c r="J156" s="4" t="str">
        <f t="shared" si="28"/>
        <v/>
      </c>
      <c r="K156" s="4" t="str">
        <f t="shared" si="29"/>
        <v/>
      </c>
      <c r="L156" s="4" t="str">
        <f>IFERROR(VLOOKUP(ROUND(K156,0),correction_tag!$A$7:$C$253,3),"x")</f>
        <v>x</v>
      </c>
      <c r="N156" s="4">
        <f t="shared" si="21"/>
        <v>1</v>
      </c>
      <c r="O156" s="4">
        <f>IF(N155=0,O155+INPUT_CAD!$B$4,INPUT_CAD!$B$4)</f>
        <v>2</v>
      </c>
      <c r="Q156" s="4" t="str">
        <f t="shared" si="22"/>
        <v/>
      </c>
      <c r="R156" s="4" t="str">
        <f t="shared" si="23"/>
        <v/>
      </c>
      <c r="S156" s="4" t="str">
        <f t="shared" si="24"/>
        <v/>
      </c>
      <c r="T156" s="4" t="str">
        <f>IFERROR(Q156*Setup!$C$26+R156*Setup!$D$26+S156*Setup!$E$26,"")</f>
        <v/>
      </c>
      <c r="U156" s="4" t="str">
        <f t="shared" si="26"/>
        <v/>
      </c>
      <c r="V156" s="4">
        <f t="shared" si="25"/>
        <v>90</v>
      </c>
    </row>
    <row r="157" spans="1:22" hidden="1" x14ac:dyDescent="0.25">
      <c r="A157" s="4" t="str">
        <f>IF(INPUT_CAD!A157="","",INPUT_CAD!A157)</f>
        <v/>
      </c>
      <c r="B157" s="4" t="str">
        <f>IF(INPUT_CAD!B157="","",INPUT_CAD!B157)</f>
        <v/>
      </c>
      <c r="C157" s="4" t="str">
        <f>IF(INPUT_CAD!C157="","",INPUT_CAD!C157)</f>
        <v/>
      </c>
      <c r="D157" s="4" t="str">
        <f>IF(INPUT_CAD!D157="","",INPUT_CAD!D157)</f>
        <v/>
      </c>
      <c r="E157" s="4" t="str">
        <f>IF(INPUT_CAD!E157="","",INPUT_CAD!E157)</f>
        <v/>
      </c>
      <c r="F157" s="4" t="str">
        <f>IF(INPUT_CAD!F157="","",INPUT_CAD!F157)</f>
        <v/>
      </c>
      <c r="G157" s="4" t="str">
        <f>IF(INPUT_CAD!G157="","",INPUT_CAD!G157)</f>
        <v/>
      </c>
      <c r="I157" s="4" t="str">
        <f t="shared" si="27"/>
        <v/>
      </c>
      <c r="J157" s="4" t="str">
        <f t="shared" si="28"/>
        <v/>
      </c>
      <c r="K157" s="4" t="str">
        <f t="shared" si="29"/>
        <v/>
      </c>
      <c r="L157" s="4" t="str">
        <f>IFERROR(VLOOKUP(ROUND(K157,0),correction_tag!$A$7:$C$253,3),"x")</f>
        <v>x</v>
      </c>
      <c r="N157" s="4">
        <f t="shared" si="21"/>
        <v>1</v>
      </c>
      <c r="O157" s="4">
        <f>IF(N156=0,O156+INPUT_CAD!$B$4,INPUT_CAD!$B$4)</f>
        <v>2</v>
      </c>
      <c r="Q157" s="4" t="str">
        <f t="shared" si="22"/>
        <v/>
      </c>
      <c r="R157" s="4" t="str">
        <f t="shared" si="23"/>
        <v/>
      </c>
      <c r="S157" s="4" t="str">
        <f t="shared" si="24"/>
        <v/>
      </c>
      <c r="T157" s="4" t="str">
        <f>IFERROR(Q157*Setup!$C$26+R157*Setup!$D$26+S157*Setup!$E$26,"")</f>
        <v/>
      </c>
      <c r="U157" s="4" t="str">
        <f t="shared" si="26"/>
        <v/>
      </c>
      <c r="V157" s="4">
        <f t="shared" si="25"/>
        <v>90</v>
      </c>
    </row>
    <row r="158" spans="1:22" hidden="1" x14ac:dyDescent="0.25">
      <c r="A158" s="4" t="str">
        <f>IF(INPUT_CAD!A158="","",INPUT_CAD!A158)</f>
        <v/>
      </c>
      <c r="B158" s="4" t="str">
        <f>IF(INPUT_CAD!B158="","",INPUT_CAD!B158)</f>
        <v/>
      </c>
      <c r="C158" s="4" t="str">
        <f>IF(INPUT_CAD!C158="","",INPUT_CAD!C158)</f>
        <v/>
      </c>
      <c r="D158" s="4" t="str">
        <f>IF(INPUT_CAD!D158="","",INPUT_CAD!D158)</f>
        <v/>
      </c>
      <c r="E158" s="4" t="str">
        <f>IF(INPUT_CAD!E158="","",INPUT_CAD!E158)</f>
        <v/>
      </c>
      <c r="F158" s="4" t="str">
        <f>IF(INPUT_CAD!F158="","",INPUT_CAD!F158)</f>
        <v/>
      </c>
      <c r="G158" s="4" t="str">
        <f>IF(INPUT_CAD!G158="","",INPUT_CAD!G158)</f>
        <v/>
      </c>
      <c r="I158" s="4" t="str">
        <f t="shared" si="27"/>
        <v/>
      </c>
      <c r="J158" s="4" t="str">
        <f t="shared" si="28"/>
        <v/>
      </c>
      <c r="K158" s="4" t="str">
        <f t="shared" si="29"/>
        <v/>
      </c>
      <c r="L158" s="4" t="str">
        <f>IFERROR(VLOOKUP(ROUND(K158,0),correction_tag!$A$7:$C$253,3),"x")</f>
        <v>x</v>
      </c>
      <c r="N158" s="4">
        <f t="shared" si="21"/>
        <v>1</v>
      </c>
      <c r="O158" s="4">
        <f>IF(N157=0,O157+INPUT_CAD!$B$4,INPUT_CAD!$B$4)</f>
        <v>2</v>
      </c>
      <c r="Q158" s="4" t="str">
        <f t="shared" si="22"/>
        <v/>
      </c>
      <c r="R158" s="4" t="str">
        <f t="shared" si="23"/>
        <v/>
      </c>
      <c r="S158" s="4" t="str">
        <f t="shared" si="24"/>
        <v/>
      </c>
      <c r="T158" s="4" t="str">
        <f>IFERROR(Q158*Setup!$C$26+R158*Setup!$D$26+S158*Setup!$E$26,"")</f>
        <v/>
      </c>
      <c r="U158" s="4" t="str">
        <f t="shared" si="26"/>
        <v/>
      </c>
      <c r="V158" s="4">
        <f t="shared" si="25"/>
        <v>90</v>
      </c>
    </row>
    <row r="159" spans="1:22" hidden="1" x14ac:dyDescent="0.25">
      <c r="A159" s="4" t="str">
        <f>IF(INPUT_CAD!A159="","",INPUT_CAD!A159)</f>
        <v/>
      </c>
      <c r="B159" s="4" t="str">
        <f>IF(INPUT_CAD!B159="","",INPUT_CAD!B159)</f>
        <v/>
      </c>
      <c r="C159" s="4" t="str">
        <f>IF(INPUT_CAD!C159="","",INPUT_CAD!C159)</f>
        <v/>
      </c>
      <c r="D159" s="4" t="str">
        <f>IF(INPUT_CAD!D159="","",INPUT_CAD!D159)</f>
        <v/>
      </c>
      <c r="E159" s="4" t="str">
        <f>IF(INPUT_CAD!E159="","",INPUT_CAD!E159)</f>
        <v/>
      </c>
      <c r="F159" s="4" t="str">
        <f>IF(INPUT_CAD!F159="","",INPUT_CAD!F159)</f>
        <v/>
      </c>
      <c r="G159" s="4" t="str">
        <f>IF(INPUT_CAD!G159="","",INPUT_CAD!G159)</f>
        <v/>
      </c>
      <c r="I159" s="4" t="str">
        <f t="shared" si="27"/>
        <v/>
      </c>
      <c r="J159" s="4" t="str">
        <f t="shared" si="28"/>
        <v/>
      </c>
      <c r="K159" s="4" t="str">
        <f t="shared" si="29"/>
        <v/>
      </c>
      <c r="L159" s="4" t="str">
        <f>IFERROR(VLOOKUP(ROUND(K159,0),correction_tag!$A$7:$C$253,3),"x")</f>
        <v>x</v>
      </c>
      <c r="N159" s="4">
        <f t="shared" si="21"/>
        <v>1</v>
      </c>
      <c r="O159" s="4">
        <f>IF(N158=0,O158+INPUT_CAD!$B$4,INPUT_CAD!$B$4)</f>
        <v>2</v>
      </c>
      <c r="Q159" s="4" t="str">
        <f t="shared" si="22"/>
        <v/>
      </c>
      <c r="R159" s="4" t="str">
        <f t="shared" si="23"/>
        <v/>
      </c>
      <c r="S159" s="4" t="str">
        <f t="shared" si="24"/>
        <v/>
      </c>
      <c r="T159" s="4" t="str">
        <f>IFERROR(Q159*Setup!$C$26+R159*Setup!$D$26+S159*Setup!$E$26,"")</f>
        <v/>
      </c>
      <c r="U159" s="4" t="str">
        <f t="shared" si="26"/>
        <v/>
      </c>
      <c r="V159" s="4">
        <f t="shared" si="25"/>
        <v>90</v>
      </c>
    </row>
    <row r="160" spans="1:22" hidden="1" x14ac:dyDescent="0.25">
      <c r="A160" s="4" t="str">
        <f>IF(INPUT_CAD!A160="","",INPUT_CAD!A160)</f>
        <v/>
      </c>
      <c r="B160" s="4" t="str">
        <f>IF(INPUT_CAD!B160="","",INPUT_CAD!B160)</f>
        <v/>
      </c>
      <c r="C160" s="4" t="str">
        <f>IF(INPUT_CAD!C160="","",INPUT_CAD!C160)</f>
        <v/>
      </c>
      <c r="D160" s="4" t="str">
        <f>IF(INPUT_CAD!D160="","",INPUT_CAD!D160)</f>
        <v/>
      </c>
      <c r="E160" s="4" t="str">
        <f>IF(INPUT_CAD!E160="","",INPUT_CAD!E160)</f>
        <v/>
      </c>
      <c r="F160" s="4" t="str">
        <f>IF(INPUT_CAD!F160="","",INPUT_CAD!F160)</f>
        <v/>
      </c>
      <c r="G160" s="4" t="str">
        <f>IF(INPUT_CAD!G160="","",INPUT_CAD!G160)</f>
        <v/>
      </c>
      <c r="I160" s="4" t="str">
        <f t="shared" si="27"/>
        <v/>
      </c>
      <c r="J160" s="4" t="str">
        <f t="shared" si="28"/>
        <v/>
      </c>
      <c r="K160" s="4" t="str">
        <f t="shared" si="29"/>
        <v/>
      </c>
      <c r="L160" s="4" t="str">
        <f>IFERROR(VLOOKUP(ROUND(K160,0),correction_tag!$A$7:$C$253,3),"x")</f>
        <v>x</v>
      </c>
      <c r="N160" s="4">
        <f t="shared" si="21"/>
        <v>1</v>
      </c>
      <c r="O160" s="4">
        <f>IF(N159=0,O159+INPUT_CAD!$B$4,INPUT_CAD!$B$4)</f>
        <v>2</v>
      </c>
      <c r="Q160" s="4" t="str">
        <f t="shared" si="22"/>
        <v/>
      </c>
      <c r="R160" s="4" t="str">
        <f t="shared" si="23"/>
        <v/>
      </c>
      <c r="S160" s="4" t="str">
        <f t="shared" si="24"/>
        <v/>
      </c>
      <c r="T160" s="4" t="str">
        <f>IFERROR(Q160*Setup!$C$26+R160*Setup!$D$26+S160*Setup!$E$26,"")</f>
        <v/>
      </c>
      <c r="U160" s="4" t="str">
        <f t="shared" si="26"/>
        <v/>
      </c>
      <c r="V160" s="4">
        <f t="shared" si="25"/>
        <v>90</v>
      </c>
    </row>
    <row r="161" spans="1:22" hidden="1" x14ac:dyDescent="0.25">
      <c r="A161" s="4" t="str">
        <f>IF(INPUT_CAD!A161="","",INPUT_CAD!A161)</f>
        <v/>
      </c>
      <c r="B161" s="4" t="str">
        <f>IF(INPUT_CAD!B161="","",INPUT_CAD!B161)</f>
        <v/>
      </c>
      <c r="C161" s="4" t="str">
        <f>IF(INPUT_CAD!C161="","",INPUT_CAD!C161)</f>
        <v/>
      </c>
      <c r="D161" s="4" t="str">
        <f>IF(INPUT_CAD!D161="","",INPUT_CAD!D161)</f>
        <v/>
      </c>
      <c r="E161" s="4" t="str">
        <f>IF(INPUT_CAD!E161="","",INPUT_CAD!E161)</f>
        <v/>
      </c>
      <c r="F161" s="4" t="str">
        <f>IF(INPUT_CAD!F161="","",INPUT_CAD!F161)</f>
        <v/>
      </c>
      <c r="G161" s="4" t="str">
        <f>IF(INPUT_CAD!G161="","",INPUT_CAD!G161)</f>
        <v/>
      </c>
      <c r="I161" s="4" t="str">
        <f t="shared" si="27"/>
        <v/>
      </c>
      <c r="J161" s="4" t="str">
        <f t="shared" si="28"/>
        <v/>
      </c>
      <c r="K161" s="4" t="str">
        <f t="shared" si="29"/>
        <v/>
      </c>
      <c r="L161" s="4" t="str">
        <f>IFERROR(VLOOKUP(ROUND(K161,0),correction_tag!$A$7:$C$253,3),"x")</f>
        <v>x</v>
      </c>
      <c r="N161" s="4">
        <f t="shared" si="21"/>
        <v>1</v>
      </c>
      <c r="O161" s="4">
        <f>IF(N160=0,O160+INPUT_CAD!$B$4,INPUT_CAD!$B$4)</f>
        <v>2</v>
      </c>
      <c r="Q161" s="4" t="str">
        <f t="shared" si="22"/>
        <v/>
      </c>
      <c r="R161" s="4" t="str">
        <f t="shared" si="23"/>
        <v/>
      </c>
      <c r="S161" s="4" t="str">
        <f t="shared" si="24"/>
        <v/>
      </c>
      <c r="T161" s="4" t="str">
        <f>IFERROR(Q161*Setup!$C$26+R161*Setup!$D$26+S161*Setup!$E$26,"")</f>
        <v/>
      </c>
      <c r="U161" s="4" t="str">
        <f t="shared" si="26"/>
        <v/>
      </c>
      <c r="V161" s="4">
        <f t="shared" si="25"/>
        <v>90</v>
      </c>
    </row>
    <row r="162" spans="1:22" hidden="1" x14ac:dyDescent="0.25">
      <c r="A162" s="4" t="str">
        <f>IF(INPUT_CAD!A162="","",INPUT_CAD!A162)</f>
        <v/>
      </c>
      <c r="B162" s="4" t="str">
        <f>IF(INPUT_CAD!B162="","",INPUT_CAD!B162)</f>
        <v/>
      </c>
      <c r="C162" s="4" t="str">
        <f>IF(INPUT_CAD!C162="","",INPUT_CAD!C162)</f>
        <v/>
      </c>
      <c r="D162" s="4" t="str">
        <f>IF(INPUT_CAD!D162="","",INPUT_CAD!D162)</f>
        <v/>
      </c>
      <c r="E162" s="4" t="str">
        <f>IF(INPUT_CAD!E162="","",INPUT_CAD!E162)</f>
        <v/>
      </c>
      <c r="F162" s="4" t="str">
        <f>IF(INPUT_CAD!F162="","",INPUT_CAD!F162)</f>
        <v/>
      </c>
      <c r="G162" s="4" t="str">
        <f>IF(INPUT_CAD!G162="","",INPUT_CAD!G162)</f>
        <v/>
      </c>
      <c r="I162" s="4" t="str">
        <f t="shared" si="27"/>
        <v/>
      </c>
      <c r="J162" s="4" t="str">
        <f t="shared" si="28"/>
        <v/>
      </c>
      <c r="K162" s="4" t="str">
        <f t="shared" si="29"/>
        <v/>
      </c>
      <c r="L162" s="4" t="str">
        <f>IFERROR(VLOOKUP(ROUND(K162,0),correction_tag!$A$7:$C$253,3),"x")</f>
        <v>x</v>
      </c>
      <c r="N162" s="4">
        <f t="shared" si="21"/>
        <v>1</v>
      </c>
      <c r="O162" s="4">
        <f>IF(N161=0,O161+INPUT_CAD!$B$4,INPUT_CAD!$B$4)</f>
        <v>2</v>
      </c>
      <c r="Q162" s="4" t="str">
        <f t="shared" si="22"/>
        <v/>
      </c>
      <c r="R162" s="4" t="str">
        <f t="shared" si="23"/>
        <v/>
      </c>
      <c r="S162" s="4" t="str">
        <f t="shared" si="24"/>
        <v/>
      </c>
      <c r="T162" s="4" t="str">
        <f>IFERROR(Q162*Setup!$C$26+R162*Setup!$D$26+S162*Setup!$E$26,"")</f>
        <v/>
      </c>
      <c r="U162" s="4" t="str">
        <f t="shared" si="26"/>
        <v/>
      </c>
      <c r="V162" s="4">
        <f t="shared" si="25"/>
        <v>90</v>
      </c>
    </row>
    <row r="163" spans="1:22" hidden="1" x14ac:dyDescent="0.25">
      <c r="A163" s="4" t="str">
        <f>IF(INPUT_CAD!A163="","",INPUT_CAD!A163)</f>
        <v/>
      </c>
      <c r="B163" s="4" t="str">
        <f>IF(INPUT_CAD!B163="","",INPUT_CAD!B163)</f>
        <v/>
      </c>
      <c r="C163" s="4" t="str">
        <f>IF(INPUT_CAD!C163="","",INPUT_CAD!C163)</f>
        <v/>
      </c>
      <c r="D163" s="4" t="str">
        <f>IF(INPUT_CAD!D163="","",INPUT_CAD!D163)</f>
        <v/>
      </c>
      <c r="E163" s="4" t="str">
        <f>IF(INPUT_CAD!E163="","",INPUT_CAD!E163)</f>
        <v/>
      </c>
      <c r="F163" s="4" t="str">
        <f>IF(INPUT_CAD!F163="","",INPUT_CAD!F163)</f>
        <v/>
      </c>
      <c r="G163" s="4" t="str">
        <f>IF(INPUT_CAD!G163="","",INPUT_CAD!G163)</f>
        <v/>
      </c>
      <c r="I163" s="4" t="str">
        <f t="shared" si="27"/>
        <v/>
      </c>
      <c r="J163" s="4" t="str">
        <f t="shared" si="28"/>
        <v/>
      </c>
      <c r="K163" s="4" t="str">
        <f t="shared" si="29"/>
        <v/>
      </c>
      <c r="L163" s="4" t="str">
        <f>IFERROR(VLOOKUP(ROUND(K163,0),correction_tag!$A$7:$C$253,3),"x")</f>
        <v>x</v>
      </c>
      <c r="N163" s="4">
        <f t="shared" si="21"/>
        <v>1</v>
      </c>
      <c r="O163" s="4">
        <f>IF(N162=0,O162+INPUT_CAD!$B$4,INPUT_CAD!$B$4)</f>
        <v>2</v>
      </c>
      <c r="Q163" s="4" t="str">
        <f t="shared" si="22"/>
        <v/>
      </c>
      <c r="R163" s="4" t="str">
        <f t="shared" si="23"/>
        <v/>
      </c>
      <c r="S163" s="4" t="str">
        <f t="shared" si="24"/>
        <v/>
      </c>
      <c r="T163" s="4" t="str">
        <f>IFERROR(Q163*Setup!$C$26+R163*Setup!$D$26+S163*Setup!$E$26,"")</f>
        <v/>
      </c>
      <c r="U163" s="4" t="str">
        <f t="shared" si="26"/>
        <v/>
      </c>
      <c r="V163" s="4">
        <f t="shared" si="25"/>
        <v>90</v>
      </c>
    </row>
    <row r="164" spans="1:22" hidden="1" x14ac:dyDescent="0.25">
      <c r="A164" s="4" t="str">
        <f>IF(INPUT_CAD!A164="","",INPUT_CAD!A164)</f>
        <v/>
      </c>
      <c r="B164" s="4" t="str">
        <f>IF(INPUT_CAD!B164="","",INPUT_CAD!B164)</f>
        <v/>
      </c>
      <c r="C164" s="4" t="str">
        <f>IF(INPUT_CAD!C164="","",INPUT_CAD!C164)</f>
        <v/>
      </c>
      <c r="D164" s="4" t="str">
        <f>IF(INPUT_CAD!D164="","",INPUT_CAD!D164)</f>
        <v/>
      </c>
      <c r="E164" s="4" t="str">
        <f>IF(INPUT_CAD!E164="","",INPUT_CAD!E164)</f>
        <v/>
      </c>
      <c r="F164" s="4" t="str">
        <f>IF(INPUT_CAD!F164="","",INPUT_CAD!F164)</f>
        <v/>
      </c>
      <c r="G164" s="4" t="str">
        <f>IF(INPUT_CAD!G164="","",INPUT_CAD!G164)</f>
        <v/>
      </c>
      <c r="I164" s="4" t="str">
        <f t="shared" si="27"/>
        <v/>
      </c>
      <c r="J164" s="4" t="str">
        <f t="shared" si="28"/>
        <v/>
      </c>
      <c r="K164" s="4" t="str">
        <f t="shared" si="29"/>
        <v/>
      </c>
      <c r="L164" s="4" t="str">
        <f>IFERROR(VLOOKUP(ROUND(K164,0),correction_tag!$A$7:$C$253,3),"x")</f>
        <v>x</v>
      </c>
      <c r="N164" s="4">
        <f t="shared" si="21"/>
        <v>1</v>
      </c>
      <c r="O164" s="4">
        <f>IF(N163=0,O163+INPUT_CAD!$B$4,INPUT_CAD!$B$4)</f>
        <v>2</v>
      </c>
      <c r="Q164" s="4" t="str">
        <f t="shared" si="22"/>
        <v/>
      </c>
      <c r="R164" s="4" t="str">
        <f t="shared" si="23"/>
        <v/>
      </c>
      <c r="S164" s="4" t="str">
        <f t="shared" si="24"/>
        <v/>
      </c>
      <c r="T164" s="4" t="str">
        <f>IFERROR(Q164*Setup!$C$26+R164*Setup!$D$26+S164*Setup!$E$26,"")</f>
        <v/>
      </c>
      <c r="U164" s="4" t="str">
        <f t="shared" si="26"/>
        <v/>
      </c>
      <c r="V164" s="4">
        <f t="shared" si="25"/>
        <v>90</v>
      </c>
    </row>
    <row r="165" spans="1:22" hidden="1" x14ac:dyDescent="0.25">
      <c r="A165" s="4" t="str">
        <f>IF(INPUT_CAD!A165="","",INPUT_CAD!A165)</f>
        <v/>
      </c>
      <c r="B165" s="4" t="str">
        <f>IF(INPUT_CAD!B165="","",INPUT_CAD!B165)</f>
        <v/>
      </c>
      <c r="C165" s="4" t="str">
        <f>IF(INPUT_CAD!C165="","",INPUT_CAD!C165)</f>
        <v/>
      </c>
      <c r="D165" s="4" t="str">
        <f>IF(INPUT_CAD!D165="","",INPUT_CAD!D165)</f>
        <v/>
      </c>
      <c r="E165" s="4" t="str">
        <f>IF(INPUT_CAD!E165="","",INPUT_CAD!E165)</f>
        <v/>
      </c>
      <c r="F165" s="4" t="str">
        <f>IF(INPUT_CAD!F165="","",INPUT_CAD!F165)</f>
        <v/>
      </c>
      <c r="G165" s="4" t="str">
        <f>IF(INPUT_CAD!G165="","",INPUT_CAD!G165)</f>
        <v/>
      </c>
      <c r="I165" s="4" t="str">
        <f t="shared" si="27"/>
        <v/>
      </c>
      <c r="J165" s="4" t="str">
        <f t="shared" si="28"/>
        <v/>
      </c>
      <c r="K165" s="4" t="str">
        <f t="shared" si="29"/>
        <v/>
      </c>
      <c r="L165" s="4" t="str">
        <f>IFERROR(VLOOKUP(ROUND(K165,0),correction_tag!$A$7:$C$253,3),"x")</f>
        <v>x</v>
      </c>
      <c r="N165" s="4">
        <f t="shared" si="21"/>
        <v>1</v>
      </c>
      <c r="O165" s="4">
        <f>IF(N164=0,O164+INPUT_CAD!$B$4,INPUT_CAD!$B$4)</f>
        <v>2</v>
      </c>
      <c r="Q165" s="4" t="str">
        <f t="shared" si="22"/>
        <v/>
      </c>
      <c r="R165" s="4" t="str">
        <f t="shared" si="23"/>
        <v/>
      </c>
      <c r="S165" s="4" t="str">
        <f t="shared" si="24"/>
        <v/>
      </c>
      <c r="T165" s="4" t="str">
        <f>IFERROR(Q165*Setup!$C$26+R165*Setup!$D$26+S165*Setup!$E$26,"")</f>
        <v/>
      </c>
      <c r="U165" s="4" t="str">
        <f t="shared" si="26"/>
        <v/>
      </c>
      <c r="V165" s="4">
        <f t="shared" si="25"/>
        <v>90</v>
      </c>
    </row>
    <row r="166" spans="1:22" hidden="1" x14ac:dyDescent="0.25">
      <c r="A166" s="4" t="str">
        <f>IF(INPUT_CAD!A166="","",INPUT_CAD!A166)</f>
        <v/>
      </c>
      <c r="B166" s="4" t="str">
        <f>IF(INPUT_CAD!B166="","",INPUT_CAD!B166)</f>
        <v/>
      </c>
      <c r="C166" s="4" t="str">
        <f>IF(INPUT_CAD!C166="","",INPUT_CAD!C166)</f>
        <v/>
      </c>
      <c r="D166" s="4" t="str">
        <f>IF(INPUT_CAD!D166="","",INPUT_CAD!D166)</f>
        <v/>
      </c>
      <c r="E166" s="4" t="str">
        <f>IF(INPUT_CAD!E166="","",INPUT_CAD!E166)</f>
        <v/>
      </c>
      <c r="F166" s="4" t="str">
        <f>IF(INPUT_CAD!F166="","",INPUT_CAD!F166)</f>
        <v/>
      </c>
      <c r="G166" s="4" t="str">
        <f>IF(INPUT_CAD!G166="","",INPUT_CAD!G166)</f>
        <v/>
      </c>
      <c r="I166" s="4" t="str">
        <f t="shared" si="27"/>
        <v/>
      </c>
      <c r="J166" s="4" t="str">
        <f t="shared" si="28"/>
        <v/>
      </c>
      <c r="K166" s="4" t="str">
        <f t="shared" si="29"/>
        <v/>
      </c>
      <c r="L166" s="4" t="str">
        <f>IFERROR(VLOOKUP(ROUND(K166,0),correction_tag!$A$7:$C$253,3),"x")</f>
        <v>x</v>
      </c>
      <c r="N166" s="4">
        <f t="shared" si="21"/>
        <v>1</v>
      </c>
      <c r="O166" s="4">
        <f>IF(N165=0,O165+INPUT_CAD!$B$4,INPUT_CAD!$B$4)</f>
        <v>2</v>
      </c>
      <c r="Q166" s="4" t="str">
        <f t="shared" si="22"/>
        <v/>
      </c>
      <c r="R166" s="4" t="str">
        <f t="shared" si="23"/>
        <v/>
      </c>
      <c r="S166" s="4" t="str">
        <f t="shared" si="24"/>
        <v/>
      </c>
      <c r="T166" s="4" t="str">
        <f>IFERROR(Q166*Setup!$C$26+R166*Setup!$D$26+S166*Setup!$E$26,"")</f>
        <v/>
      </c>
      <c r="U166" s="4" t="str">
        <f t="shared" si="26"/>
        <v/>
      </c>
      <c r="V166" s="4">
        <f t="shared" si="25"/>
        <v>90</v>
      </c>
    </row>
    <row r="167" spans="1:22" hidden="1" x14ac:dyDescent="0.25">
      <c r="A167" s="4" t="str">
        <f>IF(INPUT_CAD!A167="","",INPUT_CAD!A167)</f>
        <v/>
      </c>
      <c r="B167" s="4" t="str">
        <f>IF(INPUT_CAD!B167="","",INPUT_CAD!B167)</f>
        <v/>
      </c>
      <c r="C167" s="4" t="str">
        <f>IF(INPUT_CAD!C167="","",INPUT_CAD!C167)</f>
        <v/>
      </c>
      <c r="D167" s="4" t="str">
        <f>IF(INPUT_CAD!D167="","",INPUT_CAD!D167)</f>
        <v/>
      </c>
      <c r="E167" s="4" t="str">
        <f>IF(INPUT_CAD!E167="","",INPUT_CAD!E167)</f>
        <v/>
      </c>
      <c r="F167" s="4" t="str">
        <f>IF(INPUT_CAD!F167="","",INPUT_CAD!F167)</f>
        <v/>
      </c>
      <c r="G167" s="4" t="str">
        <f>IF(INPUT_CAD!G167="","",INPUT_CAD!G167)</f>
        <v/>
      </c>
      <c r="I167" s="4" t="str">
        <f t="shared" si="27"/>
        <v/>
      </c>
      <c r="J167" s="4" t="str">
        <f t="shared" si="28"/>
        <v/>
      </c>
      <c r="K167" s="4" t="str">
        <f t="shared" si="29"/>
        <v/>
      </c>
      <c r="L167" s="4" t="str">
        <f>IFERROR(VLOOKUP(ROUND(K167,0),correction_tag!$A$7:$C$253,3),"x")</f>
        <v>x</v>
      </c>
      <c r="N167" s="4">
        <f t="shared" si="21"/>
        <v>1</v>
      </c>
      <c r="O167" s="4">
        <f>IF(N166=0,O166+INPUT_CAD!$B$4,INPUT_CAD!$B$4)</f>
        <v>2</v>
      </c>
      <c r="Q167" s="4" t="str">
        <f t="shared" si="22"/>
        <v/>
      </c>
      <c r="R167" s="4" t="str">
        <f t="shared" si="23"/>
        <v/>
      </c>
      <c r="S167" s="4" t="str">
        <f t="shared" si="24"/>
        <v/>
      </c>
      <c r="T167" s="4" t="str">
        <f>IFERROR(Q167*Setup!$C$26+R167*Setup!$D$26+S167*Setup!$E$26,"")</f>
        <v/>
      </c>
      <c r="U167" s="4" t="str">
        <f t="shared" si="26"/>
        <v/>
      </c>
      <c r="V167" s="4">
        <f t="shared" si="25"/>
        <v>90</v>
      </c>
    </row>
    <row r="168" spans="1:22" hidden="1" x14ac:dyDescent="0.25">
      <c r="A168" s="4" t="str">
        <f>IF(INPUT_CAD!A168="","",INPUT_CAD!A168)</f>
        <v/>
      </c>
      <c r="B168" s="4" t="str">
        <f>IF(INPUT_CAD!B168="","",INPUT_CAD!B168)</f>
        <v/>
      </c>
      <c r="C168" s="4" t="str">
        <f>IF(INPUT_CAD!C168="","",INPUT_CAD!C168)</f>
        <v/>
      </c>
      <c r="D168" s="4" t="str">
        <f>IF(INPUT_CAD!D168="","",INPUT_CAD!D168)</f>
        <v/>
      </c>
      <c r="E168" s="4" t="str">
        <f>IF(INPUT_CAD!E168="","",INPUT_CAD!E168)</f>
        <v/>
      </c>
      <c r="F168" s="4" t="str">
        <f>IF(INPUT_CAD!F168="","",INPUT_CAD!F168)</f>
        <v/>
      </c>
      <c r="G168" s="4" t="str">
        <f>IF(INPUT_CAD!G168="","",INPUT_CAD!G168)</f>
        <v/>
      </c>
      <c r="I168" s="4" t="str">
        <f t="shared" si="27"/>
        <v/>
      </c>
      <c r="J168" s="4" t="str">
        <f t="shared" si="28"/>
        <v/>
      </c>
      <c r="K168" s="4" t="str">
        <f t="shared" si="29"/>
        <v/>
      </c>
      <c r="L168" s="4" t="str">
        <f>IFERROR(VLOOKUP(ROUND(K168,0),correction_tag!$A$7:$C$253,3),"x")</f>
        <v>x</v>
      </c>
      <c r="N168" s="4">
        <f t="shared" si="21"/>
        <v>1</v>
      </c>
      <c r="O168" s="4">
        <f>IF(N167=0,O167+INPUT_CAD!$B$4,INPUT_CAD!$B$4)</f>
        <v>2</v>
      </c>
      <c r="Q168" s="4" t="str">
        <f t="shared" si="22"/>
        <v/>
      </c>
      <c r="R168" s="4" t="str">
        <f t="shared" si="23"/>
        <v/>
      </c>
      <c r="S168" s="4" t="str">
        <f t="shared" si="24"/>
        <v/>
      </c>
      <c r="T168" s="4" t="str">
        <f>IFERROR(Q168*Setup!$C$26+R168*Setup!$D$26+S168*Setup!$E$26,"")</f>
        <v/>
      </c>
      <c r="U168" s="4" t="str">
        <f t="shared" si="26"/>
        <v/>
      </c>
      <c r="V168" s="4">
        <f t="shared" si="25"/>
        <v>90</v>
      </c>
    </row>
    <row r="169" spans="1:22" hidden="1" x14ac:dyDescent="0.25">
      <c r="A169" s="4" t="str">
        <f>IF(INPUT_CAD!A169="","",INPUT_CAD!A169)</f>
        <v/>
      </c>
      <c r="B169" s="4" t="str">
        <f>IF(INPUT_CAD!B169="","",INPUT_CAD!B169)</f>
        <v/>
      </c>
      <c r="C169" s="4" t="str">
        <f>IF(INPUT_CAD!C169="","",INPUT_CAD!C169)</f>
        <v/>
      </c>
      <c r="D169" s="4" t="str">
        <f>IF(INPUT_CAD!D169="","",INPUT_CAD!D169)</f>
        <v/>
      </c>
      <c r="E169" s="4" t="str">
        <f>IF(INPUT_CAD!E169="","",INPUT_CAD!E169)</f>
        <v/>
      </c>
      <c r="F169" s="4" t="str">
        <f>IF(INPUT_CAD!F169="","",INPUT_CAD!F169)</f>
        <v/>
      </c>
      <c r="G169" s="4" t="str">
        <f>IF(INPUT_CAD!G169="","",INPUT_CAD!G169)</f>
        <v/>
      </c>
      <c r="I169" s="4" t="str">
        <f t="shared" si="27"/>
        <v/>
      </c>
      <c r="J169" s="4" t="str">
        <f t="shared" si="28"/>
        <v/>
      </c>
      <c r="K169" s="4" t="str">
        <f t="shared" si="29"/>
        <v/>
      </c>
      <c r="L169" s="4" t="str">
        <f>IFERROR(VLOOKUP(ROUND(K169,0),correction_tag!$A$7:$C$253,3),"x")</f>
        <v>x</v>
      </c>
      <c r="N169" s="4">
        <f t="shared" si="21"/>
        <v>1</v>
      </c>
      <c r="O169" s="4">
        <f>IF(N168=0,O168+INPUT_CAD!$B$4,INPUT_CAD!$B$4)</f>
        <v>2</v>
      </c>
      <c r="Q169" s="4" t="str">
        <f t="shared" si="22"/>
        <v/>
      </c>
      <c r="R169" s="4" t="str">
        <f t="shared" si="23"/>
        <v/>
      </c>
      <c r="S169" s="4" t="str">
        <f t="shared" si="24"/>
        <v/>
      </c>
      <c r="T169" s="4" t="str">
        <f>IFERROR(Q169*Setup!$C$26+R169*Setup!$D$26+S169*Setup!$E$26,"")</f>
        <v/>
      </c>
      <c r="U169" s="4" t="str">
        <f t="shared" si="26"/>
        <v/>
      </c>
      <c r="V169" s="4">
        <f t="shared" si="25"/>
        <v>90</v>
      </c>
    </row>
    <row r="170" spans="1:22" hidden="1" x14ac:dyDescent="0.25">
      <c r="A170" s="4" t="str">
        <f>IF(INPUT_CAD!A170="","",INPUT_CAD!A170)</f>
        <v/>
      </c>
      <c r="B170" s="4" t="str">
        <f>IF(INPUT_CAD!B170="","",INPUT_CAD!B170)</f>
        <v/>
      </c>
      <c r="C170" s="4" t="str">
        <f>IF(INPUT_CAD!C170="","",INPUT_CAD!C170)</f>
        <v/>
      </c>
      <c r="D170" s="4" t="str">
        <f>IF(INPUT_CAD!D170="","",INPUT_CAD!D170)</f>
        <v/>
      </c>
      <c r="E170" s="4" t="str">
        <f>IF(INPUT_CAD!E170="","",INPUT_CAD!E170)</f>
        <v/>
      </c>
      <c r="F170" s="4" t="str">
        <f>IF(INPUT_CAD!F170="","",INPUT_CAD!F170)</f>
        <v/>
      </c>
      <c r="G170" s="4" t="str">
        <f>IF(INPUT_CAD!G170="","",INPUT_CAD!G170)</f>
        <v/>
      </c>
      <c r="I170" s="4" t="str">
        <f t="shared" si="27"/>
        <v/>
      </c>
      <c r="J170" s="4" t="str">
        <f t="shared" si="28"/>
        <v/>
      </c>
      <c r="K170" s="4" t="str">
        <f t="shared" si="29"/>
        <v/>
      </c>
      <c r="L170" s="4" t="str">
        <f>IFERROR(VLOOKUP(ROUND(K170,0),correction_tag!$A$7:$C$253,3),"x")</f>
        <v>x</v>
      </c>
      <c r="N170" s="4">
        <f t="shared" si="21"/>
        <v>1</v>
      </c>
      <c r="O170" s="4">
        <f>IF(N169=0,O169+INPUT_CAD!$B$4,INPUT_CAD!$B$4)</f>
        <v>2</v>
      </c>
      <c r="Q170" s="4" t="str">
        <f t="shared" si="22"/>
        <v/>
      </c>
      <c r="R170" s="4" t="str">
        <f t="shared" si="23"/>
        <v/>
      </c>
      <c r="S170" s="4" t="str">
        <f t="shared" si="24"/>
        <v/>
      </c>
      <c r="T170" s="4" t="str">
        <f>IFERROR(Q170*Setup!$C$26+R170*Setup!$D$26+S170*Setup!$E$26,"")</f>
        <v/>
      </c>
      <c r="U170" s="4" t="str">
        <f t="shared" si="26"/>
        <v/>
      </c>
      <c r="V170" s="4">
        <f t="shared" si="25"/>
        <v>90</v>
      </c>
    </row>
    <row r="171" spans="1:22" hidden="1" x14ac:dyDescent="0.25">
      <c r="A171" s="4" t="str">
        <f>IF(INPUT_CAD!A171="","",INPUT_CAD!A171)</f>
        <v/>
      </c>
      <c r="B171" s="4" t="str">
        <f>IF(INPUT_CAD!B171="","",INPUT_CAD!B171)</f>
        <v/>
      </c>
      <c r="C171" s="4" t="str">
        <f>IF(INPUT_CAD!C171="","",INPUT_CAD!C171)</f>
        <v/>
      </c>
      <c r="D171" s="4" t="str">
        <f>IF(INPUT_CAD!D171="","",INPUT_CAD!D171)</f>
        <v/>
      </c>
      <c r="E171" s="4" t="str">
        <f>IF(INPUT_CAD!E171="","",INPUT_CAD!E171)</f>
        <v/>
      </c>
      <c r="F171" s="4" t="str">
        <f>IF(INPUT_CAD!F171="","",INPUT_CAD!F171)</f>
        <v/>
      </c>
      <c r="G171" s="4" t="str">
        <f>IF(INPUT_CAD!G171="","",INPUT_CAD!G171)</f>
        <v/>
      </c>
      <c r="I171" s="4" t="str">
        <f t="shared" si="27"/>
        <v/>
      </c>
      <c r="J171" s="4" t="str">
        <f t="shared" si="28"/>
        <v/>
      </c>
      <c r="K171" s="4" t="str">
        <f t="shared" si="29"/>
        <v/>
      </c>
      <c r="L171" s="4" t="str">
        <f>IFERROR(VLOOKUP(ROUND(K171,0),correction_tag!$A$7:$C$253,3),"x")</f>
        <v>x</v>
      </c>
      <c r="N171" s="4">
        <f t="shared" si="21"/>
        <v>1</v>
      </c>
      <c r="O171" s="4">
        <f>IF(N170=0,O170+INPUT_CAD!$B$4,INPUT_CAD!$B$4)</f>
        <v>2</v>
      </c>
      <c r="Q171" s="4" t="str">
        <f t="shared" si="22"/>
        <v/>
      </c>
      <c r="R171" s="4" t="str">
        <f t="shared" si="23"/>
        <v/>
      </c>
      <c r="S171" s="4" t="str">
        <f t="shared" si="24"/>
        <v/>
      </c>
      <c r="T171" s="4" t="str">
        <f>IFERROR(Q171*Setup!$C$26+R171*Setup!$D$26+S171*Setup!$E$26,"")</f>
        <v/>
      </c>
      <c r="U171" s="4" t="str">
        <f t="shared" si="26"/>
        <v/>
      </c>
      <c r="V171" s="4">
        <f t="shared" si="25"/>
        <v>90</v>
      </c>
    </row>
    <row r="172" spans="1:22" hidden="1" x14ac:dyDescent="0.25">
      <c r="A172" s="4" t="str">
        <f>IF(INPUT_CAD!A172="","",INPUT_CAD!A172)</f>
        <v/>
      </c>
      <c r="B172" s="4" t="str">
        <f>IF(INPUT_CAD!B172="","",INPUT_CAD!B172)</f>
        <v/>
      </c>
      <c r="C172" s="4" t="str">
        <f>IF(INPUT_CAD!C172="","",INPUT_CAD!C172)</f>
        <v/>
      </c>
      <c r="D172" s="4" t="str">
        <f>IF(INPUT_CAD!D172="","",INPUT_CAD!D172)</f>
        <v/>
      </c>
      <c r="E172" s="4" t="str">
        <f>IF(INPUT_CAD!E172="","",INPUT_CAD!E172)</f>
        <v/>
      </c>
      <c r="F172" s="4" t="str">
        <f>IF(INPUT_CAD!F172="","",INPUT_CAD!F172)</f>
        <v/>
      </c>
      <c r="G172" s="4" t="str">
        <f>IF(INPUT_CAD!G172="","",INPUT_CAD!G172)</f>
        <v/>
      </c>
      <c r="I172" s="4" t="str">
        <f t="shared" si="27"/>
        <v/>
      </c>
      <c r="J172" s="4" t="str">
        <f t="shared" si="28"/>
        <v/>
      </c>
      <c r="K172" s="4" t="str">
        <f t="shared" si="29"/>
        <v/>
      </c>
      <c r="L172" s="4" t="str">
        <f>IFERROR(VLOOKUP(ROUND(K172,0),correction_tag!$A$7:$C$253,3),"x")</f>
        <v>x</v>
      </c>
      <c r="N172" s="4">
        <f t="shared" si="21"/>
        <v>1</v>
      </c>
      <c r="O172" s="4">
        <f>IF(N171=0,O171+INPUT_CAD!$B$4,INPUT_CAD!$B$4)</f>
        <v>2</v>
      </c>
      <c r="Q172" s="4" t="str">
        <f t="shared" si="22"/>
        <v/>
      </c>
      <c r="R172" s="4" t="str">
        <f t="shared" si="23"/>
        <v/>
      </c>
      <c r="S172" s="4" t="str">
        <f t="shared" si="24"/>
        <v/>
      </c>
      <c r="T172" s="4" t="str">
        <f>IFERROR(Q172*Setup!$C$26+R172*Setup!$D$26+S172*Setup!$E$26,"")</f>
        <v/>
      </c>
      <c r="U172" s="4" t="str">
        <f t="shared" si="26"/>
        <v/>
      </c>
      <c r="V172" s="4">
        <f t="shared" si="25"/>
        <v>90</v>
      </c>
    </row>
    <row r="173" spans="1:22" hidden="1" x14ac:dyDescent="0.25">
      <c r="A173" s="4" t="str">
        <f>IF(INPUT_CAD!A173="","",INPUT_CAD!A173)</f>
        <v/>
      </c>
      <c r="B173" s="4" t="str">
        <f>IF(INPUT_CAD!B173="","",INPUT_CAD!B173)</f>
        <v/>
      </c>
      <c r="C173" s="4" t="str">
        <f>IF(INPUT_CAD!C173="","",INPUT_CAD!C173)</f>
        <v/>
      </c>
      <c r="D173" s="4" t="str">
        <f>IF(INPUT_CAD!D173="","",INPUT_CAD!D173)</f>
        <v/>
      </c>
      <c r="E173" s="4" t="str">
        <f>IF(INPUT_CAD!E173="","",INPUT_CAD!E173)</f>
        <v/>
      </c>
      <c r="F173" s="4" t="str">
        <f>IF(INPUT_CAD!F173="","",INPUT_CAD!F173)</f>
        <v/>
      </c>
      <c r="G173" s="4" t="str">
        <f>IF(INPUT_CAD!G173="","",INPUT_CAD!G173)</f>
        <v/>
      </c>
      <c r="I173" s="4" t="str">
        <f t="shared" si="27"/>
        <v/>
      </c>
      <c r="J173" s="4" t="str">
        <f t="shared" si="28"/>
        <v/>
      </c>
      <c r="K173" s="4" t="str">
        <f t="shared" si="29"/>
        <v/>
      </c>
      <c r="L173" s="4" t="str">
        <f>IFERROR(VLOOKUP(ROUND(K173,0),correction_tag!$A$7:$C$253,3),"x")</f>
        <v>x</v>
      </c>
      <c r="N173" s="4">
        <f t="shared" si="21"/>
        <v>1</v>
      </c>
      <c r="O173" s="4">
        <f>IF(N172=0,O172+INPUT_CAD!$B$4,INPUT_CAD!$B$4)</f>
        <v>2</v>
      </c>
      <c r="Q173" s="4" t="str">
        <f t="shared" si="22"/>
        <v/>
      </c>
      <c r="R173" s="4" t="str">
        <f t="shared" si="23"/>
        <v/>
      </c>
      <c r="S173" s="4" t="str">
        <f t="shared" si="24"/>
        <v/>
      </c>
      <c r="T173" s="4" t="str">
        <f>IFERROR(Q173*Setup!$C$26+R173*Setup!$D$26+S173*Setup!$E$26,"")</f>
        <v/>
      </c>
      <c r="U173" s="4" t="str">
        <f t="shared" si="26"/>
        <v/>
      </c>
      <c r="V173" s="4">
        <f t="shared" si="25"/>
        <v>90</v>
      </c>
    </row>
    <row r="174" spans="1:22" hidden="1" x14ac:dyDescent="0.25">
      <c r="A174" s="4" t="str">
        <f>IF(INPUT_CAD!A174="","",INPUT_CAD!A174)</f>
        <v/>
      </c>
      <c r="B174" s="4" t="str">
        <f>IF(INPUT_CAD!B174="","",INPUT_CAD!B174)</f>
        <v/>
      </c>
      <c r="C174" s="4" t="str">
        <f>IF(INPUT_CAD!C174="","",INPUT_CAD!C174)</f>
        <v/>
      </c>
      <c r="D174" s="4" t="str">
        <f>IF(INPUT_CAD!D174="","",INPUT_CAD!D174)</f>
        <v/>
      </c>
      <c r="E174" s="4" t="str">
        <f>IF(INPUT_CAD!E174="","",INPUT_CAD!E174)</f>
        <v/>
      </c>
      <c r="F174" s="4" t="str">
        <f>IF(INPUT_CAD!F174="","",INPUT_CAD!F174)</f>
        <v/>
      </c>
      <c r="G174" s="4" t="str">
        <f>IF(INPUT_CAD!G174="","",INPUT_CAD!G174)</f>
        <v/>
      </c>
      <c r="I174" s="4" t="str">
        <f t="shared" si="27"/>
        <v/>
      </c>
      <c r="J174" s="4" t="str">
        <f t="shared" si="28"/>
        <v/>
      </c>
      <c r="K174" s="4" t="str">
        <f t="shared" si="29"/>
        <v/>
      </c>
      <c r="L174" s="4" t="str">
        <f>IFERROR(VLOOKUP(ROUND(K174,0),correction_tag!$A$7:$C$253,3),"x")</f>
        <v>x</v>
      </c>
      <c r="N174" s="4">
        <f t="shared" si="21"/>
        <v>1</v>
      </c>
      <c r="O174" s="4">
        <f>IF(N173=0,O173+INPUT_CAD!$B$4,INPUT_CAD!$B$4)</f>
        <v>2</v>
      </c>
      <c r="Q174" s="4" t="str">
        <f t="shared" si="22"/>
        <v/>
      </c>
      <c r="R174" s="4" t="str">
        <f t="shared" si="23"/>
        <v/>
      </c>
      <c r="S174" s="4" t="str">
        <f t="shared" si="24"/>
        <v/>
      </c>
      <c r="T174" s="4" t="str">
        <f>IFERROR(Q174*Setup!$C$26+R174*Setup!$D$26+S174*Setup!$E$26,"")</f>
        <v/>
      </c>
      <c r="U174" s="4" t="str">
        <f t="shared" si="26"/>
        <v/>
      </c>
      <c r="V174" s="4">
        <f t="shared" si="25"/>
        <v>90</v>
      </c>
    </row>
    <row r="175" spans="1:22" hidden="1" x14ac:dyDescent="0.25">
      <c r="A175" s="4" t="str">
        <f>IF(INPUT_CAD!A175="","",INPUT_CAD!A175)</f>
        <v/>
      </c>
      <c r="B175" s="4" t="str">
        <f>IF(INPUT_CAD!B175="","",INPUT_CAD!B175)</f>
        <v/>
      </c>
      <c r="C175" s="4" t="str">
        <f>IF(INPUT_CAD!C175="","",INPUT_CAD!C175)</f>
        <v/>
      </c>
      <c r="D175" s="4" t="str">
        <f>IF(INPUT_CAD!D175="","",INPUT_CAD!D175)</f>
        <v/>
      </c>
      <c r="E175" s="4" t="str">
        <f>IF(INPUT_CAD!E175="","",INPUT_CAD!E175)</f>
        <v/>
      </c>
      <c r="F175" s="4" t="str">
        <f>IF(INPUT_CAD!F175="","",INPUT_CAD!F175)</f>
        <v/>
      </c>
      <c r="G175" s="4" t="str">
        <f>IF(INPUT_CAD!G175="","",INPUT_CAD!G175)</f>
        <v/>
      </c>
      <c r="I175" s="4" t="str">
        <f t="shared" si="27"/>
        <v/>
      </c>
      <c r="J175" s="4" t="str">
        <f t="shared" si="28"/>
        <v/>
      </c>
      <c r="K175" s="4" t="str">
        <f t="shared" si="29"/>
        <v/>
      </c>
      <c r="L175" s="4" t="str">
        <f>IFERROR(VLOOKUP(ROUND(K175,0),correction_tag!$A$7:$C$253,3),"x")</f>
        <v>x</v>
      </c>
      <c r="N175" s="4">
        <f t="shared" si="21"/>
        <v>1</v>
      </c>
      <c r="O175" s="4">
        <f>IF(N174=0,O174+INPUT_CAD!$B$4,INPUT_CAD!$B$4)</f>
        <v>2</v>
      </c>
      <c r="Q175" s="4" t="str">
        <f t="shared" si="22"/>
        <v/>
      </c>
      <c r="R175" s="4" t="str">
        <f t="shared" si="23"/>
        <v/>
      </c>
      <c r="S175" s="4" t="str">
        <f t="shared" si="24"/>
        <v/>
      </c>
      <c r="T175" s="4" t="str">
        <f>IFERROR(Q175*Setup!$C$26+R175*Setup!$D$26+S175*Setup!$E$26,"")</f>
        <v/>
      </c>
      <c r="U175" s="4" t="str">
        <f t="shared" si="26"/>
        <v/>
      </c>
      <c r="V175" s="4">
        <f t="shared" si="25"/>
        <v>90</v>
      </c>
    </row>
    <row r="176" spans="1:22" hidden="1" x14ac:dyDescent="0.25">
      <c r="A176" s="4" t="str">
        <f>IF(INPUT_CAD!A176="","",INPUT_CAD!A176)</f>
        <v/>
      </c>
      <c r="B176" s="4" t="str">
        <f>IF(INPUT_CAD!B176="","",INPUT_CAD!B176)</f>
        <v/>
      </c>
      <c r="C176" s="4" t="str">
        <f>IF(INPUT_CAD!C176="","",INPUT_CAD!C176)</f>
        <v/>
      </c>
      <c r="D176" s="4" t="str">
        <f>IF(INPUT_CAD!D176="","",INPUT_CAD!D176)</f>
        <v/>
      </c>
      <c r="E176" s="4" t="str">
        <f>IF(INPUT_CAD!E176="","",INPUT_CAD!E176)</f>
        <v/>
      </c>
      <c r="F176" s="4" t="str">
        <f>IF(INPUT_CAD!F176="","",INPUT_CAD!F176)</f>
        <v/>
      </c>
      <c r="G176" s="4" t="str">
        <f>IF(INPUT_CAD!G176="","",INPUT_CAD!G176)</f>
        <v/>
      </c>
      <c r="I176" s="4" t="str">
        <f t="shared" si="27"/>
        <v/>
      </c>
      <c r="J176" s="4" t="str">
        <f t="shared" si="28"/>
        <v/>
      </c>
      <c r="K176" s="4" t="str">
        <f t="shared" si="29"/>
        <v/>
      </c>
      <c r="L176" s="4" t="str">
        <f>IFERROR(VLOOKUP(ROUND(K176,0),correction_tag!$A$7:$C$253,3),"x")</f>
        <v>x</v>
      </c>
      <c r="N176" s="4">
        <f t="shared" si="21"/>
        <v>1</v>
      </c>
      <c r="O176" s="4">
        <f>IF(N175=0,O175+INPUT_CAD!$B$4,INPUT_CAD!$B$4)</f>
        <v>2</v>
      </c>
      <c r="Q176" s="4" t="str">
        <f t="shared" si="22"/>
        <v/>
      </c>
      <c r="R176" s="4" t="str">
        <f t="shared" si="23"/>
        <v/>
      </c>
      <c r="S176" s="4" t="str">
        <f t="shared" si="24"/>
        <v/>
      </c>
      <c r="T176" s="4" t="str">
        <f>IFERROR(Q176*Setup!$C$26+R176*Setup!$D$26+S176*Setup!$E$26,"")</f>
        <v/>
      </c>
      <c r="U176" s="4" t="str">
        <f t="shared" si="26"/>
        <v/>
      </c>
      <c r="V176" s="4">
        <f t="shared" si="25"/>
        <v>90</v>
      </c>
    </row>
    <row r="177" spans="1:22" hidden="1" x14ac:dyDescent="0.25">
      <c r="A177" s="4" t="str">
        <f>IF(INPUT_CAD!A177="","",INPUT_CAD!A177)</f>
        <v/>
      </c>
      <c r="B177" s="4" t="str">
        <f>IF(INPUT_CAD!B177="","",INPUT_CAD!B177)</f>
        <v/>
      </c>
      <c r="C177" s="4" t="str">
        <f>IF(INPUT_CAD!C177="","",INPUT_CAD!C177)</f>
        <v/>
      </c>
      <c r="D177" s="4" t="str">
        <f>IF(INPUT_CAD!D177="","",INPUT_CAD!D177)</f>
        <v/>
      </c>
      <c r="E177" s="4" t="str">
        <f>IF(INPUT_CAD!E177="","",INPUT_CAD!E177)</f>
        <v/>
      </c>
      <c r="F177" s="4" t="str">
        <f>IF(INPUT_CAD!F177="","",INPUT_CAD!F177)</f>
        <v/>
      </c>
      <c r="G177" s="4" t="str">
        <f>IF(INPUT_CAD!G177="","",INPUT_CAD!G177)</f>
        <v/>
      </c>
      <c r="I177" s="4" t="str">
        <f t="shared" si="27"/>
        <v/>
      </c>
      <c r="J177" s="4" t="str">
        <f t="shared" si="28"/>
        <v/>
      </c>
      <c r="K177" s="4" t="str">
        <f t="shared" si="29"/>
        <v/>
      </c>
      <c r="L177" s="4" t="str">
        <f>IFERROR(VLOOKUP(ROUND(K177,0),correction_tag!$A$7:$C$253,3),"x")</f>
        <v>x</v>
      </c>
      <c r="N177" s="4">
        <f t="shared" si="21"/>
        <v>1</v>
      </c>
      <c r="O177" s="4">
        <f>IF(N176=0,O176+INPUT_CAD!$B$4,INPUT_CAD!$B$4)</f>
        <v>2</v>
      </c>
      <c r="Q177" s="4" t="str">
        <f t="shared" si="22"/>
        <v/>
      </c>
      <c r="R177" s="4" t="str">
        <f t="shared" si="23"/>
        <v/>
      </c>
      <c r="S177" s="4" t="str">
        <f t="shared" si="24"/>
        <v/>
      </c>
      <c r="T177" s="4" t="str">
        <f>IFERROR(Q177*Setup!$C$26+R177*Setup!$D$26+S177*Setup!$E$26,"")</f>
        <v/>
      </c>
      <c r="U177" s="4" t="str">
        <f t="shared" si="26"/>
        <v/>
      </c>
      <c r="V177" s="4">
        <f t="shared" si="25"/>
        <v>90</v>
      </c>
    </row>
    <row r="178" spans="1:22" hidden="1" x14ac:dyDescent="0.25">
      <c r="A178" s="4" t="str">
        <f>IF(INPUT_CAD!A178="","",INPUT_CAD!A178)</f>
        <v/>
      </c>
      <c r="B178" s="4" t="str">
        <f>IF(INPUT_CAD!B178="","",INPUT_CAD!B178)</f>
        <v/>
      </c>
      <c r="C178" s="4" t="str">
        <f>IF(INPUT_CAD!C178="","",INPUT_CAD!C178)</f>
        <v/>
      </c>
      <c r="D178" s="4" t="str">
        <f>IF(INPUT_CAD!D178="","",INPUT_CAD!D178)</f>
        <v/>
      </c>
      <c r="E178" s="4" t="str">
        <f>IF(INPUT_CAD!E178="","",INPUT_CAD!E178)</f>
        <v/>
      </c>
      <c r="F178" s="4" t="str">
        <f>IF(INPUT_CAD!F178="","",INPUT_CAD!F178)</f>
        <v/>
      </c>
      <c r="G178" s="4" t="str">
        <f>IF(INPUT_CAD!G178="","",INPUT_CAD!G178)</f>
        <v/>
      </c>
      <c r="I178" s="4" t="str">
        <f t="shared" si="27"/>
        <v/>
      </c>
      <c r="J178" s="4" t="str">
        <f t="shared" si="28"/>
        <v/>
      </c>
      <c r="K178" s="4" t="str">
        <f t="shared" si="29"/>
        <v/>
      </c>
      <c r="L178" s="4" t="str">
        <f>IFERROR(VLOOKUP(ROUND(K178,0),correction_tag!$A$7:$C$253,3),"x")</f>
        <v>x</v>
      </c>
      <c r="N178" s="4">
        <f t="shared" si="21"/>
        <v>1</v>
      </c>
      <c r="O178" s="4">
        <f>IF(N177=0,O177+INPUT_CAD!$B$4,INPUT_CAD!$B$4)</f>
        <v>2</v>
      </c>
      <c r="Q178" s="4" t="str">
        <f t="shared" si="22"/>
        <v/>
      </c>
      <c r="R178" s="4" t="str">
        <f t="shared" si="23"/>
        <v/>
      </c>
      <c r="S178" s="4" t="str">
        <f t="shared" si="24"/>
        <v/>
      </c>
      <c r="T178" s="4" t="str">
        <f>IFERROR(Q178*Setup!$C$26+R178*Setup!$D$26+S178*Setup!$E$26,"")</f>
        <v/>
      </c>
      <c r="U178" s="4" t="str">
        <f t="shared" si="26"/>
        <v/>
      </c>
      <c r="V178" s="4">
        <f t="shared" si="25"/>
        <v>90</v>
      </c>
    </row>
    <row r="179" spans="1:22" hidden="1" x14ac:dyDescent="0.25">
      <c r="A179" s="4" t="str">
        <f>IF(INPUT_CAD!A179="","",INPUT_CAD!A179)</f>
        <v/>
      </c>
      <c r="B179" s="4" t="str">
        <f>IF(INPUT_CAD!B179="","",INPUT_CAD!B179)</f>
        <v/>
      </c>
      <c r="C179" s="4" t="str">
        <f>IF(INPUT_CAD!C179="","",INPUT_CAD!C179)</f>
        <v/>
      </c>
      <c r="D179" s="4" t="str">
        <f>IF(INPUT_CAD!D179="","",INPUT_CAD!D179)</f>
        <v/>
      </c>
      <c r="E179" s="4" t="str">
        <f>IF(INPUT_CAD!E179="","",INPUT_CAD!E179)</f>
        <v/>
      </c>
      <c r="F179" s="4" t="str">
        <f>IF(INPUT_CAD!F179="","",INPUT_CAD!F179)</f>
        <v/>
      </c>
      <c r="G179" s="4" t="str">
        <f>IF(INPUT_CAD!G179="","",INPUT_CAD!G179)</f>
        <v/>
      </c>
      <c r="I179" s="4" t="str">
        <f t="shared" si="27"/>
        <v/>
      </c>
      <c r="J179" s="4" t="str">
        <f t="shared" si="28"/>
        <v/>
      </c>
      <c r="K179" s="4" t="str">
        <f t="shared" si="29"/>
        <v/>
      </c>
      <c r="L179" s="4" t="str">
        <f>IFERROR(VLOOKUP(ROUND(K179,0),correction_tag!$A$7:$C$253,3),"x")</f>
        <v>x</v>
      </c>
      <c r="N179" s="4">
        <f t="shared" si="21"/>
        <v>1</v>
      </c>
      <c r="O179" s="4">
        <f>IF(N178=0,O178+INPUT_CAD!$B$4,INPUT_CAD!$B$4)</f>
        <v>2</v>
      </c>
      <c r="Q179" s="4" t="str">
        <f t="shared" si="22"/>
        <v/>
      </c>
      <c r="R179" s="4" t="str">
        <f t="shared" si="23"/>
        <v/>
      </c>
      <c r="S179" s="4" t="str">
        <f t="shared" si="24"/>
        <v/>
      </c>
      <c r="T179" s="4" t="str">
        <f>IFERROR(Q179*Setup!$C$26+R179*Setup!$D$26+S179*Setup!$E$26,"")</f>
        <v/>
      </c>
      <c r="U179" s="4" t="str">
        <f t="shared" si="26"/>
        <v/>
      </c>
      <c r="V179" s="4">
        <f t="shared" si="25"/>
        <v>90</v>
      </c>
    </row>
    <row r="180" spans="1:22" hidden="1" x14ac:dyDescent="0.25">
      <c r="A180" s="4" t="str">
        <f>IF(INPUT_CAD!A180="","",INPUT_CAD!A180)</f>
        <v/>
      </c>
      <c r="B180" s="4" t="str">
        <f>IF(INPUT_CAD!B180="","",INPUT_CAD!B180)</f>
        <v/>
      </c>
      <c r="C180" s="4" t="str">
        <f>IF(INPUT_CAD!C180="","",INPUT_CAD!C180)</f>
        <v/>
      </c>
      <c r="D180" s="4" t="str">
        <f>IF(INPUT_CAD!D180="","",INPUT_CAD!D180)</f>
        <v/>
      </c>
      <c r="E180" s="4" t="str">
        <f>IF(INPUT_CAD!E180="","",INPUT_CAD!E180)</f>
        <v/>
      </c>
      <c r="F180" s="4" t="str">
        <f>IF(INPUT_CAD!F180="","",INPUT_CAD!F180)</f>
        <v/>
      </c>
      <c r="G180" s="4" t="str">
        <f>IF(INPUT_CAD!G180="","",INPUT_CAD!G180)</f>
        <v/>
      </c>
      <c r="I180" s="4" t="str">
        <f t="shared" si="27"/>
        <v/>
      </c>
      <c r="J180" s="4" t="str">
        <f t="shared" si="28"/>
        <v/>
      </c>
      <c r="K180" s="4" t="str">
        <f t="shared" si="29"/>
        <v/>
      </c>
      <c r="L180" s="4" t="str">
        <f>IFERROR(VLOOKUP(ROUND(K180,0),correction_tag!$A$7:$C$253,3),"x")</f>
        <v>x</v>
      </c>
      <c r="N180" s="4">
        <f t="shared" si="21"/>
        <v>1</v>
      </c>
      <c r="O180" s="4">
        <f>IF(N179=0,O179+INPUT_CAD!$B$4,INPUT_CAD!$B$4)</f>
        <v>2</v>
      </c>
      <c r="Q180" s="4" t="str">
        <f t="shared" si="22"/>
        <v/>
      </c>
      <c r="R180" s="4" t="str">
        <f t="shared" si="23"/>
        <v/>
      </c>
      <c r="S180" s="4" t="str">
        <f t="shared" si="24"/>
        <v/>
      </c>
      <c r="T180" s="4" t="str">
        <f>IFERROR(Q180*Setup!$C$26+R180*Setup!$D$26+S180*Setup!$E$26,"")</f>
        <v/>
      </c>
      <c r="U180" s="4" t="str">
        <f t="shared" si="26"/>
        <v/>
      </c>
      <c r="V180" s="4">
        <f t="shared" si="25"/>
        <v>90</v>
      </c>
    </row>
    <row r="181" spans="1:22" hidden="1" x14ac:dyDescent="0.25">
      <c r="A181" s="4" t="str">
        <f>IF(INPUT_CAD!A181="","",INPUT_CAD!A181)</f>
        <v/>
      </c>
      <c r="B181" s="4" t="str">
        <f>IF(INPUT_CAD!B181="","",INPUT_CAD!B181)</f>
        <v/>
      </c>
      <c r="C181" s="4" t="str">
        <f>IF(INPUT_CAD!C181="","",INPUT_CAD!C181)</f>
        <v/>
      </c>
      <c r="D181" s="4" t="str">
        <f>IF(INPUT_CAD!D181="","",INPUT_CAD!D181)</f>
        <v/>
      </c>
      <c r="E181" s="4" t="str">
        <f>IF(INPUT_CAD!E181="","",INPUT_CAD!E181)</f>
        <v/>
      </c>
      <c r="F181" s="4" t="str">
        <f>IF(INPUT_CAD!F181="","",INPUT_CAD!F181)</f>
        <v/>
      </c>
      <c r="G181" s="4" t="str">
        <f>IF(INPUT_CAD!G181="","",INPUT_CAD!G181)</f>
        <v/>
      </c>
      <c r="I181" s="4" t="str">
        <f t="shared" si="27"/>
        <v/>
      </c>
      <c r="J181" s="4" t="str">
        <f t="shared" si="28"/>
        <v/>
      </c>
      <c r="K181" s="4" t="str">
        <f t="shared" si="29"/>
        <v/>
      </c>
      <c r="L181" s="4" t="str">
        <f>IFERROR(VLOOKUP(ROUND(K181,0),correction_tag!$A$7:$C$253,3),"x")</f>
        <v>x</v>
      </c>
      <c r="N181" s="4">
        <f t="shared" si="21"/>
        <v>1</v>
      </c>
      <c r="O181" s="4">
        <f>IF(N180=0,O180+INPUT_CAD!$B$4,INPUT_CAD!$B$4)</f>
        <v>2</v>
      </c>
      <c r="Q181" s="4" t="str">
        <f t="shared" si="22"/>
        <v/>
      </c>
      <c r="R181" s="4" t="str">
        <f t="shared" si="23"/>
        <v/>
      </c>
      <c r="S181" s="4" t="str">
        <f t="shared" si="24"/>
        <v/>
      </c>
      <c r="T181" s="4" t="str">
        <f>IFERROR(Q181*Setup!$C$26+R181*Setup!$D$26+S181*Setup!$E$26,"")</f>
        <v/>
      </c>
      <c r="U181" s="4" t="str">
        <f t="shared" si="26"/>
        <v/>
      </c>
      <c r="V181" s="4">
        <f t="shared" si="25"/>
        <v>90</v>
      </c>
    </row>
    <row r="182" spans="1:22" hidden="1" x14ac:dyDescent="0.25">
      <c r="A182" s="4" t="str">
        <f>IF(INPUT_CAD!A182="","",INPUT_CAD!A182)</f>
        <v/>
      </c>
      <c r="B182" s="4" t="str">
        <f>IF(INPUT_CAD!B182="","",INPUT_CAD!B182)</f>
        <v/>
      </c>
      <c r="C182" s="4" t="str">
        <f>IF(INPUT_CAD!C182="","",INPUT_CAD!C182)</f>
        <v/>
      </c>
      <c r="D182" s="4" t="str">
        <f>IF(INPUT_CAD!D182="","",INPUT_CAD!D182)</f>
        <v/>
      </c>
      <c r="E182" s="4" t="str">
        <f>IF(INPUT_CAD!E182="","",INPUT_CAD!E182)</f>
        <v/>
      </c>
      <c r="F182" s="4" t="str">
        <f>IF(INPUT_CAD!F182="","",INPUT_CAD!F182)</f>
        <v/>
      </c>
      <c r="G182" s="4" t="str">
        <f>IF(INPUT_CAD!G182="","",INPUT_CAD!G182)</f>
        <v/>
      </c>
      <c r="I182" s="4" t="str">
        <f t="shared" si="27"/>
        <v/>
      </c>
      <c r="J182" s="4" t="str">
        <f t="shared" si="28"/>
        <v/>
      </c>
      <c r="K182" s="4" t="str">
        <f t="shared" si="29"/>
        <v/>
      </c>
      <c r="L182" s="4" t="str">
        <f>IFERROR(VLOOKUP(ROUND(K182,0),correction_tag!$A$7:$C$253,3),"x")</f>
        <v>x</v>
      </c>
      <c r="N182" s="4">
        <f t="shared" si="21"/>
        <v>1</v>
      </c>
      <c r="O182" s="4">
        <f>IF(N181=0,O181+INPUT_CAD!$B$4,INPUT_CAD!$B$4)</f>
        <v>2</v>
      </c>
      <c r="Q182" s="4" t="str">
        <f t="shared" si="22"/>
        <v/>
      </c>
      <c r="R182" s="4" t="str">
        <f t="shared" si="23"/>
        <v/>
      </c>
      <c r="S182" s="4" t="str">
        <f t="shared" si="24"/>
        <v/>
      </c>
      <c r="T182" s="4" t="str">
        <f>IFERROR(Q182*Setup!$C$26+R182*Setup!$D$26+S182*Setup!$E$26,"")</f>
        <v/>
      </c>
      <c r="U182" s="4" t="str">
        <f t="shared" si="26"/>
        <v/>
      </c>
      <c r="V182" s="4">
        <f t="shared" si="25"/>
        <v>90</v>
      </c>
    </row>
    <row r="183" spans="1:22" hidden="1" x14ac:dyDescent="0.25">
      <c r="A183" s="4" t="str">
        <f>IF(INPUT_CAD!A183="","",INPUT_CAD!A183)</f>
        <v/>
      </c>
      <c r="B183" s="4" t="str">
        <f>IF(INPUT_CAD!B183="","",INPUT_CAD!B183)</f>
        <v/>
      </c>
      <c r="C183" s="4" t="str">
        <f>IF(INPUT_CAD!C183="","",INPUT_CAD!C183)</f>
        <v/>
      </c>
      <c r="D183" s="4" t="str">
        <f>IF(INPUT_CAD!D183="","",INPUT_CAD!D183)</f>
        <v/>
      </c>
      <c r="E183" s="4" t="str">
        <f>IF(INPUT_CAD!E183="","",INPUT_CAD!E183)</f>
        <v/>
      </c>
      <c r="F183" s="4" t="str">
        <f>IF(INPUT_CAD!F183="","",INPUT_CAD!F183)</f>
        <v/>
      </c>
      <c r="G183" s="4" t="str">
        <f>IF(INPUT_CAD!G183="","",INPUT_CAD!G183)</f>
        <v/>
      </c>
      <c r="I183" s="4" t="str">
        <f t="shared" si="27"/>
        <v/>
      </c>
      <c r="J183" s="4" t="str">
        <f t="shared" si="28"/>
        <v/>
      </c>
      <c r="K183" s="4" t="str">
        <f t="shared" si="29"/>
        <v/>
      </c>
      <c r="L183" s="4" t="str">
        <f>IFERROR(VLOOKUP(ROUND(K183,0),correction_tag!$A$7:$C$253,3),"x")</f>
        <v>x</v>
      </c>
      <c r="N183" s="4">
        <f t="shared" si="21"/>
        <v>1</v>
      </c>
      <c r="O183" s="4">
        <f>IF(N182=0,O182+INPUT_CAD!$B$4,INPUT_CAD!$B$4)</f>
        <v>2</v>
      </c>
      <c r="Q183" s="4" t="str">
        <f t="shared" si="22"/>
        <v/>
      </c>
      <c r="R183" s="4" t="str">
        <f t="shared" si="23"/>
        <v/>
      </c>
      <c r="S183" s="4" t="str">
        <f t="shared" si="24"/>
        <v/>
      </c>
      <c r="T183" s="4" t="str">
        <f>IFERROR(Q183*Setup!$C$26+R183*Setup!$D$26+S183*Setup!$E$26,"")</f>
        <v/>
      </c>
      <c r="U183" s="4" t="str">
        <f t="shared" si="26"/>
        <v/>
      </c>
      <c r="V183" s="4">
        <f t="shared" si="25"/>
        <v>90</v>
      </c>
    </row>
    <row r="184" spans="1:22" hidden="1" x14ac:dyDescent="0.25">
      <c r="A184" s="4" t="str">
        <f>IF(INPUT_CAD!A184="","",INPUT_CAD!A184)</f>
        <v/>
      </c>
      <c r="B184" s="4" t="str">
        <f>IF(INPUT_CAD!B184="","",INPUT_CAD!B184)</f>
        <v/>
      </c>
      <c r="C184" s="4" t="str">
        <f>IF(INPUT_CAD!C184="","",INPUT_CAD!C184)</f>
        <v/>
      </c>
      <c r="D184" s="4" t="str">
        <f>IF(INPUT_CAD!D184="","",INPUT_CAD!D184)</f>
        <v/>
      </c>
      <c r="E184" s="4" t="str">
        <f>IF(INPUT_CAD!E184="","",INPUT_CAD!E184)</f>
        <v/>
      </c>
      <c r="F184" s="4" t="str">
        <f>IF(INPUT_CAD!F184="","",INPUT_CAD!F184)</f>
        <v/>
      </c>
      <c r="G184" s="4" t="str">
        <f>IF(INPUT_CAD!G184="","",INPUT_CAD!G184)</f>
        <v/>
      </c>
      <c r="I184" s="4" t="str">
        <f t="shared" si="27"/>
        <v/>
      </c>
      <c r="J184" s="4" t="str">
        <f t="shared" si="28"/>
        <v/>
      </c>
      <c r="K184" s="4" t="str">
        <f t="shared" si="29"/>
        <v/>
      </c>
      <c r="L184" s="4" t="str">
        <f>IFERROR(VLOOKUP(ROUND(K184,0),correction_tag!$A$7:$C$253,3),"x")</f>
        <v>x</v>
      </c>
      <c r="N184" s="4">
        <f t="shared" si="21"/>
        <v>1</v>
      </c>
      <c r="O184" s="4">
        <f>IF(N183=0,O183+INPUT_CAD!$B$4,INPUT_CAD!$B$4)</f>
        <v>2</v>
      </c>
      <c r="Q184" s="4" t="str">
        <f t="shared" si="22"/>
        <v/>
      </c>
      <c r="R184" s="4" t="str">
        <f t="shared" si="23"/>
        <v/>
      </c>
      <c r="S184" s="4" t="str">
        <f t="shared" si="24"/>
        <v/>
      </c>
      <c r="T184" s="4" t="str">
        <f>IFERROR(Q184*Setup!$C$26+R184*Setup!$D$26+S184*Setup!$E$26,"")</f>
        <v/>
      </c>
      <c r="U184" s="4" t="str">
        <f t="shared" si="26"/>
        <v/>
      </c>
      <c r="V184" s="4">
        <f t="shared" si="25"/>
        <v>90</v>
      </c>
    </row>
    <row r="185" spans="1:22" hidden="1" x14ac:dyDescent="0.25">
      <c r="A185" s="4" t="str">
        <f>IF(INPUT_CAD!A185="","",INPUT_CAD!A185)</f>
        <v/>
      </c>
      <c r="B185" s="4" t="str">
        <f>IF(INPUT_CAD!B185="","",INPUT_CAD!B185)</f>
        <v/>
      </c>
      <c r="C185" s="4" t="str">
        <f>IF(INPUT_CAD!C185="","",INPUT_CAD!C185)</f>
        <v/>
      </c>
      <c r="D185" s="4" t="str">
        <f>IF(INPUT_CAD!D185="","",INPUT_CAD!D185)</f>
        <v/>
      </c>
      <c r="E185" s="4" t="str">
        <f>IF(INPUT_CAD!E185="","",INPUT_CAD!E185)</f>
        <v/>
      </c>
      <c r="F185" s="4" t="str">
        <f>IF(INPUT_CAD!F185="","",INPUT_CAD!F185)</f>
        <v/>
      </c>
      <c r="G185" s="4" t="str">
        <f>IF(INPUT_CAD!G185="","",INPUT_CAD!G185)</f>
        <v/>
      </c>
      <c r="I185" s="4" t="str">
        <f t="shared" si="27"/>
        <v/>
      </c>
      <c r="J185" s="4" t="str">
        <f t="shared" si="28"/>
        <v/>
      </c>
      <c r="K185" s="4" t="str">
        <f t="shared" si="29"/>
        <v/>
      </c>
      <c r="L185" s="4" t="str">
        <f>IFERROR(VLOOKUP(ROUND(K185,0),correction_tag!$A$7:$C$253,3),"x")</f>
        <v>x</v>
      </c>
      <c r="N185" s="4">
        <f t="shared" si="21"/>
        <v>1</v>
      </c>
      <c r="O185" s="4">
        <f>IF(N184=0,O184+INPUT_CAD!$B$4,INPUT_CAD!$B$4)</f>
        <v>2</v>
      </c>
      <c r="Q185" s="4" t="str">
        <f t="shared" si="22"/>
        <v/>
      </c>
      <c r="R185" s="4" t="str">
        <f t="shared" si="23"/>
        <v/>
      </c>
      <c r="S185" s="4" t="str">
        <f t="shared" si="24"/>
        <v/>
      </c>
      <c r="T185" s="4" t="str">
        <f>IFERROR(Q185*Setup!$C$26+R185*Setup!$D$26+S185*Setup!$E$26,"")</f>
        <v/>
      </c>
      <c r="U185" s="4" t="str">
        <f t="shared" si="26"/>
        <v/>
      </c>
      <c r="V185" s="4">
        <f t="shared" si="25"/>
        <v>90</v>
      </c>
    </row>
    <row r="186" spans="1:22" hidden="1" x14ac:dyDescent="0.25">
      <c r="A186" s="4" t="str">
        <f>IF(INPUT_CAD!A186="","",INPUT_CAD!A186)</f>
        <v/>
      </c>
      <c r="B186" s="4" t="str">
        <f>IF(INPUT_CAD!B186="","",INPUT_CAD!B186)</f>
        <v/>
      </c>
      <c r="C186" s="4" t="str">
        <f>IF(INPUT_CAD!C186="","",INPUT_CAD!C186)</f>
        <v/>
      </c>
      <c r="D186" s="4" t="str">
        <f>IF(INPUT_CAD!D186="","",INPUT_CAD!D186)</f>
        <v/>
      </c>
      <c r="E186" s="4" t="str">
        <f>IF(INPUT_CAD!E186="","",INPUT_CAD!E186)</f>
        <v/>
      </c>
      <c r="F186" s="4" t="str">
        <f>IF(INPUT_CAD!F186="","",INPUT_CAD!F186)</f>
        <v/>
      </c>
      <c r="G186" s="4" t="str">
        <f>IF(INPUT_CAD!G186="","",INPUT_CAD!G186)</f>
        <v/>
      </c>
      <c r="I186" s="4" t="str">
        <f t="shared" si="27"/>
        <v/>
      </c>
      <c r="J186" s="4" t="str">
        <f t="shared" si="28"/>
        <v/>
      </c>
      <c r="K186" s="4" t="str">
        <f t="shared" si="29"/>
        <v/>
      </c>
      <c r="L186" s="4" t="str">
        <f>IFERROR(VLOOKUP(ROUND(K186,0),correction_tag!$A$7:$C$253,3),"x")</f>
        <v>x</v>
      </c>
      <c r="N186" s="4">
        <f t="shared" si="21"/>
        <v>1</v>
      </c>
      <c r="O186" s="4">
        <f>IF(N185=0,O185+INPUT_CAD!$B$4,INPUT_CAD!$B$4)</f>
        <v>2</v>
      </c>
      <c r="Q186" s="4" t="str">
        <f t="shared" si="22"/>
        <v/>
      </c>
      <c r="R186" s="4" t="str">
        <f t="shared" si="23"/>
        <v/>
      </c>
      <c r="S186" s="4" t="str">
        <f t="shared" si="24"/>
        <v/>
      </c>
      <c r="T186" s="4" t="str">
        <f>IFERROR(Q186*Setup!$C$26+R186*Setup!$D$26+S186*Setup!$E$26,"")</f>
        <v/>
      </c>
      <c r="U186" s="4" t="str">
        <f t="shared" si="26"/>
        <v/>
      </c>
      <c r="V186" s="4">
        <f t="shared" si="25"/>
        <v>90</v>
      </c>
    </row>
    <row r="187" spans="1:22" hidden="1" x14ac:dyDescent="0.25">
      <c r="A187" s="4" t="str">
        <f>IF(INPUT_CAD!A187="","",INPUT_CAD!A187)</f>
        <v/>
      </c>
      <c r="B187" s="4" t="str">
        <f>IF(INPUT_CAD!B187="","",INPUT_CAD!B187)</f>
        <v/>
      </c>
      <c r="C187" s="4" t="str">
        <f>IF(INPUT_CAD!C187="","",INPUT_CAD!C187)</f>
        <v/>
      </c>
      <c r="D187" s="4" t="str">
        <f>IF(INPUT_CAD!D187="","",INPUT_CAD!D187)</f>
        <v/>
      </c>
      <c r="E187" s="4" t="str">
        <f>IF(INPUT_CAD!E187="","",INPUT_CAD!E187)</f>
        <v/>
      </c>
      <c r="F187" s="4" t="str">
        <f>IF(INPUT_CAD!F187="","",INPUT_CAD!F187)</f>
        <v/>
      </c>
      <c r="G187" s="4" t="str">
        <f>IF(INPUT_CAD!G187="","",INPUT_CAD!G187)</f>
        <v/>
      </c>
      <c r="I187" s="4" t="str">
        <f t="shared" si="27"/>
        <v/>
      </c>
      <c r="J187" s="4" t="str">
        <f t="shared" si="28"/>
        <v/>
      </c>
      <c r="K187" s="4" t="str">
        <f t="shared" si="29"/>
        <v/>
      </c>
      <c r="L187" s="4" t="str">
        <f>IFERROR(VLOOKUP(ROUND(K187,0),correction_tag!$A$7:$C$253,3),"x")</f>
        <v>x</v>
      </c>
      <c r="N187" s="4">
        <f t="shared" si="21"/>
        <v>1</v>
      </c>
      <c r="O187" s="4">
        <f>IF(N186=0,O186+INPUT_CAD!$B$4,INPUT_CAD!$B$4)</f>
        <v>2</v>
      </c>
      <c r="Q187" s="4" t="str">
        <f t="shared" si="22"/>
        <v/>
      </c>
      <c r="R187" s="4" t="str">
        <f t="shared" si="23"/>
        <v/>
      </c>
      <c r="S187" s="4" t="str">
        <f t="shared" si="24"/>
        <v/>
      </c>
      <c r="T187" s="4" t="str">
        <f>IFERROR(Q187*Setup!$C$26+R187*Setup!$D$26+S187*Setup!$E$26,"")</f>
        <v/>
      </c>
      <c r="U187" s="4" t="str">
        <f t="shared" si="26"/>
        <v/>
      </c>
      <c r="V187" s="4">
        <f t="shared" si="25"/>
        <v>90</v>
      </c>
    </row>
    <row r="188" spans="1:22" hidden="1" x14ac:dyDescent="0.25">
      <c r="A188" s="4" t="str">
        <f>IF(INPUT_CAD!A188="","",INPUT_CAD!A188)</f>
        <v/>
      </c>
      <c r="B188" s="4" t="str">
        <f>IF(INPUT_CAD!B188="","",INPUT_CAD!B188)</f>
        <v/>
      </c>
      <c r="C188" s="4" t="str">
        <f>IF(INPUT_CAD!C188="","",INPUT_CAD!C188)</f>
        <v/>
      </c>
      <c r="D188" s="4" t="str">
        <f>IF(INPUT_CAD!D188="","",INPUT_CAD!D188)</f>
        <v/>
      </c>
      <c r="E188" s="4" t="str">
        <f>IF(INPUT_CAD!E188="","",INPUT_CAD!E188)</f>
        <v/>
      </c>
      <c r="F188" s="4" t="str">
        <f>IF(INPUT_CAD!F188="","",INPUT_CAD!F188)</f>
        <v/>
      </c>
      <c r="G188" s="4" t="str">
        <f>IF(INPUT_CAD!G188="","",INPUT_CAD!G188)</f>
        <v/>
      </c>
      <c r="I188" s="4" t="str">
        <f t="shared" si="27"/>
        <v/>
      </c>
      <c r="J188" s="4" t="str">
        <f t="shared" si="28"/>
        <v/>
      </c>
      <c r="K188" s="4" t="str">
        <f t="shared" si="29"/>
        <v/>
      </c>
      <c r="L188" s="4" t="str">
        <f>IFERROR(VLOOKUP(ROUND(K188,0),correction_tag!$A$7:$C$253,3),"x")</f>
        <v>x</v>
      </c>
      <c r="N188" s="4">
        <f t="shared" si="21"/>
        <v>1</v>
      </c>
      <c r="O188" s="4">
        <f>IF(N187=0,O187+INPUT_CAD!$B$4,INPUT_CAD!$B$4)</f>
        <v>2</v>
      </c>
      <c r="Q188" s="4" t="str">
        <f t="shared" si="22"/>
        <v/>
      </c>
      <c r="R188" s="4" t="str">
        <f t="shared" si="23"/>
        <v/>
      </c>
      <c r="S188" s="4" t="str">
        <f t="shared" si="24"/>
        <v/>
      </c>
      <c r="T188" s="4" t="str">
        <f>IFERROR(Q188*Setup!$C$26+R188*Setup!$D$26+S188*Setup!$E$26,"")</f>
        <v/>
      </c>
      <c r="U188" s="4" t="str">
        <f t="shared" si="26"/>
        <v/>
      </c>
      <c r="V188" s="4">
        <f t="shared" si="25"/>
        <v>90</v>
      </c>
    </row>
    <row r="189" spans="1:22" hidden="1" x14ac:dyDescent="0.25">
      <c r="A189" s="4" t="str">
        <f>IF(INPUT_CAD!A189="","",INPUT_CAD!A189)</f>
        <v/>
      </c>
      <c r="B189" s="4" t="str">
        <f>IF(INPUT_CAD!B189="","",INPUT_CAD!B189)</f>
        <v/>
      </c>
      <c r="C189" s="4" t="str">
        <f>IF(INPUT_CAD!C189="","",INPUT_CAD!C189)</f>
        <v/>
      </c>
      <c r="D189" s="4" t="str">
        <f>IF(INPUT_CAD!D189="","",INPUT_CAD!D189)</f>
        <v/>
      </c>
      <c r="E189" s="4" t="str">
        <f>IF(INPUT_CAD!E189="","",INPUT_CAD!E189)</f>
        <v/>
      </c>
      <c r="F189" s="4" t="str">
        <f>IF(INPUT_CAD!F189="","",INPUT_CAD!F189)</f>
        <v/>
      </c>
      <c r="G189" s="4" t="str">
        <f>IF(INPUT_CAD!G189="","",INPUT_CAD!G189)</f>
        <v/>
      </c>
      <c r="I189" s="4" t="str">
        <f t="shared" si="27"/>
        <v/>
      </c>
      <c r="J189" s="4" t="str">
        <f t="shared" si="28"/>
        <v/>
      </c>
      <c r="K189" s="4" t="str">
        <f t="shared" si="29"/>
        <v/>
      </c>
      <c r="L189" s="4" t="str">
        <f>IFERROR(VLOOKUP(ROUND(K189,0),correction_tag!$A$7:$C$253,3),"x")</f>
        <v>x</v>
      </c>
      <c r="N189" s="4">
        <f t="shared" si="21"/>
        <v>1</v>
      </c>
      <c r="O189" s="4">
        <f>IF(N188=0,O188+INPUT_CAD!$B$4,INPUT_CAD!$B$4)</f>
        <v>2</v>
      </c>
      <c r="Q189" s="4" t="str">
        <f t="shared" si="22"/>
        <v/>
      </c>
      <c r="R189" s="4" t="str">
        <f t="shared" si="23"/>
        <v/>
      </c>
      <c r="S189" s="4" t="str">
        <f t="shared" si="24"/>
        <v/>
      </c>
      <c r="T189" s="4" t="str">
        <f>IFERROR(Q189*Setup!$C$26+R189*Setup!$D$26+S189*Setup!$E$26,"")</f>
        <v/>
      </c>
      <c r="U189" s="4" t="str">
        <f t="shared" si="26"/>
        <v/>
      </c>
      <c r="V189" s="4">
        <f t="shared" si="25"/>
        <v>90</v>
      </c>
    </row>
    <row r="190" spans="1:22" hidden="1" x14ac:dyDescent="0.25">
      <c r="A190" s="4" t="str">
        <f>IF(INPUT_CAD!A190="","",INPUT_CAD!A190)</f>
        <v/>
      </c>
      <c r="B190" s="4" t="str">
        <f>IF(INPUT_CAD!B190="","",INPUT_CAD!B190)</f>
        <v/>
      </c>
      <c r="C190" s="4" t="str">
        <f>IF(INPUT_CAD!C190="","",INPUT_CAD!C190)</f>
        <v/>
      </c>
      <c r="D190" s="4" t="str">
        <f>IF(INPUT_CAD!D190="","",INPUT_CAD!D190)</f>
        <v/>
      </c>
      <c r="E190" s="4" t="str">
        <f>IF(INPUT_CAD!E190="","",INPUT_CAD!E190)</f>
        <v/>
      </c>
      <c r="F190" s="4" t="str">
        <f>IF(INPUT_CAD!F190="","",INPUT_CAD!F190)</f>
        <v/>
      </c>
      <c r="G190" s="4" t="str">
        <f>IF(INPUT_CAD!G190="","",INPUT_CAD!G190)</f>
        <v/>
      </c>
      <c r="I190" s="4" t="str">
        <f t="shared" si="27"/>
        <v/>
      </c>
      <c r="J190" s="4" t="str">
        <f t="shared" si="28"/>
        <v/>
      </c>
      <c r="K190" s="4" t="str">
        <f t="shared" si="29"/>
        <v/>
      </c>
      <c r="L190" s="4" t="str">
        <f>IFERROR(VLOOKUP(ROUND(K190,0),correction_tag!$A$7:$C$253,3),"x")</f>
        <v>x</v>
      </c>
      <c r="N190" s="4">
        <f t="shared" si="21"/>
        <v>1</v>
      </c>
      <c r="O190" s="4">
        <f>IF(N189=0,O189+INPUT_CAD!$B$4,INPUT_CAD!$B$4)</f>
        <v>2</v>
      </c>
      <c r="Q190" s="4" t="str">
        <f t="shared" si="22"/>
        <v/>
      </c>
      <c r="R190" s="4" t="str">
        <f t="shared" si="23"/>
        <v/>
      </c>
      <c r="S190" s="4" t="str">
        <f t="shared" si="24"/>
        <v/>
      </c>
      <c r="T190" s="4" t="str">
        <f>IFERROR(Q190*Setup!$C$26+R190*Setup!$D$26+S190*Setup!$E$26,"")</f>
        <v/>
      </c>
      <c r="U190" s="4" t="str">
        <f t="shared" si="26"/>
        <v/>
      </c>
      <c r="V190" s="4">
        <f t="shared" si="25"/>
        <v>90</v>
      </c>
    </row>
    <row r="191" spans="1:22" hidden="1" x14ac:dyDescent="0.25">
      <c r="A191" s="4" t="str">
        <f>IF(INPUT_CAD!A191="","",INPUT_CAD!A191)</f>
        <v/>
      </c>
      <c r="B191" s="4" t="str">
        <f>IF(INPUT_CAD!B191="","",INPUT_CAD!B191)</f>
        <v/>
      </c>
      <c r="C191" s="4" t="str">
        <f>IF(INPUT_CAD!C191="","",INPUT_CAD!C191)</f>
        <v/>
      </c>
      <c r="D191" s="4" t="str">
        <f>IF(INPUT_CAD!D191="","",INPUT_CAD!D191)</f>
        <v/>
      </c>
      <c r="E191" s="4" t="str">
        <f>IF(INPUT_CAD!E191="","",INPUT_CAD!E191)</f>
        <v/>
      </c>
      <c r="F191" s="4" t="str">
        <f>IF(INPUT_CAD!F191="","",INPUT_CAD!F191)</f>
        <v/>
      </c>
      <c r="G191" s="4" t="str">
        <f>IF(INPUT_CAD!G191="","",INPUT_CAD!G191)</f>
        <v/>
      </c>
      <c r="I191" s="4" t="str">
        <f t="shared" si="27"/>
        <v/>
      </c>
      <c r="J191" s="4" t="str">
        <f t="shared" si="28"/>
        <v/>
      </c>
      <c r="K191" s="4" t="str">
        <f t="shared" si="29"/>
        <v/>
      </c>
      <c r="L191" s="4" t="str">
        <f>IFERROR(VLOOKUP(ROUND(K191,0),correction_tag!$A$7:$C$253,3),"x")</f>
        <v>x</v>
      </c>
      <c r="N191" s="4">
        <f t="shared" si="21"/>
        <v>1</v>
      </c>
      <c r="O191" s="4">
        <f>IF(N190=0,O190+INPUT_CAD!$B$4,INPUT_CAD!$B$4)</f>
        <v>2</v>
      </c>
      <c r="Q191" s="4" t="str">
        <f t="shared" si="22"/>
        <v/>
      </c>
      <c r="R191" s="4" t="str">
        <f t="shared" si="23"/>
        <v/>
      </c>
      <c r="S191" s="4" t="str">
        <f t="shared" si="24"/>
        <v/>
      </c>
      <c r="T191" s="4" t="str">
        <f>IFERROR(Q191*Setup!$C$26+R191*Setup!$D$26+S191*Setup!$E$26,"")</f>
        <v/>
      </c>
      <c r="U191" s="4" t="str">
        <f t="shared" si="26"/>
        <v/>
      </c>
      <c r="V191" s="4">
        <f t="shared" si="25"/>
        <v>90</v>
      </c>
    </row>
    <row r="192" spans="1:22" hidden="1" x14ac:dyDescent="0.25">
      <c r="A192" s="4" t="str">
        <f>IF(INPUT_CAD!A192="","",INPUT_CAD!A192)</f>
        <v/>
      </c>
      <c r="B192" s="4" t="str">
        <f>IF(INPUT_CAD!B192="","",INPUT_CAD!B192)</f>
        <v/>
      </c>
      <c r="C192" s="4" t="str">
        <f>IF(INPUT_CAD!C192="","",INPUT_CAD!C192)</f>
        <v/>
      </c>
      <c r="D192" s="4" t="str">
        <f>IF(INPUT_CAD!D192="","",INPUT_CAD!D192)</f>
        <v/>
      </c>
      <c r="E192" s="4" t="str">
        <f>IF(INPUT_CAD!E192="","",INPUT_CAD!E192)</f>
        <v/>
      </c>
      <c r="F192" s="4" t="str">
        <f>IF(INPUT_CAD!F192="","",INPUT_CAD!F192)</f>
        <v/>
      </c>
      <c r="G192" s="4" t="str">
        <f>IF(INPUT_CAD!G192="","",INPUT_CAD!G192)</f>
        <v/>
      </c>
      <c r="I192" s="4" t="str">
        <f t="shared" si="27"/>
        <v/>
      </c>
      <c r="J192" s="4" t="str">
        <f t="shared" si="28"/>
        <v/>
      </c>
      <c r="K192" s="4" t="str">
        <f t="shared" si="29"/>
        <v/>
      </c>
      <c r="L192" s="4" t="str">
        <f>IFERROR(VLOOKUP(ROUND(K192,0),correction_tag!$A$7:$C$253,3),"x")</f>
        <v>x</v>
      </c>
      <c r="N192" s="4">
        <f t="shared" si="21"/>
        <v>1</v>
      </c>
      <c r="O192" s="4">
        <f>IF(N191=0,O191+INPUT_CAD!$B$4,INPUT_CAD!$B$4)</f>
        <v>2</v>
      </c>
      <c r="Q192" s="4" t="str">
        <f t="shared" si="22"/>
        <v/>
      </c>
      <c r="R192" s="4" t="str">
        <f t="shared" si="23"/>
        <v/>
      </c>
      <c r="S192" s="4" t="str">
        <f t="shared" si="24"/>
        <v/>
      </c>
      <c r="T192" s="4" t="str">
        <f>IFERROR(Q192*Setup!$C$26+R192*Setup!$D$26+S192*Setup!$E$26,"")</f>
        <v/>
      </c>
      <c r="U192" s="4" t="str">
        <f t="shared" si="26"/>
        <v/>
      </c>
      <c r="V192" s="4">
        <f t="shared" si="25"/>
        <v>90</v>
      </c>
    </row>
    <row r="193" spans="1:22" hidden="1" x14ac:dyDescent="0.25">
      <c r="A193" s="4" t="str">
        <f>IF(INPUT_CAD!A193="","",INPUT_CAD!A193)</f>
        <v/>
      </c>
      <c r="B193" s="4" t="str">
        <f>IF(INPUT_CAD!B193="","",INPUT_CAD!B193)</f>
        <v/>
      </c>
      <c r="C193" s="4" t="str">
        <f>IF(INPUT_CAD!C193="","",INPUT_CAD!C193)</f>
        <v/>
      </c>
      <c r="D193" s="4" t="str">
        <f>IF(INPUT_CAD!D193="","",INPUT_CAD!D193)</f>
        <v/>
      </c>
      <c r="E193" s="4" t="str">
        <f>IF(INPUT_CAD!E193="","",INPUT_CAD!E193)</f>
        <v/>
      </c>
      <c r="F193" s="4" t="str">
        <f>IF(INPUT_CAD!F193="","",INPUT_CAD!F193)</f>
        <v/>
      </c>
      <c r="G193" s="4" t="str">
        <f>IF(INPUT_CAD!G193="","",INPUT_CAD!G193)</f>
        <v/>
      </c>
      <c r="I193" s="4" t="str">
        <f t="shared" si="27"/>
        <v/>
      </c>
      <c r="J193" s="4" t="str">
        <f t="shared" si="28"/>
        <v/>
      </c>
      <c r="K193" s="4" t="str">
        <f t="shared" si="29"/>
        <v/>
      </c>
      <c r="L193" s="4" t="str">
        <f>IFERROR(VLOOKUP(ROUND(K193,0),correction_tag!$A$7:$C$253,3),"x")</f>
        <v>x</v>
      </c>
      <c r="N193" s="4">
        <f t="shared" si="21"/>
        <v>1</v>
      </c>
      <c r="O193" s="4">
        <f>IF(N192=0,O192+INPUT_CAD!$B$4,INPUT_CAD!$B$4)</f>
        <v>2</v>
      </c>
      <c r="Q193" s="4" t="str">
        <f t="shared" si="22"/>
        <v/>
      </c>
      <c r="R193" s="4" t="str">
        <f t="shared" si="23"/>
        <v/>
      </c>
      <c r="S193" s="4" t="str">
        <f t="shared" si="24"/>
        <v/>
      </c>
      <c r="T193" s="4" t="str">
        <f>IFERROR(Q193*Setup!$C$26+R193*Setup!$D$26+S193*Setup!$E$26,"")</f>
        <v/>
      </c>
      <c r="U193" s="4" t="str">
        <f t="shared" si="26"/>
        <v/>
      </c>
      <c r="V193" s="4">
        <f t="shared" si="25"/>
        <v>90</v>
      </c>
    </row>
    <row r="194" spans="1:22" hidden="1" x14ac:dyDescent="0.25">
      <c r="A194" s="4" t="str">
        <f>IF(INPUT_CAD!A194="","",INPUT_CAD!A194)</f>
        <v/>
      </c>
      <c r="B194" s="4" t="str">
        <f>IF(INPUT_CAD!B194="","",INPUT_CAD!B194)</f>
        <v/>
      </c>
      <c r="C194" s="4" t="str">
        <f>IF(INPUT_CAD!C194="","",INPUT_CAD!C194)</f>
        <v/>
      </c>
      <c r="D194" s="4" t="str">
        <f>IF(INPUT_CAD!D194="","",INPUT_CAD!D194)</f>
        <v/>
      </c>
      <c r="E194" s="4" t="str">
        <f>IF(INPUT_CAD!E194="","",INPUT_CAD!E194)</f>
        <v/>
      </c>
      <c r="F194" s="4" t="str">
        <f>IF(INPUT_CAD!F194="","",INPUT_CAD!F194)</f>
        <v/>
      </c>
      <c r="G194" s="4" t="str">
        <f>IF(INPUT_CAD!G194="","",INPUT_CAD!G194)</f>
        <v/>
      </c>
      <c r="I194" s="4" t="str">
        <f t="shared" si="27"/>
        <v/>
      </c>
      <c r="J194" s="4" t="str">
        <f t="shared" si="28"/>
        <v/>
      </c>
      <c r="K194" s="4" t="str">
        <f t="shared" si="29"/>
        <v/>
      </c>
      <c r="L194" s="4" t="str">
        <f>IFERROR(VLOOKUP(ROUND(K194,0),correction_tag!$A$7:$C$253,3),"x")</f>
        <v>x</v>
      </c>
      <c r="N194" s="4">
        <f t="shared" si="21"/>
        <v>1</v>
      </c>
      <c r="O194" s="4">
        <f>IF(N193=0,O193+INPUT_CAD!$B$4,INPUT_CAD!$B$4)</f>
        <v>2</v>
      </c>
      <c r="Q194" s="4" t="str">
        <f t="shared" si="22"/>
        <v/>
      </c>
      <c r="R194" s="4" t="str">
        <f t="shared" si="23"/>
        <v/>
      </c>
      <c r="S194" s="4" t="str">
        <f t="shared" si="24"/>
        <v/>
      </c>
      <c r="T194" s="4" t="str">
        <f>IFERROR(Q194*Setup!$C$26+R194*Setup!$D$26+S194*Setup!$E$26,"")</f>
        <v/>
      </c>
      <c r="U194" s="4" t="str">
        <f t="shared" si="26"/>
        <v/>
      </c>
      <c r="V194" s="4">
        <f t="shared" si="25"/>
        <v>90</v>
      </c>
    </row>
    <row r="195" spans="1:22" hidden="1" x14ac:dyDescent="0.25">
      <c r="A195" s="4" t="str">
        <f>IF(INPUT_CAD!A195="","",INPUT_CAD!A195)</f>
        <v/>
      </c>
      <c r="B195" s="4" t="str">
        <f>IF(INPUT_CAD!B195="","",INPUT_CAD!B195)</f>
        <v/>
      </c>
      <c r="C195" s="4" t="str">
        <f>IF(INPUT_CAD!C195="","",INPUT_CAD!C195)</f>
        <v/>
      </c>
      <c r="D195" s="4" t="str">
        <f>IF(INPUT_CAD!D195="","",INPUT_CAD!D195)</f>
        <v/>
      </c>
      <c r="E195" s="4" t="str">
        <f>IF(INPUT_CAD!E195="","",INPUT_CAD!E195)</f>
        <v/>
      </c>
      <c r="F195" s="4" t="str">
        <f>IF(INPUT_CAD!F195="","",INPUT_CAD!F195)</f>
        <v/>
      </c>
      <c r="G195" s="4" t="str">
        <f>IF(INPUT_CAD!G195="","",INPUT_CAD!G195)</f>
        <v/>
      </c>
      <c r="I195" s="4" t="str">
        <f t="shared" si="27"/>
        <v/>
      </c>
      <c r="J195" s="4" t="str">
        <f t="shared" si="28"/>
        <v/>
      </c>
      <c r="K195" s="4" t="str">
        <f t="shared" si="29"/>
        <v/>
      </c>
      <c r="L195" s="4" t="str">
        <f>IFERROR(VLOOKUP(ROUND(K195,0),correction_tag!$A$7:$C$253,3),"x")</f>
        <v>x</v>
      </c>
      <c r="N195" s="4">
        <f t="shared" si="21"/>
        <v>1</v>
      </c>
      <c r="O195" s="4">
        <f>IF(N194=0,O194+INPUT_CAD!$B$4,INPUT_CAD!$B$4)</f>
        <v>2</v>
      </c>
      <c r="Q195" s="4" t="str">
        <f t="shared" si="22"/>
        <v/>
      </c>
      <c r="R195" s="4" t="str">
        <f t="shared" si="23"/>
        <v/>
      </c>
      <c r="S195" s="4" t="str">
        <f t="shared" si="24"/>
        <v/>
      </c>
      <c r="T195" s="4" t="str">
        <f>IFERROR(Q195*Setup!$C$26+R195*Setup!$D$26+S195*Setup!$E$26,"")</f>
        <v/>
      </c>
      <c r="U195" s="4" t="str">
        <f t="shared" si="26"/>
        <v/>
      </c>
      <c r="V195" s="4">
        <f t="shared" si="25"/>
        <v>90</v>
      </c>
    </row>
    <row r="196" spans="1:22" hidden="1" x14ac:dyDescent="0.25">
      <c r="A196" s="4" t="str">
        <f>IF(INPUT_CAD!A196="","",INPUT_CAD!A196)</f>
        <v/>
      </c>
      <c r="B196" s="4" t="str">
        <f>IF(INPUT_CAD!B196="","",INPUT_CAD!B196)</f>
        <v/>
      </c>
      <c r="C196" s="4" t="str">
        <f>IF(INPUT_CAD!C196="","",INPUT_CAD!C196)</f>
        <v/>
      </c>
      <c r="D196" s="4" t="str">
        <f>IF(INPUT_CAD!D196="","",INPUT_CAD!D196)</f>
        <v/>
      </c>
      <c r="E196" s="4" t="str">
        <f>IF(INPUT_CAD!E196="","",INPUT_CAD!E196)</f>
        <v/>
      </c>
      <c r="F196" s="4" t="str">
        <f>IF(INPUT_CAD!F196="","",INPUT_CAD!F196)</f>
        <v/>
      </c>
      <c r="G196" s="4" t="str">
        <f>IF(INPUT_CAD!G196="","",INPUT_CAD!G196)</f>
        <v/>
      </c>
      <c r="I196" s="4" t="str">
        <f t="shared" si="27"/>
        <v/>
      </c>
      <c r="J196" s="4" t="str">
        <f t="shared" si="28"/>
        <v/>
      </c>
      <c r="K196" s="4" t="str">
        <f t="shared" si="29"/>
        <v/>
      </c>
      <c r="L196" s="4" t="str">
        <f>IFERROR(VLOOKUP(ROUND(K196,0),correction_tag!$A$7:$C$253,3),"x")</f>
        <v>x</v>
      </c>
      <c r="N196" s="4">
        <f t="shared" si="21"/>
        <v>1</v>
      </c>
      <c r="O196" s="4">
        <f>IF(N195=0,O195+INPUT_CAD!$B$4,INPUT_CAD!$B$4)</f>
        <v>2</v>
      </c>
      <c r="Q196" s="4" t="str">
        <f t="shared" si="22"/>
        <v/>
      </c>
      <c r="R196" s="4" t="str">
        <f t="shared" si="23"/>
        <v/>
      </c>
      <c r="S196" s="4" t="str">
        <f t="shared" si="24"/>
        <v/>
      </c>
      <c r="T196" s="4" t="str">
        <f>IFERROR(Q196*Setup!$C$26+R196*Setup!$D$26+S196*Setup!$E$26,"")</f>
        <v/>
      </c>
      <c r="U196" s="4" t="str">
        <f t="shared" si="26"/>
        <v/>
      </c>
      <c r="V196" s="4">
        <f t="shared" si="25"/>
        <v>90</v>
      </c>
    </row>
    <row r="197" spans="1:22" hidden="1" x14ac:dyDescent="0.25">
      <c r="A197" s="4" t="str">
        <f>IF(INPUT_CAD!A197="","",INPUT_CAD!A197)</f>
        <v/>
      </c>
      <c r="B197" s="4" t="str">
        <f>IF(INPUT_CAD!B197="","",INPUT_CAD!B197)</f>
        <v/>
      </c>
      <c r="C197" s="4" t="str">
        <f>IF(INPUT_CAD!C197="","",INPUT_CAD!C197)</f>
        <v/>
      </c>
      <c r="D197" s="4" t="str">
        <f>IF(INPUT_CAD!D197="","",INPUT_CAD!D197)</f>
        <v/>
      </c>
      <c r="E197" s="4" t="str">
        <f>IF(INPUT_CAD!E197="","",INPUT_CAD!E197)</f>
        <v/>
      </c>
      <c r="F197" s="4" t="str">
        <f>IF(INPUT_CAD!F197="","",INPUT_CAD!F197)</f>
        <v/>
      </c>
      <c r="G197" s="4" t="str">
        <f>IF(INPUT_CAD!G197="","",INPUT_CAD!G197)</f>
        <v/>
      </c>
      <c r="I197" s="4" t="str">
        <f t="shared" si="27"/>
        <v/>
      </c>
      <c r="J197" s="4" t="str">
        <f t="shared" si="28"/>
        <v/>
      </c>
      <c r="K197" s="4" t="str">
        <f t="shared" si="29"/>
        <v/>
      </c>
      <c r="L197" s="4" t="str">
        <f>IFERROR(VLOOKUP(ROUND(K197,0),correction_tag!$A$7:$C$253,3),"x")</f>
        <v>x</v>
      </c>
      <c r="N197" s="4">
        <f t="shared" si="21"/>
        <v>1</v>
      </c>
      <c r="O197" s="4">
        <f>IF(N196=0,O196+INPUT_CAD!$B$4,INPUT_CAD!$B$4)</f>
        <v>2</v>
      </c>
      <c r="Q197" s="4" t="str">
        <f t="shared" si="22"/>
        <v/>
      </c>
      <c r="R197" s="4" t="str">
        <f t="shared" si="23"/>
        <v/>
      </c>
      <c r="S197" s="4" t="str">
        <f t="shared" si="24"/>
        <v/>
      </c>
      <c r="T197" s="4" t="str">
        <f>IFERROR(Q197*Setup!$C$26+R197*Setup!$D$26+S197*Setup!$E$26,"")</f>
        <v/>
      </c>
      <c r="U197" s="4" t="str">
        <f t="shared" si="26"/>
        <v/>
      </c>
      <c r="V197" s="4">
        <f t="shared" si="25"/>
        <v>90</v>
      </c>
    </row>
    <row r="198" spans="1:22" hidden="1" x14ac:dyDescent="0.25">
      <c r="A198" s="4" t="str">
        <f>IF(INPUT_CAD!A198="","",INPUT_CAD!A198)</f>
        <v/>
      </c>
      <c r="B198" s="4" t="str">
        <f>IF(INPUT_CAD!B198="","",INPUT_CAD!B198)</f>
        <v/>
      </c>
      <c r="C198" s="4" t="str">
        <f>IF(INPUT_CAD!C198="","",INPUT_CAD!C198)</f>
        <v/>
      </c>
      <c r="D198" s="4" t="str">
        <f>IF(INPUT_CAD!D198="","",INPUT_CAD!D198)</f>
        <v/>
      </c>
      <c r="E198" s="4" t="str">
        <f>IF(INPUT_CAD!E198="","",INPUT_CAD!E198)</f>
        <v/>
      </c>
      <c r="F198" s="4" t="str">
        <f>IF(INPUT_CAD!F198="","",INPUT_CAD!F198)</f>
        <v/>
      </c>
      <c r="G198" s="4" t="str">
        <f>IF(INPUT_CAD!G198="","",INPUT_CAD!G198)</f>
        <v/>
      </c>
      <c r="I198" s="4" t="str">
        <f t="shared" si="27"/>
        <v/>
      </c>
      <c r="J198" s="4" t="str">
        <f t="shared" si="28"/>
        <v/>
      </c>
      <c r="K198" s="4" t="str">
        <f t="shared" si="29"/>
        <v/>
      </c>
      <c r="L198" s="4" t="str">
        <f>IFERROR(VLOOKUP(ROUND(K198,0),correction_tag!$A$7:$C$253,3),"x")</f>
        <v>x</v>
      </c>
      <c r="N198" s="4">
        <f t="shared" si="21"/>
        <v>1</v>
      </c>
      <c r="O198" s="4">
        <f>IF(N197=0,O197+INPUT_CAD!$B$4,INPUT_CAD!$B$4)</f>
        <v>2</v>
      </c>
      <c r="Q198" s="4" t="str">
        <f t="shared" si="22"/>
        <v/>
      </c>
      <c r="R198" s="4" t="str">
        <f t="shared" si="23"/>
        <v/>
      </c>
      <c r="S198" s="4" t="str">
        <f t="shared" si="24"/>
        <v/>
      </c>
      <c r="T198" s="4" t="str">
        <f>IFERROR(Q198*Setup!$C$26+R198*Setup!$D$26+S198*Setup!$E$26,"")</f>
        <v/>
      </c>
      <c r="U198" s="4" t="str">
        <f t="shared" si="26"/>
        <v/>
      </c>
      <c r="V198" s="4">
        <f t="shared" si="25"/>
        <v>90</v>
      </c>
    </row>
    <row r="199" spans="1:22" hidden="1" x14ac:dyDescent="0.25">
      <c r="A199" s="4" t="str">
        <f>IF(INPUT_CAD!A199="","",INPUT_CAD!A199)</f>
        <v/>
      </c>
      <c r="B199" s="4" t="str">
        <f>IF(INPUT_CAD!B199="","",INPUT_CAD!B199)</f>
        <v/>
      </c>
      <c r="C199" s="4" t="str">
        <f>IF(INPUT_CAD!C199="","",INPUT_CAD!C199)</f>
        <v/>
      </c>
      <c r="D199" s="4" t="str">
        <f>IF(INPUT_CAD!D199="","",INPUT_CAD!D199)</f>
        <v/>
      </c>
      <c r="E199" s="4" t="str">
        <f>IF(INPUT_CAD!E199="","",INPUT_CAD!E199)</f>
        <v/>
      </c>
      <c r="F199" s="4" t="str">
        <f>IF(INPUT_CAD!F199="","",INPUT_CAD!F199)</f>
        <v/>
      </c>
      <c r="G199" s="4" t="str">
        <f>IF(INPUT_CAD!G199="","",INPUT_CAD!G199)</f>
        <v/>
      </c>
      <c r="I199" s="4" t="str">
        <f t="shared" si="27"/>
        <v/>
      </c>
      <c r="J199" s="4" t="str">
        <f t="shared" si="28"/>
        <v/>
      </c>
      <c r="K199" s="4" t="str">
        <f t="shared" si="29"/>
        <v/>
      </c>
      <c r="L199" s="4" t="str">
        <f>IFERROR(VLOOKUP(ROUND(K199,0),correction_tag!$A$7:$C$253,3),"x")</f>
        <v>x</v>
      </c>
      <c r="N199" s="4">
        <f t="shared" si="21"/>
        <v>1</v>
      </c>
      <c r="O199" s="4">
        <f>IF(N198=0,O198+INPUT_CAD!$B$4,INPUT_CAD!$B$4)</f>
        <v>2</v>
      </c>
      <c r="Q199" s="4" t="str">
        <f t="shared" si="22"/>
        <v/>
      </c>
      <c r="R199" s="4" t="str">
        <f t="shared" si="23"/>
        <v/>
      </c>
      <c r="S199" s="4" t="str">
        <f t="shared" si="24"/>
        <v/>
      </c>
      <c r="T199" s="4" t="str">
        <f>IFERROR(Q199*Setup!$C$26+R199*Setup!$D$26+S199*Setup!$E$26,"")</f>
        <v/>
      </c>
      <c r="U199" s="4" t="str">
        <f t="shared" si="26"/>
        <v/>
      </c>
      <c r="V199" s="4">
        <f t="shared" si="25"/>
        <v>90</v>
      </c>
    </row>
    <row r="200" spans="1:22" hidden="1" x14ac:dyDescent="0.25">
      <c r="A200" s="4" t="str">
        <f>IF(INPUT_CAD!A200="","",INPUT_CAD!A200)</f>
        <v/>
      </c>
      <c r="B200" s="4" t="str">
        <f>IF(INPUT_CAD!B200="","",INPUT_CAD!B200)</f>
        <v/>
      </c>
      <c r="C200" s="4" t="str">
        <f>IF(INPUT_CAD!C200="","",INPUT_CAD!C200)</f>
        <v/>
      </c>
      <c r="D200" s="4" t="str">
        <f>IF(INPUT_CAD!D200="","",INPUT_CAD!D200)</f>
        <v/>
      </c>
      <c r="E200" s="4" t="str">
        <f>IF(INPUT_CAD!E200="","",INPUT_CAD!E200)</f>
        <v/>
      </c>
      <c r="F200" s="4" t="str">
        <f>IF(INPUT_CAD!F200="","",INPUT_CAD!F200)</f>
        <v/>
      </c>
      <c r="G200" s="4" t="str">
        <f>IF(INPUT_CAD!G200="","",INPUT_CAD!G200)</f>
        <v/>
      </c>
      <c r="I200" s="4" t="str">
        <f t="shared" si="27"/>
        <v/>
      </c>
      <c r="J200" s="4" t="str">
        <f t="shared" si="28"/>
        <v/>
      </c>
      <c r="K200" s="4" t="str">
        <f t="shared" si="29"/>
        <v/>
      </c>
      <c r="L200" s="4" t="str">
        <f>IFERROR(VLOOKUP(ROUND(K200,0),correction_tag!$A$7:$C$253,3),"x")</f>
        <v>x</v>
      </c>
      <c r="N200" s="4">
        <f t="shared" si="21"/>
        <v>1</v>
      </c>
      <c r="O200" s="4">
        <f>IF(N199=0,O199+INPUT_CAD!$B$4,INPUT_CAD!$B$4)</f>
        <v>2</v>
      </c>
      <c r="Q200" s="4" t="str">
        <f t="shared" si="22"/>
        <v/>
      </c>
      <c r="R200" s="4" t="str">
        <f t="shared" si="23"/>
        <v/>
      </c>
      <c r="S200" s="4" t="str">
        <f t="shared" si="24"/>
        <v/>
      </c>
      <c r="T200" s="4" t="str">
        <f>IFERROR(Q200*Setup!$C$26+R200*Setup!$D$26+S200*Setup!$E$26,"")</f>
        <v/>
      </c>
      <c r="U200" s="4" t="str">
        <f t="shared" si="26"/>
        <v/>
      </c>
      <c r="V200" s="4">
        <f t="shared" si="25"/>
        <v>90</v>
      </c>
    </row>
    <row r="201" spans="1:22" hidden="1" x14ac:dyDescent="0.25">
      <c r="A201" s="4" t="str">
        <f>IF(INPUT_CAD!A201="","",INPUT_CAD!A201)</f>
        <v/>
      </c>
      <c r="B201" s="4" t="str">
        <f>IF(INPUT_CAD!B201="","",INPUT_CAD!B201)</f>
        <v/>
      </c>
      <c r="C201" s="4" t="str">
        <f>IF(INPUT_CAD!C201="","",INPUT_CAD!C201)</f>
        <v/>
      </c>
      <c r="D201" s="4" t="str">
        <f>IF(INPUT_CAD!D201="","",INPUT_CAD!D201)</f>
        <v/>
      </c>
      <c r="E201" s="4" t="str">
        <f>IF(INPUT_CAD!E201="","",INPUT_CAD!E201)</f>
        <v/>
      </c>
      <c r="F201" s="4" t="str">
        <f>IF(INPUT_CAD!F201="","",INPUT_CAD!F201)</f>
        <v/>
      </c>
      <c r="G201" s="4" t="str">
        <f>IF(INPUT_CAD!G201="","",INPUT_CAD!G201)</f>
        <v/>
      </c>
      <c r="I201" s="4" t="str">
        <f t="shared" si="27"/>
        <v/>
      </c>
      <c r="J201" s="4" t="str">
        <f t="shared" si="28"/>
        <v/>
      </c>
      <c r="K201" s="4" t="str">
        <f t="shared" si="29"/>
        <v/>
      </c>
      <c r="L201" s="4" t="str">
        <f>IFERROR(VLOOKUP(ROUND(K201,0),correction_tag!$A$7:$C$253,3),"x")</f>
        <v>x</v>
      </c>
      <c r="N201" s="4">
        <f t="shared" si="21"/>
        <v>1</v>
      </c>
      <c r="O201" s="4">
        <f>IF(N200=0,O200+INPUT_CAD!$B$4,INPUT_CAD!$B$4)</f>
        <v>2</v>
      </c>
      <c r="Q201" s="4" t="str">
        <f t="shared" si="22"/>
        <v/>
      </c>
      <c r="R201" s="4" t="str">
        <f t="shared" si="23"/>
        <v/>
      </c>
      <c r="S201" s="4" t="str">
        <f t="shared" si="24"/>
        <v/>
      </c>
      <c r="T201" s="4" t="str">
        <f>IFERROR(Q201*Setup!$C$26+R201*Setup!$D$26+S201*Setup!$E$26,"")</f>
        <v/>
      </c>
      <c r="U201" s="4" t="str">
        <f t="shared" si="26"/>
        <v/>
      </c>
      <c r="V201" s="4">
        <f t="shared" si="25"/>
        <v>90</v>
      </c>
    </row>
    <row r="202" spans="1:22" hidden="1" x14ac:dyDescent="0.25">
      <c r="A202" s="4" t="str">
        <f>IF(INPUT_CAD!A202="","",INPUT_CAD!A202)</f>
        <v/>
      </c>
      <c r="B202" s="4" t="str">
        <f>IF(INPUT_CAD!B202="","",INPUT_CAD!B202)</f>
        <v/>
      </c>
      <c r="C202" s="4" t="str">
        <f>IF(INPUT_CAD!C202="","",INPUT_CAD!C202)</f>
        <v/>
      </c>
      <c r="D202" s="4" t="str">
        <f>IF(INPUT_CAD!D202="","",INPUT_CAD!D202)</f>
        <v/>
      </c>
      <c r="E202" s="4" t="str">
        <f>IF(INPUT_CAD!E202="","",INPUT_CAD!E202)</f>
        <v/>
      </c>
      <c r="F202" s="4" t="str">
        <f>IF(INPUT_CAD!F202="","",INPUT_CAD!F202)</f>
        <v/>
      </c>
      <c r="G202" s="4" t="str">
        <f>IF(INPUT_CAD!G202="","",INPUT_CAD!G202)</f>
        <v/>
      </c>
      <c r="I202" s="4" t="str">
        <f t="shared" si="27"/>
        <v/>
      </c>
      <c r="J202" s="4" t="str">
        <f t="shared" si="28"/>
        <v/>
      </c>
      <c r="K202" s="4" t="str">
        <f t="shared" si="29"/>
        <v/>
      </c>
      <c r="L202" s="4" t="str">
        <f>IFERROR(VLOOKUP(ROUND(K202,0),correction_tag!$A$7:$C$253,3),"x")</f>
        <v>x</v>
      </c>
      <c r="N202" s="4">
        <f t="shared" si="21"/>
        <v>1</v>
      </c>
      <c r="O202" s="4">
        <f>IF(N201=0,O201+INPUT_CAD!$B$4,INPUT_CAD!$B$4)</f>
        <v>2</v>
      </c>
      <c r="Q202" s="4" t="str">
        <f t="shared" si="22"/>
        <v/>
      </c>
      <c r="R202" s="4" t="str">
        <f t="shared" si="23"/>
        <v/>
      </c>
      <c r="S202" s="4" t="str">
        <f t="shared" si="24"/>
        <v/>
      </c>
      <c r="T202" s="4" t="str">
        <f>IFERROR(Q202*Setup!$C$26+R202*Setup!$D$26+S202*Setup!$E$26,"")</f>
        <v/>
      </c>
      <c r="U202" s="4" t="str">
        <f t="shared" si="26"/>
        <v/>
      </c>
      <c r="V202" s="4">
        <f t="shared" si="25"/>
        <v>90</v>
      </c>
    </row>
    <row r="203" spans="1:22" hidden="1" x14ac:dyDescent="0.25">
      <c r="A203" s="4" t="str">
        <f>IF(INPUT_CAD!A203="","",INPUT_CAD!A203)</f>
        <v/>
      </c>
      <c r="B203" s="4" t="str">
        <f>IF(INPUT_CAD!B203="","",INPUT_CAD!B203)</f>
        <v/>
      </c>
      <c r="C203" s="4" t="str">
        <f>IF(INPUT_CAD!C203="","",INPUT_CAD!C203)</f>
        <v/>
      </c>
      <c r="D203" s="4" t="str">
        <f>IF(INPUT_CAD!D203="","",INPUT_CAD!D203)</f>
        <v/>
      </c>
      <c r="E203" s="4" t="str">
        <f>IF(INPUT_CAD!E203="","",INPUT_CAD!E203)</f>
        <v/>
      </c>
      <c r="F203" s="4" t="str">
        <f>IF(INPUT_CAD!F203="","",INPUT_CAD!F203)</f>
        <v/>
      </c>
      <c r="G203" s="4" t="str">
        <f>IF(INPUT_CAD!G203="","",INPUT_CAD!G203)</f>
        <v/>
      </c>
      <c r="I203" s="4" t="str">
        <f t="shared" si="27"/>
        <v/>
      </c>
      <c r="J203" s="4" t="str">
        <f t="shared" si="28"/>
        <v/>
      </c>
      <c r="K203" s="4" t="str">
        <f t="shared" si="29"/>
        <v/>
      </c>
      <c r="L203" s="4" t="str">
        <f>IFERROR(VLOOKUP(ROUND(K203,0),correction_tag!$A$7:$C$253,3),"x")</f>
        <v>x</v>
      </c>
      <c r="N203" s="4">
        <f t="shared" ref="N203:N266" si="30">IF(AND(K203&lt;&gt;0,K203&lt;&gt;"x"), 1,0)</f>
        <v>1</v>
      </c>
      <c r="O203" s="4">
        <f>IF(N202=0,O202+INPUT_CAD!$B$4,INPUT_CAD!$B$4)</f>
        <v>2</v>
      </c>
      <c r="Q203" s="4" t="str">
        <f t="shared" ref="Q203:Q266" si="31">IFERROR(F202*G203-G202*F203,"")</f>
        <v/>
      </c>
      <c r="R203" s="4" t="str">
        <f t="shared" ref="R203:R266" si="32">IFERROR(G202*E203-E202*G203,"")</f>
        <v/>
      </c>
      <c r="S203" s="4" t="str">
        <f t="shared" ref="S203:S266" si="33">IFERROR(E202*F203-F202*E203,"")</f>
        <v/>
      </c>
      <c r="T203" s="4" t="str">
        <f>IFERROR(Q203*Setup!$C$26+R203*Setup!$D$26+S203*Setup!$E$26,"")</f>
        <v/>
      </c>
      <c r="U203" s="4" t="str">
        <f t="shared" si="26"/>
        <v/>
      </c>
      <c r="V203" s="4">
        <f t="shared" ref="V203:V266" si="34">IFERROR(DEGREES(ACOS(T203/(U202*U203))),90)</f>
        <v>90</v>
      </c>
    </row>
    <row r="204" spans="1:22" hidden="1" x14ac:dyDescent="0.25">
      <c r="A204" s="4" t="str">
        <f>IF(INPUT_CAD!A204="","",INPUT_CAD!A204)</f>
        <v/>
      </c>
      <c r="B204" s="4" t="str">
        <f>IF(INPUT_CAD!B204="","",INPUT_CAD!B204)</f>
        <v/>
      </c>
      <c r="C204" s="4" t="str">
        <f>IF(INPUT_CAD!C204="","",INPUT_CAD!C204)</f>
        <v/>
      </c>
      <c r="D204" s="4" t="str">
        <f>IF(INPUT_CAD!D204="","",INPUT_CAD!D204)</f>
        <v/>
      </c>
      <c r="E204" s="4" t="str">
        <f>IF(INPUT_CAD!E204="","",INPUT_CAD!E204)</f>
        <v/>
      </c>
      <c r="F204" s="4" t="str">
        <f>IF(INPUT_CAD!F204="","",INPUT_CAD!F204)</f>
        <v/>
      </c>
      <c r="G204" s="4" t="str">
        <f>IF(INPUT_CAD!G204="","",INPUT_CAD!G204)</f>
        <v/>
      </c>
      <c r="I204" s="4" t="str">
        <f t="shared" si="27"/>
        <v/>
      </c>
      <c r="J204" s="4" t="str">
        <f t="shared" si="28"/>
        <v/>
      </c>
      <c r="K204" s="4" t="str">
        <f t="shared" si="29"/>
        <v/>
      </c>
      <c r="L204" s="4" t="str">
        <f>IFERROR(VLOOKUP(ROUND(K204,0),correction_tag!$A$7:$C$253,3),"x")</f>
        <v>x</v>
      </c>
      <c r="N204" s="4">
        <f t="shared" si="30"/>
        <v>1</v>
      </c>
      <c r="O204" s="4">
        <f>IF(N203=0,O203+INPUT_CAD!$B$4,INPUT_CAD!$B$4)</f>
        <v>2</v>
      </c>
      <c r="Q204" s="4" t="str">
        <f t="shared" si="31"/>
        <v/>
      </c>
      <c r="R204" s="4" t="str">
        <f t="shared" si="32"/>
        <v/>
      </c>
      <c r="S204" s="4" t="str">
        <f t="shared" si="33"/>
        <v/>
      </c>
      <c r="T204" s="4" t="str">
        <f>IFERROR(Q204*Setup!$C$26+R204*Setup!$D$26+S204*Setup!$E$26,"")</f>
        <v/>
      </c>
      <c r="U204" s="4" t="str">
        <f t="shared" ref="U204:U267" si="35">IFERROR(SQRT(Q204^2+R204^2+S204^2),"")</f>
        <v/>
      </c>
      <c r="V204" s="4">
        <f t="shared" si="34"/>
        <v>90</v>
      </c>
    </row>
    <row r="205" spans="1:22" hidden="1" x14ac:dyDescent="0.25">
      <c r="A205" s="4" t="str">
        <f>IF(INPUT_CAD!A205="","",INPUT_CAD!A205)</f>
        <v/>
      </c>
      <c r="B205" s="4" t="str">
        <f>IF(INPUT_CAD!B205="","",INPUT_CAD!B205)</f>
        <v/>
      </c>
      <c r="C205" s="4" t="str">
        <f>IF(INPUT_CAD!C205="","",INPUT_CAD!C205)</f>
        <v/>
      </c>
      <c r="D205" s="4" t="str">
        <f>IF(INPUT_CAD!D205="","",INPUT_CAD!D205)</f>
        <v/>
      </c>
      <c r="E205" s="4" t="str">
        <f>IF(INPUT_CAD!E205="","",INPUT_CAD!E205)</f>
        <v/>
      </c>
      <c r="F205" s="4" t="str">
        <f>IF(INPUT_CAD!F205="","",INPUT_CAD!F205)</f>
        <v/>
      </c>
      <c r="G205" s="4" t="str">
        <f>IF(INPUT_CAD!G205="","",INPUT_CAD!G205)</f>
        <v/>
      </c>
      <c r="I205" s="4" t="str">
        <f t="shared" si="27"/>
        <v/>
      </c>
      <c r="J205" s="4" t="str">
        <f t="shared" si="28"/>
        <v/>
      </c>
      <c r="K205" s="4" t="str">
        <f t="shared" si="29"/>
        <v/>
      </c>
      <c r="L205" s="4" t="str">
        <f>IFERROR(VLOOKUP(ROUND(K205,0),correction_tag!$A$7:$C$253,3),"x")</f>
        <v>x</v>
      </c>
      <c r="N205" s="4">
        <f t="shared" si="30"/>
        <v>1</v>
      </c>
      <c r="O205" s="4">
        <f>IF(N204=0,O204+INPUT_CAD!$B$4,INPUT_CAD!$B$4)</f>
        <v>2</v>
      </c>
      <c r="Q205" s="4" t="str">
        <f t="shared" si="31"/>
        <v/>
      </c>
      <c r="R205" s="4" t="str">
        <f t="shared" si="32"/>
        <v/>
      </c>
      <c r="S205" s="4" t="str">
        <f t="shared" si="33"/>
        <v/>
      </c>
      <c r="T205" s="4" t="str">
        <f>IFERROR(Q205*Setup!$C$26+R205*Setup!$D$26+S205*Setup!$E$26,"")</f>
        <v/>
      </c>
      <c r="U205" s="4" t="str">
        <f t="shared" si="35"/>
        <v/>
      </c>
      <c r="V205" s="4">
        <f t="shared" si="34"/>
        <v>90</v>
      </c>
    </row>
    <row r="206" spans="1:22" hidden="1" x14ac:dyDescent="0.25">
      <c r="A206" s="4" t="str">
        <f>IF(INPUT_CAD!A206="","",INPUT_CAD!A206)</f>
        <v/>
      </c>
      <c r="B206" s="4" t="str">
        <f>IF(INPUT_CAD!B206="","",INPUT_CAD!B206)</f>
        <v/>
      </c>
      <c r="C206" s="4" t="str">
        <f>IF(INPUT_CAD!C206="","",INPUT_CAD!C206)</f>
        <v/>
      </c>
      <c r="D206" s="4" t="str">
        <f>IF(INPUT_CAD!D206="","",INPUT_CAD!D206)</f>
        <v/>
      </c>
      <c r="E206" s="4" t="str">
        <f>IF(INPUT_CAD!E206="","",INPUT_CAD!E206)</f>
        <v/>
      </c>
      <c r="F206" s="4" t="str">
        <f>IF(INPUT_CAD!F206="","",INPUT_CAD!F206)</f>
        <v/>
      </c>
      <c r="G206" s="4" t="str">
        <f>IF(INPUT_CAD!G206="","",INPUT_CAD!G206)</f>
        <v/>
      </c>
      <c r="I206" s="4" t="str">
        <f t="shared" si="27"/>
        <v/>
      </c>
      <c r="J206" s="4" t="str">
        <f t="shared" si="28"/>
        <v/>
      </c>
      <c r="K206" s="4" t="str">
        <f t="shared" si="29"/>
        <v/>
      </c>
      <c r="L206" s="4" t="str">
        <f>IFERROR(VLOOKUP(ROUND(K206,0),correction_tag!$A$7:$C$253,3),"x")</f>
        <v>x</v>
      </c>
      <c r="N206" s="4">
        <f t="shared" si="30"/>
        <v>1</v>
      </c>
      <c r="O206" s="4">
        <f>IF(N205=0,O205+INPUT_CAD!$B$4,INPUT_CAD!$B$4)</f>
        <v>2</v>
      </c>
      <c r="Q206" s="4" t="str">
        <f t="shared" si="31"/>
        <v/>
      </c>
      <c r="R206" s="4" t="str">
        <f t="shared" si="32"/>
        <v/>
      </c>
      <c r="S206" s="4" t="str">
        <f t="shared" si="33"/>
        <v/>
      </c>
      <c r="T206" s="4" t="str">
        <f>IFERROR(Q206*Setup!$C$26+R206*Setup!$D$26+S206*Setup!$E$26,"")</f>
        <v/>
      </c>
      <c r="U206" s="4" t="str">
        <f t="shared" si="35"/>
        <v/>
      </c>
      <c r="V206" s="4">
        <f t="shared" si="34"/>
        <v>90</v>
      </c>
    </row>
    <row r="207" spans="1:22" hidden="1" x14ac:dyDescent="0.25">
      <c r="A207" s="4" t="str">
        <f>IF(INPUT_CAD!A207="","",INPUT_CAD!A207)</f>
        <v/>
      </c>
      <c r="B207" s="4" t="str">
        <f>IF(INPUT_CAD!B207="","",INPUT_CAD!B207)</f>
        <v/>
      </c>
      <c r="C207" s="4" t="str">
        <f>IF(INPUT_CAD!C207="","",INPUT_CAD!C207)</f>
        <v/>
      </c>
      <c r="D207" s="4" t="str">
        <f>IF(INPUT_CAD!D207="","",INPUT_CAD!D207)</f>
        <v/>
      </c>
      <c r="E207" s="4" t="str">
        <f>IF(INPUT_CAD!E207="","",INPUT_CAD!E207)</f>
        <v/>
      </c>
      <c r="F207" s="4" t="str">
        <f>IF(INPUT_CAD!F207="","",INPUT_CAD!F207)</f>
        <v/>
      </c>
      <c r="G207" s="4" t="str">
        <f>IF(INPUT_CAD!G207="","",INPUT_CAD!G207)</f>
        <v/>
      </c>
      <c r="I207" s="4" t="str">
        <f t="shared" si="27"/>
        <v/>
      </c>
      <c r="J207" s="4" t="str">
        <f t="shared" si="28"/>
        <v/>
      </c>
      <c r="K207" s="4" t="str">
        <f t="shared" si="29"/>
        <v/>
      </c>
      <c r="L207" s="4" t="str">
        <f>IFERROR(VLOOKUP(ROUND(K207,0),correction_tag!$A$7:$C$253,3),"x")</f>
        <v>x</v>
      </c>
      <c r="N207" s="4">
        <f t="shared" si="30"/>
        <v>1</v>
      </c>
      <c r="O207" s="4">
        <f>IF(N206=0,O206+INPUT_CAD!$B$4,INPUT_CAD!$B$4)</f>
        <v>2</v>
      </c>
      <c r="Q207" s="4" t="str">
        <f t="shared" si="31"/>
        <v/>
      </c>
      <c r="R207" s="4" t="str">
        <f t="shared" si="32"/>
        <v/>
      </c>
      <c r="S207" s="4" t="str">
        <f t="shared" si="33"/>
        <v/>
      </c>
      <c r="T207" s="4" t="str">
        <f>IFERROR(Q207*Setup!$C$26+R207*Setup!$D$26+S207*Setup!$E$26,"")</f>
        <v/>
      </c>
      <c r="U207" s="4" t="str">
        <f t="shared" si="35"/>
        <v/>
      </c>
      <c r="V207" s="4">
        <f t="shared" si="34"/>
        <v>90</v>
      </c>
    </row>
    <row r="208" spans="1:22" hidden="1" x14ac:dyDescent="0.25">
      <c r="A208" s="4" t="str">
        <f>IF(INPUT_CAD!A208="","",INPUT_CAD!A208)</f>
        <v/>
      </c>
      <c r="B208" s="4" t="str">
        <f>IF(INPUT_CAD!B208="","",INPUT_CAD!B208)</f>
        <v/>
      </c>
      <c r="C208" s="4" t="str">
        <f>IF(INPUT_CAD!C208="","",INPUT_CAD!C208)</f>
        <v/>
      </c>
      <c r="D208" s="4" t="str">
        <f>IF(INPUT_CAD!D208="","",INPUT_CAD!D208)</f>
        <v/>
      </c>
      <c r="E208" s="4" t="str">
        <f>IF(INPUT_CAD!E208="","",INPUT_CAD!E208)</f>
        <v/>
      </c>
      <c r="F208" s="4" t="str">
        <f>IF(INPUT_CAD!F208="","",INPUT_CAD!F208)</f>
        <v/>
      </c>
      <c r="G208" s="4" t="str">
        <f>IF(INPUT_CAD!G208="","",INPUT_CAD!G208)</f>
        <v/>
      </c>
      <c r="I208" s="4" t="str">
        <f t="shared" si="27"/>
        <v/>
      </c>
      <c r="J208" s="4" t="str">
        <f t="shared" si="28"/>
        <v/>
      </c>
      <c r="K208" s="4" t="str">
        <f t="shared" si="29"/>
        <v/>
      </c>
      <c r="L208" s="4" t="str">
        <f>IFERROR(VLOOKUP(ROUND(K208,0),correction_tag!$A$7:$C$253,3),"x")</f>
        <v>x</v>
      </c>
      <c r="N208" s="4">
        <f t="shared" si="30"/>
        <v>1</v>
      </c>
      <c r="O208" s="4">
        <f>IF(N207=0,O207+INPUT_CAD!$B$4,INPUT_CAD!$B$4)</f>
        <v>2</v>
      </c>
      <c r="Q208" s="4" t="str">
        <f t="shared" si="31"/>
        <v/>
      </c>
      <c r="R208" s="4" t="str">
        <f t="shared" si="32"/>
        <v/>
      </c>
      <c r="S208" s="4" t="str">
        <f t="shared" si="33"/>
        <v/>
      </c>
      <c r="T208" s="4" t="str">
        <f>IFERROR(Q208*Setup!$C$26+R208*Setup!$D$26+S208*Setup!$E$26,"")</f>
        <v/>
      </c>
      <c r="U208" s="4" t="str">
        <f t="shared" si="35"/>
        <v/>
      </c>
      <c r="V208" s="4">
        <f t="shared" si="34"/>
        <v>90</v>
      </c>
    </row>
    <row r="209" spans="1:22" hidden="1" x14ac:dyDescent="0.25">
      <c r="A209" s="4" t="str">
        <f>IF(INPUT_CAD!A209="","",INPUT_CAD!A209)</f>
        <v/>
      </c>
      <c r="B209" s="4" t="str">
        <f>IF(INPUT_CAD!B209="","",INPUT_CAD!B209)</f>
        <v/>
      </c>
      <c r="C209" s="4" t="str">
        <f>IF(INPUT_CAD!C209="","",INPUT_CAD!C209)</f>
        <v/>
      </c>
      <c r="D209" s="4" t="str">
        <f>IF(INPUT_CAD!D209="","",INPUT_CAD!D209)</f>
        <v/>
      </c>
      <c r="E209" s="4" t="str">
        <f>IF(INPUT_CAD!E209="","",INPUT_CAD!E209)</f>
        <v/>
      </c>
      <c r="F209" s="4" t="str">
        <f>IF(INPUT_CAD!F209="","",INPUT_CAD!F209)</f>
        <v/>
      </c>
      <c r="G209" s="4" t="str">
        <f>IF(INPUT_CAD!G209="","",INPUT_CAD!G209)</f>
        <v/>
      </c>
      <c r="I209" s="4" t="str">
        <f t="shared" si="27"/>
        <v/>
      </c>
      <c r="J209" s="4" t="str">
        <f t="shared" si="28"/>
        <v/>
      </c>
      <c r="K209" s="4" t="str">
        <f t="shared" si="29"/>
        <v/>
      </c>
      <c r="L209" s="4" t="str">
        <f>IFERROR(VLOOKUP(ROUND(K209,0),correction_tag!$A$7:$C$253,3),"x")</f>
        <v>x</v>
      </c>
      <c r="N209" s="4">
        <f t="shared" si="30"/>
        <v>1</v>
      </c>
      <c r="O209" s="4">
        <f>IF(N208=0,O208+INPUT_CAD!$B$4,INPUT_CAD!$B$4)</f>
        <v>2</v>
      </c>
      <c r="Q209" s="4" t="str">
        <f t="shared" si="31"/>
        <v/>
      </c>
      <c r="R209" s="4" t="str">
        <f t="shared" si="32"/>
        <v/>
      </c>
      <c r="S209" s="4" t="str">
        <f t="shared" si="33"/>
        <v/>
      </c>
      <c r="T209" s="4" t="str">
        <f>IFERROR(Q209*Setup!$C$26+R209*Setup!$D$26+S209*Setup!$E$26,"")</f>
        <v/>
      </c>
      <c r="U209" s="4" t="str">
        <f t="shared" si="35"/>
        <v/>
      </c>
      <c r="V209" s="4">
        <f t="shared" si="34"/>
        <v>90</v>
      </c>
    </row>
    <row r="210" spans="1:22" hidden="1" x14ac:dyDescent="0.25">
      <c r="A210" s="4" t="str">
        <f>IF(INPUT_CAD!A210="","",INPUT_CAD!A210)</f>
        <v/>
      </c>
      <c r="B210" s="4" t="str">
        <f>IF(INPUT_CAD!B210="","",INPUT_CAD!B210)</f>
        <v/>
      </c>
      <c r="C210" s="4" t="str">
        <f>IF(INPUT_CAD!C210="","",INPUT_CAD!C210)</f>
        <v/>
      </c>
      <c r="D210" s="4" t="str">
        <f>IF(INPUT_CAD!D210="","",INPUT_CAD!D210)</f>
        <v/>
      </c>
      <c r="E210" s="4" t="str">
        <f>IF(INPUT_CAD!E210="","",INPUT_CAD!E210)</f>
        <v/>
      </c>
      <c r="F210" s="4" t="str">
        <f>IF(INPUT_CAD!F210="","",INPUT_CAD!F210)</f>
        <v/>
      </c>
      <c r="G210" s="4" t="str">
        <f>IF(INPUT_CAD!G210="","",INPUT_CAD!G210)</f>
        <v/>
      </c>
      <c r="I210" s="4" t="str">
        <f t="shared" si="27"/>
        <v/>
      </c>
      <c r="J210" s="4" t="str">
        <f t="shared" si="28"/>
        <v/>
      </c>
      <c r="K210" s="4" t="str">
        <f t="shared" si="29"/>
        <v/>
      </c>
      <c r="L210" s="4" t="str">
        <f>IFERROR(VLOOKUP(ROUND(K210,0),correction_tag!$A$7:$C$253,3),"x")</f>
        <v>x</v>
      </c>
      <c r="N210" s="4">
        <f t="shared" si="30"/>
        <v>1</v>
      </c>
      <c r="O210" s="4">
        <f>IF(N209=0,O209+INPUT_CAD!$B$4,INPUT_CAD!$B$4)</f>
        <v>2</v>
      </c>
      <c r="Q210" s="4" t="str">
        <f t="shared" si="31"/>
        <v/>
      </c>
      <c r="R210" s="4" t="str">
        <f t="shared" si="32"/>
        <v/>
      </c>
      <c r="S210" s="4" t="str">
        <f t="shared" si="33"/>
        <v/>
      </c>
      <c r="T210" s="4" t="str">
        <f>IFERROR(Q210*Setup!$C$26+R210*Setup!$D$26+S210*Setup!$E$26,"")</f>
        <v/>
      </c>
      <c r="U210" s="4" t="str">
        <f t="shared" si="35"/>
        <v/>
      </c>
      <c r="V210" s="4">
        <f t="shared" si="34"/>
        <v>90</v>
      </c>
    </row>
    <row r="211" spans="1:22" hidden="1" x14ac:dyDescent="0.25">
      <c r="A211" s="4" t="str">
        <f>IF(INPUT_CAD!A211="","",INPUT_CAD!A211)</f>
        <v/>
      </c>
      <c r="B211" s="4" t="str">
        <f>IF(INPUT_CAD!B211="","",INPUT_CAD!B211)</f>
        <v/>
      </c>
      <c r="C211" s="4" t="str">
        <f>IF(INPUT_CAD!C211="","",INPUT_CAD!C211)</f>
        <v/>
      </c>
      <c r="D211" s="4" t="str">
        <f>IF(INPUT_CAD!D211="","",INPUT_CAD!D211)</f>
        <v/>
      </c>
      <c r="E211" s="4" t="str">
        <f>IF(INPUT_CAD!E211="","",INPUT_CAD!E211)</f>
        <v/>
      </c>
      <c r="F211" s="4" t="str">
        <f>IF(INPUT_CAD!F211="","",INPUT_CAD!F211)</f>
        <v/>
      </c>
      <c r="G211" s="4" t="str">
        <f>IF(INPUT_CAD!G211="","",INPUT_CAD!G211)</f>
        <v/>
      </c>
      <c r="I211" s="4" t="str">
        <f t="shared" si="27"/>
        <v/>
      </c>
      <c r="J211" s="4" t="str">
        <f t="shared" si="28"/>
        <v/>
      </c>
      <c r="K211" s="4" t="str">
        <f t="shared" si="29"/>
        <v/>
      </c>
      <c r="L211" s="4" t="str">
        <f>IFERROR(VLOOKUP(ROUND(K211,0),correction_tag!$A$7:$C$253,3),"x")</f>
        <v>x</v>
      </c>
      <c r="N211" s="4">
        <f t="shared" si="30"/>
        <v>1</v>
      </c>
      <c r="O211" s="4">
        <f>IF(N210=0,O210+INPUT_CAD!$B$4,INPUT_CAD!$B$4)</f>
        <v>2</v>
      </c>
      <c r="Q211" s="4" t="str">
        <f t="shared" si="31"/>
        <v/>
      </c>
      <c r="R211" s="4" t="str">
        <f t="shared" si="32"/>
        <v/>
      </c>
      <c r="S211" s="4" t="str">
        <f t="shared" si="33"/>
        <v/>
      </c>
      <c r="T211" s="4" t="str">
        <f>IFERROR(Q211*Setup!$C$26+R211*Setup!$D$26+S211*Setup!$E$26,"")</f>
        <v/>
      </c>
      <c r="U211" s="4" t="str">
        <f t="shared" si="35"/>
        <v/>
      </c>
      <c r="V211" s="4">
        <f t="shared" si="34"/>
        <v>90</v>
      </c>
    </row>
    <row r="212" spans="1:22" hidden="1" x14ac:dyDescent="0.25">
      <c r="A212" s="4" t="str">
        <f>IF(INPUT_CAD!A212="","",INPUT_CAD!A212)</f>
        <v/>
      </c>
      <c r="B212" s="4" t="str">
        <f>IF(INPUT_CAD!B212="","",INPUT_CAD!B212)</f>
        <v/>
      </c>
      <c r="C212" s="4" t="str">
        <f>IF(INPUT_CAD!C212="","",INPUT_CAD!C212)</f>
        <v/>
      </c>
      <c r="D212" s="4" t="str">
        <f>IF(INPUT_CAD!D212="","",INPUT_CAD!D212)</f>
        <v/>
      </c>
      <c r="E212" s="4" t="str">
        <f>IF(INPUT_CAD!E212="","",INPUT_CAD!E212)</f>
        <v/>
      </c>
      <c r="F212" s="4" t="str">
        <f>IF(INPUT_CAD!F212="","",INPUT_CAD!F212)</f>
        <v/>
      </c>
      <c r="G212" s="4" t="str">
        <f>IF(INPUT_CAD!G212="","",INPUT_CAD!G212)</f>
        <v/>
      </c>
      <c r="I212" s="4" t="str">
        <f t="shared" si="27"/>
        <v/>
      </c>
      <c r="J212" s="4" t="str">
        <f t="shared" si="28"/>
        <v/>
      </c>
      <c r="K212" s="4" t="str">
        <f t="shared" si="29"/>
        <v/>
      </c>
      <c r="L212" s="4" t="str">
        <f>IFERROR(VLOOKUP(ROUND(K212,0),correction_tag!$A$7:$C$253,3),"x")</f>
        <v>x</v>
      </c>
      <c r="N212" s="4">
        <f t="shared" si="30"/>
        <v>1</v>
      </c>
      <c r="O212" s="4">
        <f>IF(N211=0,O211+INPUT_CAD!$B$4,INPUT_CAD!$B$4)</f>
        <v>2</v>
      </c>
      <c r="Q212" s="4" t="str">
        <f t="shared" si="31"/>
        <v/>
      </c>
      <c r="R212" s="4" t="str">
        <f t="shared" si="32"/>
        <v/>
      </c>
      <c r="S212" s="4" t="str">
        <f t="shared" si="33"/>
        <v/>
      </c>
      <c r="T212" s="4" t="str">
        <f>IFERROR(Q212*Setup!$C$26+R212*Setup!$D$26+S212*Setup!$E$26,"")</f>
        <v/>
      </c>
      <c r="U212" s="4" t="str">
        <f t="shared" si="35"/>
        <v/>
      </c>
      <c r="V212" s="4">
        <f t="shared" si="34"/>
        <v>90</v>
      </c>
    </row>
    <row r="213" spans="1:22" hidden="1" x14ac:dyDescent="0.25">
      <c r="A213" s="4" t="str">
        <f>IF(INPUT_CAD!A213="","",INPUT_CAD!A213)</f>
        <v/>
      </c>
      <c r="B213" s="4" t="str">
        <f>IF(INPUT_CAD!B213="","",INPUT_CAD!B213)</f>
        <v/>
      </c>
      <c r="C213" s="4" t="str">
        <f>IF(INPUT_CAD!C213="","",INPUT_CAD!C213)</f>
        <v/>
      </c>
      <c r="D213" s="4" t="str">
        <f>IF(INPUT_CAD!D213="","",INPUT_CAD!D213)</f>
        <v/>
      </c>
      <c r="E213" s="4" t="str">
        <f>IF(INPUT_CAD!E213="","",INPUT_CAD!E213)</f>
        <v/>
      </c>
      <c r="F213" s="4" t="str">
        <f>IF(INPUT_CAD!F213="","",INPUT_CAD!F213)</f>
        <v/>
      </c>
      <c r="G213" s="4" t="str">
        <f>IF(INPUT_CAD!G213="","",INPUT_CAD!G213)</f>
        <v/>
      </c>
      <c r="I213" s="4" t="str">
        <f t="shared" si="27"/>
        <v/>
      </c>
      <c r="J213" s="4" t="str">
        <f t="shared" si="28"/>
        <v/>
      </c>
      <c r="K213" s="4" t="str">
        <f t="shared" si="29"/>
        <v/>
      </c>
      <c r="L213" s="4" t="str">
        <f>IFERROR(VLOOKUP(ROUND(K213,0),correction_tag!$A$7:$C$253,3),"x")</f>
        <v>x</v>
      </c>
      <c r="N213" s="4">
        <f t="shared" si="30"/>
        <v>1</v>
      </c>
      <c r="O213" s="4">
        <f>IF(N212=0,O212+INPUT_CAD!$B$4,INPUT_CAD!$B$4)</f>
        <v>2</v>
      </c>
      <c r="Q213" s="4" t="str">
        <f t="shared" si="31"/>
        <v/>
      </c>
      <c r="R213" s="4" t="str">
        <f t="shared" si="32"/>
        <v/>
      </c>
      <c r="S213" s="4" t="str">
        <f t="shared" si="33"/>
        <v/>
      </c>
      <c r="T213" s="4" t="str">
        <f>IFERROR(Q213*Setup!$C$26+R213*Setup!$D$26+S213*Setup!$E$26,"")</f>
        <v/>
      </c>
      <c r="U213" s="4" t="str">
        <f t="shared" si="35"/>
        <v/>
      </c>
      <c r="V213" s="4">
        <f t="shared" si="34"/>
        <v>90</v>
      </c>
    </row>
    <row r="214" spans="1:22" hidden="1" x14ac:dyDescent="0.25">
      <c r="A214" s="4" t="str">
        <f>IF(INPUT_CAD!A214="","",INPUT_CAD!A214)</f>
        <v/>
      </c>
      <c r="B214" s="4" t="str">
        <f>IF(INPUT_CAD!B214="","",INPUT_CAD!B214)</f>
        <v/>
      </c>
      <c r="C214" s="4" t="str">
        <f>IF(INPUT_CAD!C214="","",INPUT_CAD!C214)</f>
        <v/>
      </c>
      <c r="D214" s="4" t="str">
        <f>IF(INPUT_CAD!D214="","",INPUT_CAD!D214)</f>
        <v/>
      </c>
      <c r="E214" s="4" t="str">
        <f>IF(INPUT_CAD!E214="","",INPUT_CAD!E214)</f>
        <v/>
      </c>
      <c r="F214" s="4" t="str">
        <f>IF(INPUT_CAD!F214="","",INPUT_CAD!F214)</f>
        <v/>
      </c>
      <c r="G214" s="4" t="str">
        <f>IF(INPUT_CAD!G214="","",INPUT_CAD!G214)</f>
        <v/>
      </c>
      <c r="I214" s="4" t="str">
        <f t="shared" ref="I214:I277" si="36">IFERROR(E213*E214+F213*F214+G213*G214,"")</f>
        <v/>
      </c>
      <c r="J214" s="4" t="str">
        <f t="shared" ref="J214:J277" si="37">IFERROR(SQRT(E214^2+F214^2+G214^2),"")</f>
        <v/>
      </c>
      <c r="K214" s="4" t="str">
        <f t="shared" ref="K214:K277" si="38">IFERROR(DEGREES(ACOS(I214/(J213*J214))),"")</f>
        <v/>
      </c>
      <c r="L214" s="4" t="str">
        <f>IFERROR(VLOOKUP(ROUND(K214,0),correction_tag!$A$7:$C$253,3),"x")</f>
        <v>x</v>
      </c>
      <c r="N214" s="4">
        <f t="shared" si="30"/>
        <v>1</v>
      </c>
      <c r="O214" s="4">
        <f>IF(N213=0,O213+INPUT_CAD!$B$4,INPUT_CAD!$B$4)</f>
        <v>2</v>
      </c>
      <c r="Q214" s="4" t="str">
        <f t="shared" si="31"/>
        <v/>
      </c>
      <c r="R214" s="4" t="str">
        <f t="shared" si="32"/>
        <v/>
      </c>
      <c r="S214" s="4" t="str">
        <f t="shared" si="33"/>
        <v/>
      </c>
      <c r="T214" s="4" t="str">
        <f>IFERROR(Q214*Setup!$C$26+R214*Setup!$D$26+S214*Setup!$E$26,"")</f>
        <v/>
      </c>
      <c r="U214" s="4" t="str">
        <f t="shared" si="35"/>
        <v/>
      </c>
      <c r="V214" s="4">
        <f t="shared" si="34"/>
        <v>90</v>
      </c>
    </row>
    <row r="215" spans="1:22" hidden="1" x14ac:dyDescent="0.25">
      <c r="A215" s="4" t="str">
        <f>IF(INPUT_CAD!A215="","",INPUT_CAD!A215)</f>
        <v/>
      </c>
      <c r="B215" s="4" t="str">
        <f>IF(INPUT_CAD!B215="","",INPUT_CAD!B215)</f>
        <v/>
      </c>
      <c r="C215" s="4" t="str">
        <f>IF(INPUT_CAD!C215="","",INPUT_CAD!C215)</f>
        <v/>
      </c>
      <c r="D215" s="4" t="str">
        <f>IF(INPUT_CAD!D215="","",INPUT_CAD!D215)</f>
        <v/>
      </c>
      <c r="E215" s="4" t="str">
        <f>IF(INPUT_CAD!E215="","",INPUT_CAD!E215)</f>
        <v/>
      </c>
      <c r="F215" s="4" t="str">
        <f>IF(INPUT_CAD!F215="","",INPUT_CAD!F215)</f>
        <v/>
      </c>
      <c r="G215" s="4" t="str">
        <f>IF(INPUT_CAD!G215="","",INPUT_CAD!G215)</f>
        <v/>
      </c>
      <c r="I215" s="4" t="str">
        <f t="shared" si="36"/>
        <v/>
      </c>
      <c r="J215" s="4" t="str">
        <f t="shared" si="37"/>
        <v/>
      </c>
      <c r="K215" s="4" t="str">
        <f t="shared" si="38"/>
        <v/>
      </c>
      <c r="L215" s="4" t="str">
        <f>IFERROR(VLOOKUP(ROUND(K215,0),correction_tag!$A$7:$C$253,3),"x")</f>
        <v>x</v>
      </c>
      <c r="N215" s="4">
        <f t="shared" si="30"/>
        <v>1</v>
      </c>
      <c r="O215" s="4">
        <f>IF(N214=0,O214+INPUT_CAD!$B$4,INPUT_CAD!$B$4)</f>
        <v>2</v>
      </c>
      <c r="Q215" s="4" t="str">
        <f t="shared" si="31"/>
        <v/>
      </c>
      <c r="R215" s="4" t="str">
        <f t="shared" si="32"/>
        <v/>
      </c>
      <c r="S215" s="4" t="str">
        <f t="shared" si="33"/>
        <v/>
      </c>
      <c r="T215" s="4" t="str">
        <f>IFERROR(Q215*Setup!$C$26+R215*Setup!$D$26+S215*Setup!$E$26,"")</f>
        <v/>
      </c>
      <c r="U215" s="4" t="str">
        <f t="shared" si="35"/>
        <v/>
      </c>
      <c r="V215" s="4">
        <f t="shared" si="34"/>
        <v>90</v>
      </c>
    </row>
    <row r="216" spans="1:22" hidden="1" x14ac:dyDescent="0.25">
      <c r="A216" s="4" t="str">
        <f>IF(INPUT_CAD!A216="","",INPUT_CAD!A216)</f>
        <v/>
      </c>
      <c r="B216" s="4" t="str">
        <f>IF(INPUT_CAD!B216="","",INPUT_CAD!B216)</f>
        <v/>
      </c>
      <c r="C216" s="4" t="str">
        <f>IF(INPUT_CAD!C216="","",INPUT_CAD!C216)</f>
        <v/>
      </c>
      <c r="D216" s="4" t="str">
        <f>IF(INPUT_CAD!D216="","",INPUT_CAD!D216)</f>
        <v/>
      </c>
      <c r="E216" s="4" t="str">
        <f>IF(INPUT_CAD!E216="","",INPUT_CAD!E216)</f>
        <v/>
      </c>
      <c r="F216" s="4" t="str">
        <f>IF(INPUT_CAD!F216="","",INPUT_CAD!F216)</f>
        <v/>
      </c>
      <c r="G216" s="4" t="str">
        <f>IF(INPUT_CAD!G216="","",INPUT_CAD!G216)</f>
        <v/>
      </c>
      <c r="I216" s="4" t="str">
        <f t="shared" si="36"/>
        <v/>
      </c>
      <c r="J216" s="4" t="str">
        <f t="shared" si="37"/>
        <v/>
      </c>
      <c r="K216" s="4" t="str">
        <f t="shared" si="38"/>
        <v/>
      </c>
      <c r="L216" s="4" t="str">
        <f>IFERROR(VLOOKUP(ROUND(K216,0),correction_tag!$A$7:$C$253,3),"x")</f>
        <v>x</v>
      </c>
      <c r="N216" s="4">
        <f t="shared" si="30"/>
        <v>1</v>
      </c>
      <c r="O216" s="4">
        <f>IF(N215=0,O215+INPUT_CAD!$B$4,INPUT_CAD!$B$4)</f>
        <v>2</v>
      </c>
      <c r="Q216" s="4" t="str">
        <f t="shared" si="31"/>
        <v/>
      </c>
      <c r="R216" s="4" t="str">
        <f t="shared" si="32"/>
        <v/>
      </c>
      <c r="S216" s="4" t="str">
        <f t="shared" si="33"/>
        <v/>
      </c>
      <c r="T216" s="4" t="str">
        <f>IFERROR(Q216*Setup!$C$26+R216*Setup!$D$26+S216*Setup!$E$26,"")</f>
        <v/>
      </c>
      <c r="U216" s="4" t="str">
        <f t="shared" si="35"/>
        <v/>
      </c>
      <c r="V216" s="4">
        <f t="shared" si="34"/>
        <v>90</v>
      </c>
    </row>
    <row r="217" spans="1:22" hidden="1" x14ac:dyDescent="0.25">
      <c r="A217" s="4" t="str">
        <f>IF(INPUT_CAD!A217="","",INPUT_CAD!A217)</f>
        <v/>
      </c>
      <c r="B217" s="4" t="str">
        <f>IF(INPUT_CAD!B217="","",INPUT_CAD!B217)</f>
        <v/>
      </c>
      <c r="C217" s="4" t="str">
        <f>IF(INPUT_CAD!C217="","",INPUT_CAD!C217)</f>
        <v/>
      </c>
      <c r="D217" s="4" t="str">
        <f>IF(INPUT_CAD!D217="","",INPUT_CAD!D217)</f>
        <v/>
      </c>
      <c r="E217" s="4" t="str">
        <f>IF(INPUT_CAD!E217="","",INPUT_CAD!E217)</f>
        <v/>
      </c>
      <c r="F217" s="4" t="str">
        <f>IF(INPUT_CAD!F217="","",INPUT_CAD!F217)</f>
        <v/>
      </c>
      <c r="G217" s="4" t="str">
        <f>IF(INPUT_CAD!G217="","",INPUT_CAD!G217)</f>
        <v/>
      </c>
      <c r="I217" s="4" t="str">
        <f t="shared" si="36"/>
        <v/>
      </c>
      <c r="J217" s="4" t="str">
        <f t="shared" si="37"/>
        <v/>
      </c>
      <c r="K217" s="4" t="str">
        <f t="shared" si="38"/>
        <v/>
      </c>
      <c r="L217" s="4" t="str">
        <f>IFERROR(VLOOKUP(ROUND(K217,0),correction_tag!$A$7:$C$253,3),"x")</f>
        <v>x</v>
      </c>
      <c r="N217" s="4">
        <f t="shared" si="30"/>
        <v>1</v>
      </c>
      <c r="O217" s="4">
        <f>IF(N216=0,O216+INPUT_CAD!$B$4,INPUT_CAD!$B$4)</f>
        <v>2</v>
      </c>
      <c r="Q217" s="4" t="str">
        <f t="shared" si="31"/>
        <v/>
      </c>
      <c r="R217" s="4" t="str">
        <f t="shared" si="32"/>
        <v/>
      </c>
      <c r="S217" s="4" t="str">
        <f t="shared" si="33"/>
        <v/>
      </c>
      <c r="T217" s="4" t="str">
        <f>IFERROR(Q217*Setup!$C$26+R217*Setup!$D$26+S217*Setup!$E$26,"")</f>
        <v/>
      </c>
      <c r="U217" s="4" t="str">
        <f t="shared" si="35"/>
        <v/>
      </c>
      <c r="V217" s="4">
        <f t="shared" si="34"/>
        <v>90</v>
      </c>
    </row>
    <row r="218" spans="1:22" hidden="1" x14ac:dyDescent="0.25">
      <c r="A218" s="4" t="str">
        <f>IF(INPUT_CAD!A218="","",INPUT_CAD!A218)</f>
        <v/>
      </c>
      <c r="B218" s="4" t="str">
        <f>IF(INPUT_CAD!B218="","",INPUT_CAD!B218)</f>
        <v/>
      </c>
      <c r="C218" s="4" t="str">
        <f>IF(INPUT_CAD!C218="","",INPUT_CAD!C218)</f>
        <v/>
      </c>
      <c r="D218" s="4" t="str">
        <f>IF(INPUT_CAD!D218="","",INPUT_CAD!D218)</f>
        <v/>
      </c>
      <c r="E218" s="4" t="str">
        <f>IF(INPUT_CAD!E218="","",INPUT_CAD!E218)</f>
        <v/>
      </c>
      <c r="F218" s="4" t="str">
        <f>IF(INPUT_CAD!F218="","",INPUT_CAD!F218)</f>
        <v/>
      </c>
      <c r="G218" s="4" t="str">
        <f>IF(INPUT_CAD!G218="","",INPUT_CAD!G218)</f>
        <v/>
      </c>
      <c r="I218" s="4" t="str">
        <f t="shared" si="36"/>
        <v/>
      </c>
      <c r="J218" s="4" t="str">
        <f t="shared" si="37"/>
        <v/>
      </c>
      <c r="K218" s="4" t="str">
        <f t="shared" si="38"/>
        <v/>
      </c>
      <c r="L218" s="4" t="str">
        <f>IFERROR(VLOOKUP(ROUND(K218,0),correction_tag!$A$7:$C$253,3),"x")</f>
        <v>x</v>
      </c>
      <c r="N218" s="4">
        <f t="shared" si="30"/>
        <v>1</v>
      </c>
      <c r="O218" s="4">
        <f>IF(N217=0,O217+INPUT_CAD!$B$4,INPUT_CAD!$B$4)</f>
        <v>2</v>
      </c>
      <c r="Q218" s="4" t="str">
        <f t="shared" si="31"/>
        <v/>
      </c>
      <c r="R218" s="4" t="str">
        <f t="shared" si="32"/>
        <v/>
      </c>
      <c r="S218" s="4" t="str">
        <f t="shared" si="33"/>
        <v/>
      </c>
      <c r="T218" s="4" t="str">
        <f>IFERROR(Q218*Setup!$C$26+R218*Setup!$D$26+S218*Setup!$E$26,"")</f>
        <v/>
      </c>
      <c r="U218" s="4" t="str">
        <f t="shared" si="35"/>
        <v/>
      </c>
      <c r="V218" s="4">
        <f t="shared" si="34"/>
        <v>90</v>
      </c>
    </row>
    <row r="219" spans="1:22" hidden="1" x14ac:dyDescent="0.25">
      <c r="A219" s="4" t="str">
        <f>IF(INPUT_CAD!A219="","",INPUT_CAD!A219)</f>
        <v/>
      </c>
      <c r="B219" s="4" t="str">
        <f>IF(INPUT_CAD!B219="","",INPUT_CAD!B219)</f>
        <v/>
      </c>
      <c r="C219" s="4" t="str">
        <f>IF(INPUT_CAD!C219="","",INPUT_CAD!C219)</f>
        <v/>
      </c>
      <c r="D219" s="4" t="str">
        <f>IF(INPUT_CAD!D219="","",INPUT_CAD!D219)</f>
        <v/>
      </c>
      <c r="E219" s="4" t="str">
        <f>IF(INPUT_CAD!E219="","",INPUT_CAD!E219)</f>
        <v/>
      </c>
      <c r="F219" s="4" t="str">
        <f>IF(INPUT_CAD!F219="","",INPUT_CAD!F219)</f>
        <v/>
      </c>
      <c r="G219" s="4" t="str">
        <f>IF(INPUT_CAD!G219="","",INPUT_CAD!G219)</f>
        <v/>
      </c>
      <c r="I219" s="4" t="str">
        <f t="shared" si="36"/>
        <v/>
      </c>
      <c r="J219" s="4" t="str">
        <f t="shared" si="37"/>
        <v/>
      </c>
      <c r="K219" s="4" t="str">
        <f t="shared" si="38"/>
        <v/>
      </c>
      <c r="L219" s="4" t="str">
        <f>IFERROR(VLOOKUP(ROUND(K219,0),correction_tag!$A$7:$C$253,3),"x")</f>
        <v>x</v>
      </c>
      <c r="N219" s="4">
        <f t="shared" si="30"/>
        <v>1</v>
      </c>
      <c r="O219" s="4">
        <f>IF(N218=0,O218+INPUT_CAD!$B$4,INPUT_CAD!$B$4)</f>
        <v>2</v>
      </c>
      <c r="Q219" s="4" t="str">
        <f t="shared" si="31"/>
        <v/>
      </c>
      <c r="R219" s="4" t="str">
        <f t="shared" si="32"/>
        <v/>
      </c>
      <c r="S219" s="4" t="str">
        <f t="shared" si="33"/>
        <v/>
      </c>
      <c r="T219" s="4" t="str">
        <f>IFERROR(Q219*Setup!$C$26+R219*Setup!$D$26+S219*Setup!$E$26,"")</f>
        <v/>
      </c>
      <c r="U219" s="4" t="str">
        <f t="shared" si="35"/>
        <v/>
      </c>
      <c r="V219" s="4">
        <f t="shared" si="34"/>
        <v>90</v>
      </c>
    </row>
    <row r="220" spans="1:22" hidden="1" x14ac:dyDescent="0.25">
      <c r="A220" s="4" t="str">
        <f>IF(INPUT_CAD!A220="","",INPUT_CAD!A220)</f>
        <v/>
      </c>
      <c r="B220" s="4" t="str">
        <f>IF(INPUT_CAD!B220="","",INPUT_CAD!B220)</f>
        <v/>
      </c>
      <c r="C220" s="4" t="str">
        <f>IF(INPUT_CAD!C220="","",INPUT_CAD!C220)</f>
        <v/>
      </c>
      <c r="D220" s="4" t="str">
        <f>IF(INPUT_CAD!D220="","",INPUT_CAD!D220)</f>
        <v/>
      </c>
      <c r="E220" s="4" t="str">
        <f>IF(INPUT_CAD!E220="","",INPUT_CAD!E220)</f>
        <v/>
      </c>
      <c r="F220" s="4" t="str">
        <f>IF(INPUT_CAD!F220="","",INPUT_CAD!F220)</f>
        <v/>
      </c>
      <c r="G220" s="4" t="str">
        <f>IF(INPUT_CAD!G220="","",INPUT_CAD!G220)</f>
        <v/>
      </c>
      <c r="I220" s="4" t="str">
        <f t="shared" si="36"/>
        <v/>
      </c>
      <c r="J220" s="4" t="str">
        <f t="shared" si="37"/>
        <v/>
      </c>
      <c r="K220" s="4" t="str">
        <f t="shared" si="38"/>
        <v/>
      </c>
      <c r="L220" s="4" t="str">
        <f>IFERROR(VLOOKUP(ROUND(K220,0),correction_tag!$A$7:$C$253,3),"x")</f>
        <v>x</v>
      </c>
      <c r="N220" s="4">
        <f t="shared" si="30"/>
        <v>1</v>
      </c>
      <c r="O220" s="4">
        <f>IF(N219=0,O219+INPUT_CAD!$B$4,INPUT_CAD!$B$4)</f>
        <v>2</v>
      </c>
      <c r="Q220" s="4" t="str">
        <f t="shared" si="31"/>
        <v/>
      </c>
      <c r="R220" s="4" t="str">
        <f t="shared" si="32"/>
        <v/>
      </c>
      <c r="S220" s="4" t="str">
        <f t="shared" si="33"/>
        <v/>
      </c>
      <c r="T220" s="4" t="str">
        <f>IFERROR(Q220*Setup!$C$26+R220*Setup!$D$26+S220*Setup!$E$26,"")</f>
        <v/>
      </c>
      <c r="U220" s="4" t="str">
        <f t="shared" si="35"/>
        <v/>
      </c>
      <c r="V220" s="4">
        <f t="shared" si="34"/>
        <v>90</v>
      </c>
    </row>
    <row r="221" spans="1:22" hidden="1" x14ac:dyDescent="0.25">
      <c r="A221" s="4" t="str">
        <f>IF(INPUT_CAD!A221="","",INPUT_CAD!A221)</f>
        <v/>
      </c>
      <c r="B221" s="4" t="str">
        <f>IF(INPUT_CAD!B221="","",INPUT_CAD!B221)</f>
        <v/>
      </c>
      <c r="C221" s="4" t="str">
        <f>IF(INPUT_CAD!C221="","",INPUT_CAD!C221)</f>
        <v/>
      </c>
      <c r="D221" s="4" t="str">
        <f>IF(INPUT_CAD!D221="","",INPUT_CAD!D221)</f>
        <v/>
      </c>
      <c r="E221" s="4" t="str">
        <f>IF(INPUT_CAD!E221="","",INPUT_CAD!E221)</f>
        <v/>
      </c>
      <c r="F221" s="4" t="str">
        <f>IF(INPUT_CAD!F221="","",INPUT_CAD!F221)</f>
        <v/>
      </c>
      <c r="G221" s="4" t="str">
        <f>IF(INPUT_CAD!G221="","",INPUT_CAD!G221)</f>
        <v/>
      </c>
      <c r="I221" s="4" t="str">
        <f t="shared" si="36"/>
        <v/>
      </c>
      <c r="J221" s="4" t="str">
        <f t="shared" si="37"/>
        <v/>
      </c>
      <c r="K221" s="4" t="str">
        <f t="shared" si="38"/>
        <v/>
      </c>
      <c r="L221" s="4" t="str">
        <f>IFERROR(VLOOKUP(ROUND(K221,0),correction_tag!$A$7:$C$253,3),"x")</f>
        <v>x</v>
      </c>
      <c r="N221" s="4">
        <f t="shared" si="30"/>
        <v>1</v>
      </c>
      <c r="O221" s="4">
        <f>IF(N220=0,O220+INPUT_CAD!$B$4,INPUT_CAD!$B$4)</f>
        <v>2</v>
      </c>
      <c r="Q221" s="4" t="str">
        <f t="shared" si="31"/>
        <v/>
      </c>
      <c r="R221" s="4" t="str">
        <f t="shared" si="32"/>
        <v/>
      </c>
      <c r="S221" s="4" t="str">
        <f t="shared" si="33"/>
        <v/>
      </c>
      <c r="T221" s="4" t="str">
        <f>IFERROR(Q221*Setup!$C$26+R221*Setup!$D$26+S221*Setup!$E$26,"")</f>
        <v/>
      </c>
      <c r="U221" s="4" t="str">
        <f t="shared" si="35"/>
        <v/>
      </c>
      <c r="V221" s="4">
        <f t="shared" si="34"/>
        <v>90</v>
      </c>
    </row>
    <row r="222" spans="1:22" hidden="1" x14ac:dyDescent="0.25">
      <c r="A222" s="4" t="str">
        <f>IF(INPUT_CAD!A222="","",INPUT_CAD!A222)</f>
        <v/>
      </c>
      <c r="B222" s="4" t="str">
        <f>IF(INPUT_CAD!B222="","",INPUT_CAD!B222)</f>
        <v/>
      </c>
      <c r="C222" s="4" t="str">
        <f>IF(INPUT_CAD!C222="","",INPUT_CAD!C222)</f>
        <v/>
      </c>
      <c r="D222" s="4" t="str">
        <f>IF(INPUT_CAD!D222="","",INPUT_CAD!D222)</f>
        <v/>
      </c>
      <c r="E222" s="4" t="str">
        <f>IF(INPUT_CAD!E222="","",INPUT_CAD!E222)</f>
        <v/>
      </c>
      <c r="F222" s="4" t="str">
        <f>IF(INPUT_CAD!F222="","",INPUT_CAD!F222)</f>
        <v/>
      </c>
      <c r="G222" s="4" t="str">
        <f>IF(INPUT_CAD!G222="","",INPUT_CAD!G222)</f>
        <v/>
      </c>
      <c r="I222" s="4" t="str">
        <f t="shared" si="36"/>
        <v/>
      </c>
      <c r="J222" s="4" t="str">
        <f t="shared" si="37"/>
        <v/>
      </c>
      <c r="K222" s="4" t="str">
        <f t="shared" si="38"/>
        <v/>
      </c>
      <c r="L222" s="4" t="str">
        <f>IFERROR(VLOOKUP(ROUND(K222,0),correction_tag!$A$7:$C$253,3),"x")</f>
        <v>x</v>
      </c>
      <c r="N222" s="4">
        <f t="shared" si="30"/>
        <v>1</v>
      </c>
      <c r="O222" s="4">
        <f>IF(N221=0,O221+INPUT_CAD!$B$4,INPUT_CAD!$B$4)</f>
        <v>2</v>
      </c>
      <c r="Q222" s="4" t="str">
        <f t="shared" si="31"/>
        <v/>
      </c>
      <c r="R222" s="4" t="str">
        <f t="shared" si="32"/>
        <v/>
      </c>
      <c r="S222" s="4" t="str">
        <f t="shared" si="33"/>
        <v/>
      </c>
      <c r="T222" s="4" t="str">
        <f>IFERROR(Q222*Setup!$C$26+R222*Setup!$D$26+S222*Setup!$E$26,"")</f>
        <v/>
      </c>
      <c r="U222" s="4" t="str">
        <f t="shared" si="35"/>
        <v/>
      </c>
      <c r="V222" s="4">
        <f t="shared" si="34"/>
        <v>90</v>
      </c>
    </row>
    <row r="223" spans="1:22" hidden="1" x14ac:dyDescent="0.25">
      <c r="A223" s="4" t="str">
        <f>IF(INPUT_CAD!A223="","",INPUT_CAD!A223)</f>
        <v/>
      </c>
      <c r="B223" s="4" t="str">
        <f>IF(INPUT_CAD!B223="","",INPUT_CAD!B223)</f>
        <v/>
      </c>
      <c r="C223" s="4" t="str">
        <f>IF(INPUT_CAD!C223="","",INPUT_CAD!C223)</f>
        <v/>
      </c>
      <c r="D223" s="4" t="str">
        <f>IF(INPUT_CAD!D223="","",INPUT_CAD!D223)</f>
        <v/>
      </c>
      <c r="E223" s="4" t="str">
        <f>IF(INPUT_CAD!E223="","",INPUT_CAD!E223)</f>
        <v/>
      </c>
      <c r="F223" s="4" t="str">
        <f>IF(INPUT_CAD!F223="","",INPUT_CAD!F223)</f>
        <v/>
      </c>
      <c r="G223" s="4" t="str">
        <f>IF(INPUT_CAD!G223="","",INPUT_CAD!G223)</f>
        <v/>
      </c>
      <c r="I223" s="4" t="str">
        <f t="shared" si="36"/>
        <v/>
      </c>
      <c r="J223" s="4" t="str">
        <f t="shared" si="37"/>
        <v/>
      </c>
      <c r="K223" s="4" t="str">
        <f t="shared" si="38"/>
        <v/>
      </c>
      <c r="L223" s="4" t="str">
        <f>IFERROR(VLOOKUP(ROUND(K223,0),correction_tag!$A$7:$C$253,3),"x")</f>
        <v>x</v>
      </c>
      <c r="N223" s="4">
        <f t="shared" si="30"/>
        <v>1</v>
      </c>
      <c r="O223" s="4">
        <f>IF(N222=0,O222+INPUT_CAD!$B$4,INPUT_CAD!$B$4)</f>
        <v>2</v>
      </c>
      <c r="Q223" s="4" t="str">
        <f t="shared" si="31"/>
        <v/>
      </c>
      <c r="R223" s="4" t="str">
        <f t="shared" si="32"/>
        <v/>
      </c>
      <c r="S223" s="4" t="str">
        <f t="shared" si="33"/>
        <v/>
      </c>
      <c r="T223" s="4" t="str">
        <f>IFERROR(Q223*Setup!$C$26+R223*Setup!$D$26+S223*Setup!$E$26,"")</f>
        <v/>
      </c>
      <c r="U223" s="4" t="str">
        <f t="shared" si="35"/>
        <v/>
      </c>
      <c r="V223" s="4">
        <f t="shared" si="34"/>
        <v>90</v>
      </c>
    </row>
    <row r="224" spans="1:22" hidden="1" x14ac:dyDescent="0.25">
      <c r="A224" s="4" t="str">
        <f>IF(INPUT_CAD!A224="","",INPUT_CAD!A224)</f>
        <v/>
      </c>
      <c r="B224" s="4" t="str">
        <f>IF(INPUT_CAD!B224="","",INPUT_CAD!B224)</f>
        <v/>
      </c>
      <c r="C224" s="4" t="str">
        <f>IF(INPUT_CAD!C224="","",INPUT_CAD!C224)</f>
        <v/>
      </c>
      <c r="D224" s="4" t="str">
        <f>IF(INPUT_CAD!D224="","",INPUT_CAD!D224)</f>
        <v/>
      </c>
      <c r="E224" s="4" t="str">
        <f>IF(INPUT_CAD!E224="","",INPUT_CAD!E224)</f>
        <v/>
      </c>
      <c r="F224" s="4" t="str">
        <f>IF(INPUT_CAD!F224="","",INPUT_CAD!F224)</f>
        <v/>
      </c>
      <c r="G224" s="4" t="str">
        <f>IF(INPUT_CAD!G224="","",INPUT_CAD!G224)</f>
        <v/>
      </c>
      <c r="I224" s="4" t="str">
        <f t="shared" si="36"/>
        <v/>
      </c>
      <c r="J224" s="4" t="str">
        <f t="shared" si="37"/>
        <v/>
      </c>
      <c r="K224" s="4" t="str">
        <f t="shared" si="38"/>
        <v/>
      </c>
      <c r="L224" s="4" t="str">
        <f>IFERROR(VLOOKUP(ROUND(K224,0),correction_tag!$A$7:$C$253,3),"x")</f>
        <v>x</v>
      </c>
      <c r="N224" s="4">
        <f t="shared" si="30"/>
        <v>1</v>
      </c>
      <c r="O224" s="4">
        <f>IF(N223=0,O223+INPUT_CAD!$B$4,INPUT_CAD!$B$4)</f>
        <v>2</v>
      </c>
      <c r="Q224" s="4" t="str">
        <f t="shared" si="31"/>
        <v/>
      </c>
      <c r="R224" s="4" t="str">
        <f t="shared" si="32"/>
        <v/>
      </c>
      <c r="S224" s="4" t="str">
        <f t="shared" si="33"/>
        <v/>
      </c>
      <c r="T224" s="4" t="str">
        <f>IFERROR(Q224*Setup!$C$26+R224*Setup!$D$26+S224*Setup!$E$26,"")</f>
        <v/>
      </c>
      <c r="U224" s="4" t="str">
        <f t="shared" si="35"/>
        <v/>
      </c>
      <c r="V224" s="4">
        <f t="shared" si="34"/>
        <v>90</v>
      </c>
    </row>
    <row r="225" spans="1:22" hidden="1" x14ac:dyDescent="0.25">
      <c r="A225" s="4" t="str">
        <f>IF(INPUT_CAD!A225="","",INPUT_CAD!A225)</f>
        <v/>
      </c>
      <c r="B225" s="4" t="str">
        <f>IF(INPUT_CAD!B225="","",INPUT_CAD!B225)</f>
        <v/>
      </c>
      <c r="C225" s="4" t="str">
        <f>IF(INPUT_CAD!C225="","",INPUT_CAD!C225)</f>
        <v/>
      </c>
      <c r="D225" s="4" t="str">
        <f>IF(INPUT_CAD!D225="","",INPUT_CAD!D225)</f>
        <v/>
      </c>
      <c r="E225" s="4" t="str">
        <f>IF(INPUT_CAD!E225="","",INPUT_CAD!E225)</f>
        <v/>
      </c>
      <c r="F225" s="4" t="str">
        <f>IF(INPUT_CAD!F225="","",INPUT_CAD!F225)</f>
        <v/>
      </c>
      <c r="G225" s="4" t="str">
        <f>IF(INPUT_CAD!G225="","",INPUT_CAD!G225)</f>
        <v/>
      </c>
      <c r="I225" s="4" t="str">
        <f t="shared" si="36"/>
        <v/>
      </c>
      <c r="J225" s="4" t="str">
        <f t="shared" si="37"/>
        <v/>
      </c>
      <c r="K225" s="4" t="str">
        <f t="shared" si="38"/>
        <v/>
      </c>
      <c r="L225" s="4" t="str">
        <f>IFERROR(VLOOKUP(ROUND(K225,0),correction_tag!$A$7:$C$253,3),"x")</f>
        <v>x</v>
      </c>
      <c r="N225" s="4">
        <f t="shared" si="30"/>
        <v>1</v>
      </c>
      <c r="O225" s="4">
        <f>IF(N224=0,O224+INPUT_CAD!$B$4,INPUT_CAD!$B$4)</f>
        <v>2</v>
      </c>
      <c r="Q225" s="4" t="str">
        <f t="shared" si="31"/>
        <v/>
      </c>
      <c r="R225" s="4" t="str">
        <f t="shared" si="32"/>
        <v/>
      </c>
      <c r="S225" s="4" t="str">
        <f t="shared" si="33"/>
        <v/>
      </c>
      <c r="T225" s="4" t="str">
        <f>IFERROR(Q225*Setup!$C$26+R225*Setup!$D$26+S225*Setup!$E$26,"")</f>
        <v/>
      </c>
      <c r="U225" s="4" t="str">
        <f t="shared" si="35"/>
        <v/>
      </c>
      <c r="V225" s="4">
        <f t="shared" si="34"/>
        <v>90</v>
      </c>
    </row>
    <row r="226" spans="1:22" hidden="1" x14ac:dyDescent="0.25">
      <c r="A226" s="4" t="str">
        <f>IF(INPUT_CAD!A226="","",INPUT_CAD!A226)</f>
        <v/>
      </c>
      <c r="B226" s="4" t="str">
        <f>IF(INPUT_CAD!B226="","",INPUT_CAD!B226)</f>
        <v/>
      </c>
      <c r="C226" s="4" t="str">
        <f>IF(INPUT_CAD!C226="","",INPUT_CAD!C226)</f>
        <v/>
      </c>
      <c r="D226" s="4" t="str">
        <f>IF(INPUT_CAD!D226="","",INPUT_CAD!D226)</f>
        <v/>
      </c>
      <c r="E226" s="4" t="str">
        <f>IF(INPUT_CAD!E226="","",INPUT_CAD!E226)</f>
        <v/>
      </c>
      <c r="F226" s="4" t="str">
        <f>IF(INPUT_CAD!F226="","",INPUT_CAD!F226)</f>
        <v/>
      </c>
      <c r="G226" s="4" t="str">
        <f>IF(INPUT_CAD!G226="","",INPUT_CAD!G226)</f>
        <v/>
      </c>
      <c r="I226" s="4" t="str">
        <f t="shared" si="36"/>
        <v/>
      </c>
      <c r="J226" s="4" t="str">
        <f t="shared" si="37"/>
        <v/>
      </c>
      <c r="K226" s="4" t="str">
        <f t="shared" si="38"/>
        <v/>
      </c>
      <c r="L226" s="4" t="str">
        <f>IFERROR(VLOOKUP(ROUND(K226,0),correction_tag!$A$7:$C$253,3),"x")</f>
        <v>x</v>
      </c>
      <c r="N226" s="4">
        <f t="shared" si="30"/>
        <v>1</v>
      </c>
      <c r="O226" s="4">
        <f>IF(N225=0,O225+INPUT_CAD!$B$4,INPUT_CAD!$B$4)</f>
        <v>2</v>
      </c>
      <c r="Q226" s="4" t="str">
        <f t="shared" si="31"/>
        <v/>
      </c>
      <c r="R226" s="4" t="str">
        <f t="shared" si="32"/>
        <v/>
      </c>
      <c r="S226" s="4" t="str">
        <f t="shared" si="33"/>
        <v/>
      </c>
      <c r="T226" s="4" t="str">
        <f>IFERROR(Q226*Setup!$C$26+R226*Setup!$D$26+S226*Setup!$E$26,"")</f>
        <v/>
      </c>
      <c r="U226" s="4" t="str">
        <f t="shared" si="35"/>
        <v/>
      </c>
      <c r="V226" s="4">
        <f t="shared" si="34"/>
        <v>90</v>
      </c>
    </row>
    <row r="227" spans="1:22" hidden="1" x14ac:dyDescent="0.25">
      <c r="A227" s="4" t="str">
        <f>IF(INPUT_CAD!A227="","",INPUT_CAD!A227)</f>
        <v/>
      </c>
      <c r="B227" s="4" t="str">
        <f>IF(INPUT_CAD!B227="","",INPUT_CAD!B227)</f>
        <v/>
      </c>
      <c r="C227" s="4" t="str">
        <f>IF(INPUT_CAD!C227="","",INPUT_CAD!C227)</f>
        <v/>
      </c>
      <c r="D227" s="4" t="str">
        <f>IF(INPUT_CAD!D227="","",INPUT_CAD!D227)</f>
        <v/>
      </c>
      <c r="E227" s="4" t="str">
        <f>IF(INPUT_CAD!E227="","",INPUT_CAD!E227)</f>
        <v/>
      </c>
      <c r="F227" s="4" t="str">
        <f>IF(INPUT_CAD!F227="","",INPUT_CAD!F227)</f>
        <v/>
      </c>
      <c r="G227" s="4" t="str">
        <f>IF(INPUT_CAD!G227="","",INPUT_CAD!G227)</f>
        <v/>
      </c>
      <c r="I227" s="4" t="str">
        <f t="shared" si="36"/>
        <v/>
      </c>
      <c r="J227" s="4" t="str">
        <f t="shared" si="37"/>
        <v/>
      </c>
      <c r="K227" s="4" t="str">
        <f t="shared" si="38"/>
        <v/>
      </c>
      <c r="L227" s="4" t="str">
        <f>IFERROR(VLOOKUP(ROUND(K227,0),correction_tag!$A$7:$C$253,3),"x")</f>
        <v>x</v>
      </c>
      <c r="N227" s="4">
        <f t="shared" si="30"/>
        <v>1</v>
      </c>
      <c r="O227" s="4">
        <f>IF(N226=0,O226+INPUT_CAD!$B$4,INPUT_CAD!$B$4)</f>
        <v>2</v>
      </c>
      <c r="Q227" s="4" t="str">
        <f t="shared" si="31"/>
        <v/>
      </c>
      <c r="R227" s="4" t="str">
        <f t="shared" si="32"/>
        <v/>
      </c>
      <c r="S227" s="4" t="str">
        <f t="shared" si="33"/>
        <v/>
      </c>
      <c r="T227" s="4" t="str">
        <f>IFERROR(Q227*Setup!$C$26+R227*Setup!$D$26+S227*Setup!$E$26,"")</f>
        <v/>
      </c>
      <c r="U227" s="4" t="str">
        <f t="shared" si="35"/>
        <v/>
      </c>
      <c r="V227" s="4">
        <f t="shared" si="34"/>
        <v>90</v>
      </c>
    </row>
    <row r="228" spans="1:22" hidden="1" x14ac:dyDescent="0.25">
      <c r="A228" s="4" t="str">
        <f>IF(INPUT_CAD!A228="","",INPUT_CAD!A228)</f>
        <v/>
      </c>
      <c r="B228" s="4" t="str">
        <f>IF(INPUT_CAD!B228="","",INPUT_CAD!B228)</f>
        <v/>
      </c>
      <c r="C228" s="4" t="str">
        <f>IF(INPUT_CAD!C228="","",INPUT_CAD!C228)</f>
        <v/>
      </c>
      <c r="D228" s="4" t="str">
        <f>IF(INPUT_CAD!D228="","",INPUT_CAD!D228)</f>
        <v/>
      </c>
      <c r="E228" s="4" t="str">
        <f>IF(INPUT_CAD!E228="","",INPUT_CAD!E228)</f>
        <v/>
      </c>
      <c r="F228" s="4" t="str">
        <f>IF(INPUT_CAD!F228="","",INPUT_CAD!F228)</f>
        <v/>
      </c>
      <c r="G228" s="4" t="str">
        <f>IF(INPUT_CAD!G228="","",INPUT_CAD!G228)</f>
        <v/>
      </c>
      <c r="I228" s="4" t="str">
        <f t="shared" si="36"/>
        <v/>
      </c>
      <c r="J228" s="4" t="str">
        <f t="shared" si="37"/>
        <v/>
      </c>
      <c r="K228" s="4" t="str">
        <f t="shared" si="38"/>
        <v/>
      </c>
      <c r="L228" s="4" t="str">
        <f>IFERROR(VLOOKUP(ROUND(K228,0),correction_tag!$A$7:$C$253,3),"x")</f>
        <v>x</v>
      </c>
      <c r="N228" s="4">
        <f t="shared" si="30"/>
        <v>1</v>
      </c>
      <c r="O228" s="4">
        <f>IF(N227=0,O227+INPUT_CAD!$B$4,INPUT_CAD!$B$4)</f>
        <v>2</v>
      </c>
      <c r="Q228" s="4" t="str">
        <f t="shared" si="31"/>
        <v/>
      </c>
      <c r="R228" s="4" t="str">
        <f t="shared" si="32"/>
        <v/>
      </c>
      <c r="S228" s="4" t="str">
        <f t="shared" si="33"/>
        <v/>
      </c>
      <c r="T228" s="4" t="str">
        <f>IFERROR(Q228*Setup!$C$26+R228*Setup!$D$26+S228*Setup!$E$26,"")</f>
        <v/>
      </c>
      <c r="U228" s="4" t="str">
        <f t="shared" si="35"/>
        <v/>
      </c>
      <c r="V228" s="4">
        <f t="shared" si="34"/>
        <v>90</v>
      </c>
    </row>
    <row r="229" spans="1:22" hidden="1" x14ac:dyDescent="0.25">
      <c r="A229" s="4" t="str">
        <f>IF(INPUT_CAD!A229="","",INPUT_CAD!A229)</f>
        <v/>
      </c>
      <c r="B229" s="4" t="str">
        <f>IF(INPUT_CAD!B229="","",INPUT_CAD!B229)</f>
        <v/>
      </c>
      <c r="C229" s="4" t="str">
        <f>IF(INPUT_CAD!C229="","",INPUT_CAD!C229)</f>
        <v/>
      </c>
      <c r="D229" s="4" t="str">
        <f>IF(INPUT_CAD!D229="","",INPUT_CAD!D229)</f>
        <v/>
      </c>
      <c r="E229" s="4" t="str">
        <f>IF(INPUT_CAD!E229="","",INPUT_CAD!E229)</f>
        <v/>
      </c>
      <c r="F229" s="4" t="str">
        <f>IF(INPUT_CAD!F229="","",INPUT_CAD!F229)</f>
        <v/>
      </c>
      <c r="G229" s="4" t="str">
        <f>IF(INPUT_CAD!G229="","",INPUT_CAD!G229)</f>
        <v/>
      </c>
      <c r="I229" s="4" t="str">
        <f t="shared" si="36"/>
        <v/>
      </c>
      <c r="J229" s="4" t="str">
        <f t="shared" si="37"/>
        <v/>
      </c>
      <c r="K229" s="4" t="str">
        <f t="shared" si="38"/>
        <v/>
      </c>
      <c r="L229" s="4" t="str">
        <f>IFERROR(VLOOKUP(ROUND(K229,0),correction_tag!$A$7:$C$253,3),"x")</f>
        <v>x</v>
      </c>
      <c r="N229" s="4">
        <f t="shared" si="30"/>
        <v>1</v>
      </c>
      <c r="O229" s="4">
        <f>IF(N228=0,O228+INPUT_CAD!$B$4,INPUT_CAD!$B$4)</f>
        <v>2</v>
      </c>
      <c r="Q229" s="4" t="str">
        <f t="shared" si="31"/>
        <v/>
      </c>
      <c r="R229" s="4" t="str">
        <f t="shared" si="32"/>
        <v/>
      </c>
      <c r="S229" s="4" t="str">
        <f t="shared" si="33"/>
        <v/>
      </c>
      <c r="T229" s="4" t="str">
        <f>IFERROR(Q229*Setup!$C$26+R229*Setup!$D$26+S229*Setup!$E$26,"")</f>
        <v/>
      </c>
      <c r="U229" s="4" t="str">
        <f t="shared" si="35"/>
        <v/>
      </c>
      <c r="V229" s="4">
        <f t="shared" si="34"/>
        <v>90</v>
      </c>
    </row>
    <row r="230" spans="1:22" hidden="1" x14ac:dyDescent="0.25">
      <c r="A230" s="4" t="str">
        <f>IF(INPUT_CAD!A230="","",INPUT_CAD!A230)</f>
        <v/>
      </c>
      <c r="B230" s="4" t="str">
        <f>IF(INPUT_CAD!B230="","",INPUT_CAD!B230)</f>
        <v/>
      </c>
      <c r="C230" s="4" t="str">
        <f>IF(INPUT_CAD!C230="","",INPUT_CAD!C230)</f>
        <v/>
      </c>
      <c r="D230" s="4" t="str">
        <f>IF(INPUT_CAD!D230="","",INPUT_CAD!D230)</f>
        <v/>
      </c>
      <c r="E230" s="4" t="str">
        <f>IF(INPUT_CAD!E230="","",INPUT_CAD!E230)</f>
        <v/>
      </c>
      <c r="F230" s="4" t="str">
        <f>IF(INPUT_CAD!F230="","",INPUT_CAD!F230)</f>
        <v/>
      </c>
      <c r="G230" s="4" t="str">
        <f>IF(INPUT_CAD!G230="","",INPUT_CAD!G230)</f>
        <v/>
      </c>
      <c r="I230" s="4" t="str">
        <f t="shared" si="36"/>
        <v/>
      </c>
      <c r="J230" s="4" t="str">
        <f t="shared" si="37"/>
        <v/>
      </c>
      <c r="K230" s="4" t="str">
        <f t="shared" si="38"/>
        <v/>
      </c>
      <c r="L230" s="4" t="str">
        <f>IFERROR(VLOOKUP(ROUND(K230,0),correction_tag!$A$7:$C$253,3),"x")</f>
        <v>x</v>
      </c>
      <c r="N230" s="4">
        <f t="shared" si="30"/>
        <v>1</v>
      </c>
      <c r="O230" s="4">
        <f>IF(N229=0,O229+INPUT_CAD!$B$4,INPUT_CAD!$B$4)</f>
        <v>2</v>
      </c>
      <c r="Q230" s="4" t="str">
        <f t="shared" si="31"/>
        <v/>
      </c>
      <c r="R230" s="4" t="str">
        <f t="shared" si="32"/>
        <v/>
      </c>
      <c r="S230" s="4" t="str">
        <f t="shared" si="33"/>
        <v/>
      </c>
      <c r="T230" s="4" t="str">
        <f>IFERROR(Q230*Setup!$C$26+R230*Setup!$D$26+S230*Setup!$E$26,"")</f>
        <v/>
      </c>
      <c r="U230" s="4" t="str">
        <f t="shared" si="35"/>
        <v/>
      </c>
      <c r="V230" s="4">
        <f t="shared" si="34"/>
        <v>90</v>
      </c>
    </row>
    <row r="231" spans="1:22" hidden="1" x14ac:dyDescent="0.25">
      <c r="A231" s="4" t="str">
        <f>IF(INPUT_CAD!A231="","",INPUT_CAD!A231)</f>
        <v/>
      </c>
      <c r="B231" s="4" t="str">
        <f>IF(INPUT_CAD!B231="","",INPUT_CAD!B231)</f>
        <v/>
      </c>
      <c r="C231" s="4" t="str">
        <f>IF(INPUT_CAD!C231="","",INPUT_CAD!C231)</f>
        <v/>
      </c>
      <c r="D231" s="4" t="str">
        <f>IF(INPUT_CAD!D231="","",INPUT_CAD!D231)</f>
        <v/>
      </c>
      <c r="E231" s="4" t="str">
        <f>IF(INPUT_CAD!E231="","",INPUT_CAD!E231)</f>
        <v/>
      </c>
      <c r="F231" s="4" t="str">
        <f>IF(INPUT_CAD!F231="","",INPUT_CAD!F231)</f>
        <v/>
      </c>
      <c r="G231" s="4" t="str">
        <f>IF(INPUT_CAD!G231="","",INPUT_CAD!G231)</f>
        <v/>
      </c>
      <c r="I231" s="4" t="str">
        <f t="shared" si="36"/>
        <v/>
      </c>
      <c r="J231" s="4" t="str">
        <f t="shared" si="37"/>
        <v/>
      </c>
      <c r="K231" s="4" t="str">
        <f t="shared" si="38"/>
        <v/>
      </c>
      <c r="L231" s="4" t="str">
        <f>IFERROR(VLOOKUP(ROUND(K231,0),correction_tag!$A$7:$C$253,3),"x")</f>
        <v>x</v>
      </c>
      <c r="N231" s="4">
        <f t="shared" si="30"/>
        <v>1</v>
      </c>
      <c r="O231" s="4">
        <f>IF(N230=0,O230+INPUT_CAD!$B$4,INPUT_CAD!$B$4)</f>
        <v>2</v>
      </c>
      <c r="Q231" s="4" t="str">
        <f t="shared" si="31"/>
        <v/>
      </c>
      <c r="R231" s="4" t="str">
        <f t="shared" si="32"/>
        <v/>
      </c>
      <c r="S231" s="4" t="str">
        <f t="shared" si="33"/>
        <v/>
      </c>
      <c r="T231" s="4" t="str">
        <f>IFERROR(Q231*Setup!$C$26+R231*Setup!$D$26+S231*Setup!$E$26,"")</f>
        <v/>
      </c>
      <c r="U231" s="4" t="str">
        <f t="shared" si="35"/>
        <v/>
      </c>
      <c r="V231" s="4">
        <f t="shared" si="34"/>
        <v>90</v>
      </c>
    </row>
    <row r="232" spans="1:22" hidden="1" x14ac:dyDescent="0.25">
      <c r="A232" s="4" t="str">
        <f>IF(INPUT_CAD!A232="","",INPUT_CAD!A232)</f>
        <v/>
      </c>
      <c r="B232" s="4" t="str">
        <f>IF(INPUT_CAD!B232="","",INPUT_CAD!B232)</f>
        <v/>
      </c>
      <c r="C232" s="4" t="str">
        <f>IF(INPUT_CAD!C232="","",INPUT_CAD!C232)</f>
        <v/>
      </c>
      <c r="D232" s="4" t="str">
        <f>IF(INPUT_CAD!D232="","",INPUT_CAD!D232)</f>
        <v/>
      </c>
      <c r="E232" s="4" t="str">
        <f>IF(INPUT_CAD!E232="","",INPUT_CAD!E232)</f>
        <v/>
      </c>
      <c r="F232" s="4" t="str">
        <f>IF(INPUT_CAD!F232="","",INPUT_CAD!F232)</f>
        <v/>
      </c>
      <c r="G232" s="4" t="str">
        <f>IF(INPUT_CAD!G232="","",INPUT_CAD!G232)</f>
        <v/>
      </c>
      <c r="I232" s="4" t="str">
        <f t="shared" si="36"/>
        <v/>
      </c>
      <c r="J232" s="4" t="str">
        <f t="shared" si="37"/>
        <v/>
      </c>
      <c r="K232" s="4" t="str">
        <f t="shared" si="38"/>
        <v/>
      </c>
      <c r="L232" s="4" t="str">
        <f>IFERROR(VLOOKUP(ROUND(K232,0),correction_tag!$A$7:$C$253,3),"x")</f>
        <v>x</v>
      </c>
      <c r="N232" s="4">
        <f t="shared" si="30"/>
        <v>1</v>
      </c>
      <c r="O232" s="4">
        <f>IF(N231=0,O231+INPUT_CAD!$B$4,INPUT_CAD!$B$4)</f>
        <v>2</v>
      </c>
      <c r="Q232" s="4" t="str">
        <f t="shared" si="31"/>
        <v/>
      </c>
      <c r="R232" s="4" t="str">
        <f t="shared" si="32"/>
        <v/>
      </c>
      <c r="S232" s="4" t="str">
        <f t="shared" si="33"/>
        <v/>
      </c>
      <c r="T232" s="4" t="str">
        <f>IFERROR(Q232*Setup!$C$26+R232*Setup!$D$26+S232*Setup!$E$26,"")</f>
        <v/>
      </c>
      <c r="U232" s="4" t="str">
        <f t="shared" si="35"/>
        <v/>
      </c>
      <c r="V232" s="4">
        <f t="shared" si="34"/>
        <v>90</v>
      </c>
    </row>
    <row r="233" spans="1:22" hidden="1" x14ac:dyDescent="0.25">
      <c r="A233" s="4" t="str">
        <f>IF(INPUT_CAD!A233="","",INPUT_CAD!A233)</f>
        <v/>
      </c>
      <c r="B233" s="4" t="str">
        <f>IF(INPUT_CAD!B233="","",INPUT_CAD!B233)</f>
        <v/>
      </c>
      <c r="C233" s="4" t="str">
        <f>IF(INPUT_CAD!C233="","",INPUT_CAD!C233)</f>
        <v/>
      </c>
      <c r="D233" s="4" t="str">
        <f>IF(INPUT_CAD!D233="","",INPUT_CAD!D233)</f>
        <v/>
      </c>
      <c r="E233" s="4" t="str">
        <f>IF(INPUT_CAD!E233="","",INPUT_CAD!E233)</f>
        <v/>
      </c>
      <c r="F233" s="4" t="str">
        <f>IF(INPUT_CAD!F233="","",INPUT_CAD!F233)</f>
        <v/>
      </c>
      <c r="G233" s="4" t="str">
        <f>IF(INPUT_CAD!G233="","",INPUT_CAD!G233)</f>
        <v/>
      </c>
      <c r="I233" s="4" t="str">
        <f t="shared" si="36"/>
        <v/>
      </c>
      <c r="J233" s="4" t="str">
        <f t="shared" si="37"/>
        <v/>
      </c>
      <c r="K233" s="4" t="str">
        <f t="shared" si="38"/>
        <v/>
      </c>
      <c r="L233" s="4" t="str">
        <f>IFERROR(VLOOKUP(ROUND(K233,0),correction_tag!$A$7:$C$253,3),"x")</f>
        <v>x</v>
      </c>
      <c r="N233" s="4">
        <f t="shared" si="30"/>
        <v>1</v>
      </c>
      <c r="O233" s="4">
        <f>IF(N232=0,O232+INPUT_CAD!$B$4,INPUT_CAD!$B$4)</f>
        <v>2</v>
      </c>
      <c r="Q233" s="4" t="str">
        <f t="shared" si="31"/>
        <v/>
      </c>
      <c r="R233" s="4" t="str">
        <f t="shared" si="32"/>
        <v/>
      </c>
      <c r="S233" s="4" t="str">
        <f t="shared" si="33"/>
        <v/>
      </c>
      <c r="T233" s="4" t="str">
        <f>IFERROR(Q233*Setup!$C$26+R233*Setup!$D$26+S233*Setup!$E$26,"")</f>
        <v/>
      </c>
      <c r="U233" s="4" t="str">
        <f t="shared" si="35"/>
        <v/>
      </c>
      <c r="V233" s="4">
        <f t="shared" si="34"/>
        <v>90</v>
      </c>
    </row>
    <row r="234" spans="1:22" hidden="1" x14ac:dyDescent="0.25">
      <c r="A234" s="4" t="str">
        <f>IF(INPUT_CAD!A234="","",INPUT_CAD!A234)</f>
        <v/>
      </c>
      <c r="B234" s="4" t="str">
        <f>IF(INPUT_CAD!B234="","",INPUT_CAD!B234)</f>
        <v/>
      </c>
      <c r="C234" s="4" t="str">
        <f>IF(INPUT_CAD!C234="","",INPUT_CAD!C234)</f>
        <v/>
      </c>
      <c r="D234" s="4" t="str">
        <f>IF(INPUT_CAD!D234="","",INPUT_CAD!D234)</f>
        <v/>
      </c>
      <c r="E234" s="4" t="str">
        <f>IF(INPUT_CAD!E234="","",INPUT_CAD!E234)</f>
        <v/>
      </c>
      <c r="F234" s="4" t="str">
        <f>IF(INPUT_CAD!F234="","",INPUT_CAD!F234)</f>
        <v/>
      </c>
      <c r="G234" s="4" t="str">
        <f>IF(INPUT_CAD!G234="","",INPUT_CAD!G234)</f>
        <v/>
      </c>
      <c r="I234" s="4" t="str">
        <f t="shared" si="36"/>
        <v/>
      </c>
      <c r="J234" s="4" t="str">
        <f t="shared" si="37"/>
        <v/>
      </c>
      <c r="K234" s="4" t="str">
        <f t="shared" si="38"/>
        <v/>
      </c>
      <c r="L234" s="4" t="str">
        <f>IFERROR(VLOOKUP(ROUND(K234,0),correction_tag!$A$7:$C$253,3),"x")</f>
        <v>x</v>
      </c>
      <c r="N234" s="4">
        <f t="shared" si="30"/>
        <v>1</v>
      </c>
      <c r="O234" s="4">
        <f>IF(N233=0,O233+INPUT_CAD!$B$4,INPUT_CAD!$B$4)</f>
        <v>2</v>
      </c>
      <c r="Q234" s="4" t="str">
        <f t="shared" si="31"/>
        <v/>
      </c>
      <c r="R234" s="4" t="str">
        <f t="shared" si="32"/>
        <v/>
      </c>
      <c r="S234" s="4" t="str">
        <f t="shared" si="33"/>
        <v/>
      </c>
      <c r="T234" s="4" t="str">
        <f>IFERROR(Q234*Setup!$C$26+R234*Setup!$D$26+S234*Setup!$E$26,"")</f>
        <v/>
      </c>
      <c r="U234" s="4" t="str">
        <f t="shared" si="35"/>
        <v/>
      </c>
      <c r="V234" s="4">
        <f t="shared" si="34"/>
        <v>90</v>
      </c>
    </row>
    <row r="235" spans="1:22" hidden="1" x14ac:dyDescent="0.25">
      <c r="A235" s="4" t="str">
        <f>IF(INPUT_CAD!A235="","",INPUT_CAD!A235)</f>
        <v/>
      </c>
      <c r="B235" s="4" t="str">
        <f>IF(INPUT_CAD!B235="","",INPUT_CAD!B235)</f>
        <v/>
      </c>
      <c r="C235" s="4" t="str">
        <f>IF(INPUT_CAD!C235="","",INPUT_CAD!C235)</f>
        <v/>
      </c>
      <c r="D235" s="4" t="str">
        <f>IF(INPUT_CAD!D235="","",INPUT_CAD!D235)</f>
        <v/>
      </c>
      <c r="E235" s="4" t="str">
        <f>IF(INPUT_CAD!E235="","",INPUT_CAD!E235)</f>
        <v/>
      </c>
      <c r="F235" s="4" t="str">
        <f>IF(INPUT_CAD!F235="","",INPUT_CAD!F235)</f>
        <v/>
      </c>
      <c r="G235" s="4" t="str">
        <f>IF(INPUT_CAD!G235="","",INPUT_CAD!G235)</f>
        <v/>
      </c>
      <c r="I235" s="4" t="str">
        <f t="shared" si="36"/>
        <v/>
      </c>
      <c r="J235" s="4" t="str">
        <f t="shared" si="37"/>
        <v/>
      </c>
      <c r="K235" s="4" t="str">
        <f t="shared" si="38"/>
        <v/>
      </c>
      <c r="L235" s="4" t="str">
        <f>IFERROR(VLOOKUP(ROUND(K235,0),correction_tag!$A$7:$C$253,3),"x")</f>
        <v>x</v>
      </c>
      <c r="N235" s="4">
        <f t="shared" si="30"/>
        <v>1</v>
      </c>
      <c r="O235" s="4">
        <f>IF(N234=0,O234+INPUT_CAD!$B$4,INPUT_CAD!$B$4)</f>
        <v>2</v>
      </c>
      <c r="Q235" s="4" t="str">
        <f t="shared" si="31"/>
        <v/>
      </c>
      <c r="R235" s="4" t="str">
        <f t="shared" si="32"/>
        <v/>
      </c>
      <c r="S235" s="4" t="str">
        <f t="shared" si="33"/>
        <v/>
      </c>
      <c r="T235" s="4" t="str">
        <f>IFERROR(Q235*Setup!$C$26+R235*Setup!$D$26+S235*Setup!$E$26,"")</f>
        <v/>
      </c>
      <c r="U235" s="4" t="str">
        <f t="shared" si="35"/>
        <v/>
      </c>
      <c r="V235" s="4">
        <f t="shared" si="34"/>
        <v>90</v>
      </c>
    </row>
    <row r="236" spans="1:22" hidden="1" x14ac:dyDescent="0.25">
      <c r="A236" s="4" t="str">
        <f>IF(INPUT_CAD!A236="","",INPUT_CAD!A236)</f>
        <v/>
      </c>
      <c r="B236" s="4" t="str">
        <f>IF(INPUT_CAD!B236="","",INPUT_CAD!B236)</f>
        <v/>
      </c>
      <c r="C236" s="4" t="str">
        <f>IF(INPUT_CAD!C236="","",INPUT_CAD!C236)</f>
        <v/>
      </c>
      <c r="D236" s="4" t="str">
        <f>IF(INPUT_CAD!D236="","",INPUT_CAD!D236)</f>
        <v/>
      </c>
      <c r="E236" s="4" t="str">
        <f>IF(INPUT_CAD!E236="","",INPUT_CAD!E236)</f>
        <v/>
      </c>
      <c r="F236" s="4" t="str">
        <f>IF(INPUT_CAD!F236="","",INPUT_CAD!F236)</f>
        <v/>
      </c>
      <c r="G236" s="4" t="str">
        <f>IF(INPUT_CAD!G236="","",INPUT_CAD!G236)</f>
        <v/>
      </c>
      <c r="I236" s="4" t="str">
        <f t="shared" si="36"/>
        <v/>
      </c>
      <c r="J236" s="4" t="str">
        <f t="shared" si="37"/>
        <v/>
      </c>
      <c r="K236" s="4" t="str">
        <f t="shared" si="38"/>
        <v/>
      </c>
      <c r="L236" s="4" t="str">
        <f>IFERROR(VLOOKUP(ROUND(K236,0),correction_tag!$A$7:$C$253,3),"x")</f>
        <v>x</v>
      </c>
      <c r="N236" s="4">
        <f t="shared" si="30"/>
        <v>1</v>
      </c>
      <c r="O236" s="4">
        <f>IF(N235=0,O235+INPUT_CAD!$B$4,INPUT_CAD!$B$4)</f>
        <v>2</v>
      </c>
      <c r="Q236" s="4" t="str">
        <f t="shared" si="31"/>
        <v/>
      </c>
      <c r="R236" s="4" t="str">
        <f t="shared" si="32"/>
        <v/>
      </c>
      <c r="S236" s="4" t="str">
        <f t="shared" si="33"/>
        <v/>
      </c>
      <c r="T236" s="4" t="str">
        <f>IFERROR(Q236*Setup!$C$26+R236*Setup!$D$26+S236*Setup!$E$26,"")</f>
        <v/>
      </c>
      <c r="U236" s="4" t="str">
        <f t="shared" si="35"/>
        <v/>
      </c>
      <c r="V236" s="4">
        <f t="shared" si="34"/>
        <v>90</v>
      </c>
    </row>
    <row r="237" spans="1:22" hidden="1" x14ac:dyDescent="0.25">
      <c r="A237" s="4" t="str">
        <f>IF(INPUT_CAD!A237="","",INPUT_CAD!A237)</f>
        <v/>
      </c>
      <c r="B237" s="4" t="str">
        <f>IF(INPUT_CAD!B237="","",INPUT_CAD!B237)</f>
        <v/>
      </c>
      <c r="C237" s="4" t="str">
        <f>IF(INPUT_CAD!C237="","",INPUT_CAD!C237)</f>
        <v/>
      </c>
      <c r="D237" s="4" t="str">
        <f>IF(INPUT_CAD!D237="","",INPUT_CAD!D237)</f>
        <v/>
      </c>
      <c r="E237" s="4" t="str">
        <f>IF(INPUT_CAD!E237="","",INPUT_CAD!E237)</f>
        <v/>
      </c>
      <c r="F237" s="4" t="str">
        <f>IF(INPUT_CAD!F237="","",INPUT_CAD!F237)</f>
        <v/>
      </c>
      <c r="G237" s="4" t="str">
        <f>IF(INPUT_CAD!G237="","",INPUT_CAD!G237)</f>
        <v/>
      </c>
      <c r="I237" s="4" t="str">
        <f t="shared" si="36"/>
        <v/>
      </c>
      <c r="J237" s="4" t="str">
        <f t="shared" si="37"/>
        <v/>
      </c>
      <c r="K237" s="4" t="str">
        <f t="shared" si="38"/>
        <v/>
      </c>
      <c r="L237" s="4" t="str">
        <f>IFERROR(VLOOKUP(ROUND(K237,0),correction_tag!$A$7:$C$253,3),"x")</f>
        <v>x</v>
      </c>
      <c r="N237" s="4">
        <f t="shared" si="30"/>
        <v>1</v>
      </c>
      <c r="O237" s="4">
        <f>IF(N236=0,O236+INPUT_CAD!$B$4,INPUT_CAD!$B$4)</f>
        <v>2</v>
      </c>
      <c r="Q237" s="4" t="str">
        <f t="shared" si="31"/>
        <v/>
      </c>
      <c r="R237" s="4" t="str">
        <f t="shared" si="32"/>
        <v/>
      </c>
      <c r="S237" s="4" t="str">
        <f t="shared" si="33"/>
        <v/>
      </c>
      <c r="T237" s="4" t="str">
        <f>IFERROR(Q237*Setup!$C$26+R237*Setup!$D$26+S237*Setup!$E$26,"")</f>
        <v/>
      </c>
      <c r="U237" s="4" t="str">
        <f t="shared" si="35"/>
        <v/>
      </c>
      <c r="V237" s="4">
        <f t="shared" si="34"/>
        <v>90</v>
      </c>
    </row>
    <row r="238" spans="1:22" hidden="1" x14ac:dyDescent="0.25">
      <c r="A238" s="4" t="str">
        <f>IF(INPUT_CAD!A238="","",INPUT_CAD!A238)</f>
        <v/>
      </c>
      <c r="B238" s="4" t="str">
        <f>IF(INPUT_CAD!B238="","",INPUT_CAD!B238)</f>
        <v/>
      </c>
      <c r="C238" s="4" t="str">
        <f>IF(INPUT_CAD!C238="","",INPUT_CAD!C238)</f>
        <v/>
      </c>
      <c r="D238" s="4" t="str">
        <f>IF(INPUT_CAD!D238="","",INPUT_CAD!D238)</f>
        <v/>
      </c>
      <c r="E238" s="4" t="str">
        <f>IF(INPUT_CAD!E238="","",INPUT_CAD!E238)</f>
        <v/>
      </c>
      <c r="F238" s="4" t="str">
        <f>IF(INPUT_CAD!F238="","",INPUT_CAD!F238)</f>
        <v/>
      </c>
      <c r="G238" s="4" t="str">
        <f>IF(INPUT_CAD!G238="","",INPUT_CAD!G238)</f>
        <v/>
      </c>
      <c r="I238" s="4" t="str">
        <f t="shared" si="36"/>
        <v/>
      </c>
      <c r="J238" s="4" t="str">
        <f t="shared" si="37"/>
        <v/>
      </c>
      <c r="K238" s="4" t="str">
        <f t="shared" si="38"/>
        <v/>
      </c>
      <c r="L238" s="4" t="str">
        <f>IFERROR(VLOOKUP(ROUND(K238,0),correction_tag!$A$7:$C$253,3),"x")</f>
        <v>x</v>
      </c>
      <c r="N238" s="4">
        <f t="shared" si="30"/>
        <v>1</v>
      </c>
      <c r="O238" s="4">
        <f>IF(N237=0,O237+INPUT_CAD!$B$4,INPUT_CAD!$B$4)</f>
        <v>2</v>
      </c>
      <c r="Q238" s="4" t="str">
        <f t="shared" si="31"/>
        <v/>
      </c>
      <c r="R238" s="4" t="str">
        <f t="shared" si="32"/>
        <v/>
      </c>
      <c r="S238" s="4" t="str">
        <f t="shared" si="33"/>
        <v/>
      </c>
      <c r="T238" s="4" t="str">
        <f>IFERROR(Q238*Setup!$C$26+R238*Setup!$D$26+S238*Setup!$E$26,"")</f>
        <v/>
      </c>
      <c r="U238" s="4" t="str">
        <f t="shared" si="35"/>
        <v/>
      </c>
      <c r="V238" s="4">
        <f t="shared" si="34"/>
        <v>90</v>
      </c>
    </row>
    <row r="239" spans="1:22" hidden="1" x14ac:dyDescent="0.25">
      <c r="A239" s="4" t="str">
        <f>IF(INPUT_CAD!A239="","",INPUT_CAD!A239)</f>
        <v/>
      </c>
      <c r="B239" s="4" t="str">
        <f>IF(INPUT_CAD!B239="","",INPUT_CAD!B239)</f>
        <v/>
      </c>
      <c r="C239" s="4" t="str">
        <f>IF(INPUT_CAD!C239="","",INPUT_CAD!C239)</f>
        <v/>
      </c>
      <c r="D239" s="4" t="str">
        <f>IF(INPUT_CAD!D239="","",INPUT_CAD!D239)</f>
        <v/>
      </c>
      <c r="E239" s="4" t="str">
        <f>IF(INPUT_CAD!E239="","",INPUT_CAD!E239)</f>
        <v/>
      </c>
      <c r="F239" s="4" t="str">
        <f>IF(INPUT_CAD!F239="","",INPUT_CAD!F239)</f>
        <v/>
      </c>
      <c r="G239" s="4" t="str">
        <f>IF(INPUT_CAD!G239="","",INPUT_CAD!G239)</f>
        <v/>
      </c>
      <c r="I239" s="4" t="str">
        <f t="shared" si="36"/>
        <v/>
      </c>
      <c r="J239" s="4" t="str">
        <f t="shared" si="37"/>
        <v/>
      </c>
      <c r="K239" s="4" t="str">
        <f t="shared" si="38"/>
        <v/>
      </c>
      <c r="L239" s="4" t="str">
        <f>IFERROR(VLOOKUP(ROUND(K239,0),correction_tag!$A$7:$C$253,3),"x")</f>
        <v>x</v>
      </c>
      <c r="N239" s="4">
        <f t="shared" si="30"/>
        <v>1</v>
      </c>
      <c r="O239" s="4">
        <f>IF(N238=0,O238+INPUT_CAD!$B$4,INPUT_CAD!$B$4)</f>
        <v>2</v>
      </c>
      <c r="Q239" s="4" t="str">
        <f t="shared" si="31"/>
        <v/>
      </c>
      <c r="R239" s="4" t="str">
        <f t="shared" si="32"/>
        <v/>
      </c>
      <c r="S239" s="4" t="str">
        <f t="shared" si="33"/>
        <v/>
      </c>
      <c r="T239" s="4" t="str">
        <f>IFERROR(Q239*Setup!$C$26+R239*Setup!$D$26+S239*Setup!$E$26,"")</f>
        <v/>
      </c>
      <c r="U239" s="4" t="str">
        <f t="shared" si="35"/>
        <v/>
      </c>
      <c r="V239" s="4">
        <f t="shared" si="34"/>
        <v>90</v>
      </c>
    </row>
    <row r="240" spans="1:22" hidden="1" x14ac:dyDescent="0.25">
      <c r="A240" s="4" t="str">
        <f>IF(INPUT_CAD!A240="","",INPUT_CAD!A240)</f>
        <v/>
      </c>
      <c r="B240" s="4" t="str">
        <f>IF(INPUT_CAD!B240="","",INPUT_CAD!B240)</f>
        <v/>
      </c>
      <c r="C240" s="4" t="str">
        <f>IF(INPUT_CAD!C240="","",INPUT_CAD!C240)</f>
        <v/>
      </c>
      <c r="D240" s="4" t="str">
        <f>IF(INPUT_CAD!D240="","",INPUT_CAD!D240)</f>
        <v/>
      </c>
      <c r="E240" s="4" t="str">
        <f>IF(INPUT_CAD!E240="","",INPUT_CAD!E240)</f>
        <v/>
      </c>
      <c r="F240" s="4" t="str">
        <f>IF(INPUT_CAD!F240="","",INPUT_CAD!F240)</f>
        <v/>
      </c>
      <c r="G240" s="4" t="str">
        <f>IF(INPUT_CAD!G240="","",INPUT_CAD!G240)</f>
        <v/>
      </c>
      <c r="I240" s="4" t="str">
        <f t="shared" si="36"/>
        <v/>
      </c>
      <c r="J240" s="4" t="str">
        <f t="shared" si="37"/>
        <v/>
      </c>
      <c r="K240" s="4" t="str">
        <f t="shared" si="38"/>
        <v/>
      </c>
      <c r="L240" s="4" t="str">
        <f>IFERROR(VLOOKUP(ROUND(K240,0),correction_tag!$A$7:$C$253,3),"x")</f>
        <v>x</v>
      </c>
      <c r="N240" s="4">
        <f t="shared" si="30"/>
        <v>1</v>
      </c>
      <c r="O240" s="4">
        <f>IF(N239=0,O239+INPUT_CAD!$B$4,INPUT_CAD!$B$4)</f>
        <v>2</v>
      </c>
      <c r="Q240" s="4" t="str">
        <f t="shared" si="31"/>
        <v/>
      </c>
      <c r="R240" s="4" t="str">
        <f t="shared" si="32"/>
        <v/>
      </c>
      <c r="S240" s="4" t="str">
        <f t="shared" si="33"/>
        <v/>
      </c>
      <c r="T240" s="4" t="str">
        <f>IFERROR(Q240*Setup!$C$26+R240*Setup!$D$26+S240*Setup!$E$26,"")</f>
        <v/>
      </c>
      <c r="U240" s="4" t="str">
        <f t="shared" si="35"/>
        <v/>
      </c>
      <c r="V240" s="4">
        <f t="shared" si="34"/>
        <v>90</v>
      </c>
    </row>
    <row r="241" spans="1:22" hidden="1" x14ac:dyDescent="0.25">
      <c r="A241" s="4" t="str">
        <f>IF(INPUT_CAD!A241="","",INPUT_CAD!A241)</f>
        <v/>
      </c>
      <c r="B241" s="4" t="str">
        <f>IF(INPUT_CAD!B241="","",INPUT_CAD!B241)</f>
        <v/>
      </c>
      <c r="C241" s="4" t="str">
        <f>IF(INPUT_CAD!C241="","",INPUT_CAD!C241)</f>
        <v/>
      </c>
      <c r="D241" s="4" t="str">
        <f>IF(INPUT_CAD!D241="","",INPUT_CAD!D241)</f>
        <v/>
      </c>
      <c r="E241" s="4" t="str">
        <f>IF(INPUT_CAD!E241="","",INPUT_CAD!E241)</f>
        <v/>
      </c>
      <c r="F241" s="4" t="str">
        <f>IF(INPUT_CAD!F241="","",INPUT_CAD!F241)</f>
        <v/>
      </c>
      <c r="G241" s="4" t="str">
        <f>IF(INPUT_CAD!G241="","",INPUT_CAD!G241)</f>
        <v/>
      </c>
      <c r="I241" s="4" t="str">
        <f t="shared" si="36"/>
        <v/>
      </c>
      <c r="J241" s="4" t="str">
        <f t="shared" si="37"/>
        <v/>
      </c>
      <c r="K241" s="4" t="str">
        <f t="shared" si="38"/>
        <v/>
      </c>
      <c r="L241" s="4" t="str">
        <f>IFERROR(VLOOKUP(ROUND(K241,0),correction_tag!$A$7:$C$253,3),"x")</f>
        <v>x</v>
      </c>
      <c r="N241" s="4">
        <f t="shared" si="30"/>
        <v>1</v>
      </c>
      <c r="O241" s="4">
        <f>IF(N240=0,O240+INPUT_CAD!$B$4,INPUT_CAD!$B$4)</f>
        <v>2</v>
      </c>
      <c r="Q241" s="4" t="str">
        <f t="shared" si="31"/>
        <v/>
      </c>
      <c r="R241" s="4" t="str">
        <f t="shared" si="32"/>
        <v/>
      </c>
      <c r="S241" s="4" t="str">
        <f t="shared" si="33"/>
        <v/>
      </c>
      <c r="T241" s="4" t="str">
        <f>IFERROR(Q241*Setup!$C$26+R241*Setup!$D$26+S241*Setup!$E$26,"")</f>
        <v/>
      </c>
      <c r="U241" s="4" t="str">
        <f t="shared" si="35"/>
        <v/>
      </c>
      <c r="V241" s="4">
        <f t="shared" si="34"/>
        <v>90</v>
      </c>
    </row>
    <row r="242" spans="1:22" hidden="1" x14ac:dyDescent="0.25">
      <c r="A242" s="4" t="str">
        <f>IF(INPUT_CAD!A242="","",INPUT_CAD!A242)</f>
        <v/>
      </c>
      <c r="B242" s="4" t="str">
        <f>IF(INPUT_CAD!B242="","",INPUT_CAD!B242)</f>
        <v/>
      </c>
      <c r="C242" s="4" t="str">
        <f>IF(INPUT_CAD!C242="","",INPUT_CAD!C242)</f>
        <v/>
      </c>
      <c r="D242" s="4" t="str">
        <f>IF(INPUT_CAD!D242="","",INPUT_CAD!D242)</f>
        <v/>
      </c>
      <c r="E242" s="4" t="str">
        <f>IF(INPUT_CAD!E242="","",INPUT_CAD!E242)</f>
        <v/>
      </c>
      <c r="F242" s="4" t="str">
        <f>IF(INPUT_CAD!F242="","",INPUT_CAD!F242)</f>
        <v/>
      </c>
      <c r="G242" s="4" t="str">
        <f>IF(INPUT_CAD!G242="","",INPUT_CAD!G242)</f>
        <v/>
      </c>
      <c r="I242" s="4" t="str">
        <f t="shared" si="36"/>
        <v/>
      </c>
      <c r="J242" s="4" t="str">
        <f t="shared" si="37"/>
        <v/>
      </c>
      <c r="K242" s="4" t="str">
        <f t="shared" si="38"/>
        <v/>
      </c>
      <c r="L242" s="4" t="str">
        <f>IFERROR(VLOOKUP(ROUND(K242,0),correction_tag!$A$7:$C$253,3),"x")</f>
        <v>x</v>
      </c>
      <c r="N242" s="4">
        <f t="shared" si="30"/>
        <v>1</v>
      </c>
      <c r="O242" s="4">
        <f>IF(N241=0,O241+INPUT_CAD!$B$4,INPUT_CAD!$B$4)</f>
        <v>2</v>
      </c>
      <c r="Q242" s="4" t="str">
        <f t="shared" si="31"/>
        <v/>
      </c>
      <c r="R242" s="4" t="str">
        <f t="shared" si="32"/>
        <v/>
      </c>
      <c r="S242" s="4" t="str">
        <f t="shared" si="33"/>
        <v/>
      </c>
      <c r="T242" s="4" t="str">
        <f>IFERROR(Q242*Setup!$C$26+R242*Setup!$D$26+S242*Setup!$E$26,"")</f>
        <v/>
      </c>
      <c r="U242" s="4" t="str">
        <f t="shared" si="35"/>
        <v/>
      </c>
      <c r="V242" s="4">
        <f t="shared" si="34"/>
        <v>90</v>
      </c>
    </row>
    <row r="243" spans="1:22" hidden="1" x14ac:dyDescent="0.25">
      <c r="A243" s="4" t="str">
        <f>IF(INPUT_CAD!A243="","",INPUT_CAD!A243)</f>
        <v/>
      </c>
      <c r="B243" s="4" t="str">
        <f>IF(INPUT_CAD!B243="","",INPUT_CAD!B243)</f>
        <v/>
      </c>
      <c r="C243" s="4" t="str">
        <f>IF(INPUT_CAD!C243="","",INPUT_CAD!C243)</f>
        <v/>
      </c>
      <c r="D243" s="4" t="str">
        <f>IF(INPUT_CAD!D243="","",INPUT_CAD!D243)</f>
        <v/>
      </c>
      <c r="E243" s="4" t="str">
        <f>IF(INPUT_CAD!E243="","",INPUT_CAD!E243)</f>
        <v/>
      </c>
      <c r="F243" s="4" t="str">
        <f>IF(INPUT_CAD!F243="","",INPUT_CAD!F243)</f>
        <v/>
      </c>
      <c r="G243" s="4" t="str">
        <f>IF(INPUT_CAD!G243="","",INPUT_CAD!G243)</f>
        <v/>
      </c>
      <c r="I243" s="4" t="str">
        <f t="shared" si="36"/>
        <v/>
      </c>
      <c r="J243" s="4" t="str">
        <f t="shared" si="37"/>
        <v/>
      </c>
      <c r="K243" s="4" t="str">
        <f t="shared" si="38"/>
        <v/>
      </c>
      <c r="L243" s="4" t="str">
        <f>IFERROR(VLOOKUP(ROUND(K243,0),correction_tag!$A$7:$C$253,3),"x")</f>
        <v>x</v>
      </c>
      <c r="N243" s="4">
        <f t="shared" si="30"/>
        <v>1</v>
      </c>
      <c r="O243" s="4">
        <f>IF(N242=0,O242+INPUT_CAD!$B$4,INPUT_CAD!$B$4)</f>
        <v>2</v>
      </c>
      <c r="Q243" s="4" t="str">
        <f t="shared" si="31"/>
        <v/>
      </c>
      <c r="R243" s="4" t="str">
        <f t="shared" si="32"/>
        <v/>
      </c>
      <c r="S243" s="4" t="str">
        <f t="shared" si="33"/>
        <v/>
      </c>
      <c r="T243" s="4" t="str">
        <f>IFERROR(Q243*Setup!$C$26+R243*Setup!$D$26+S243*Setup!$E$26,"")</f>
        <v/>
      </c>
      <c r="U243" s="4" t="str">
        <f t="shared" si="35"/>
        <v/>
      </c>
      <c r="V243" s="4">
        <f t="shared" si="34"/>
        <v>90</v>
      </c>
    </row>
    <row r="244" spans="1:22" hidden="1" x14ac:dyDescent="0.25">
      <c r="A244" s="4" t="str">
        <f>IF(INPUT_CAD!A244="","",INPUT_CAD!A244)</f>
        <v/>
      </c>
      <c r="B244" s="4" t="str">
        <f>IF(INPUT_CAD!B244="","",INPUT_CAD!B244)</f>
        <v/>
      </c>
      <c r="C244" s="4" t="str">
        <f>IF(INPUT_CAD!C244="","",INPUT_CAD!C244)</f>
        <v/>
      </c>
      <c r="D244" s="4" t="str">
        <f>IF(INPUT_CAD!D244="","",INPUT_CAD!D244)</f>
        <v/>
      </c>
      <c r="E244" s="4" t="str">
        <f>IF(INPUT_CAD!E244="","",INPUT_CAD!E244)</f>
        <v/>
      </c>
      <c r="F244" s="4" t="str">
        <f>IF(INPUT_CAD!F244="","",INPUT_CAD!F244)</f>
        <v/>
      </c>
      <c r="G244" s="4" t="str">
        <f>IF(INPUT_CAD!G244="","",INPUT_CAD!G244)</f>
        <v/>
      </c>
      <c r="I244" s="4" t="str">
        <f t="shared" si="36"/>
        <v/>
      </c>
      <c r="J244" s="4" t="str">
        <f t="shared" si="37"/>
        <v/>
      </c>
      <c r="K244" s="4" t="str">
        <f t="shared" si="38"/>
        <v/>
      </c>
      <c r="L244" s="4" t="str">
        <f>IFERROR(VLOOKUP(ROUND(K244,0),correction_tag!$A$7:$C$253,3),"x")</f>
        <v>x</v>
      </c>
      <c r="N244" s="4">
        <f t="shared" si="30"/>
        <v>1</v>
      </c>
      <c r="O244" s="4">
        <f>IF(N243=0,O243+INPUT_CAD!$B$4,INPUT_CAD!$B$4)</f>
        <v>2</v>
      </c>
      <c r="Q244" s="4" t="str">
        <f t="shared" si="31"/>
        <v/>
      </c>
      <c r="R244" s="4" t="str">
        <f t="shared" si="32"/>
        <v/>
      </c>
      <c r="S244" s="4" t="str">
        <f t="shared" si="33"/>
        <v/>
      </c>
      <c r="T244" s="4" t="str">
        <f>IFERROR(Q244*Setup!$C$26+R244*Setup!$D$26+S244*Setup!$E$26,"")</f>
        <v/>
      </c>
      <c r="U244" s="4" t="str">
        <f t="shared" si="35"/>
        <v/>
      </c>
      <c r="V244" s="4">
        <f t="shared" si="34"/>
        <v>90</v>
      </c>
    </row>
    <row r="245" spans="1:22" hidden="1" x14ac:dyDescent="0.25">
      <c r="A245" s="4" t="str">
        <f>IF(INPUT_CAD!A245="","",INPUT_CAD!A245)</f>
        <v/>
      </c>
      <c r="B245" s="4" t="str">
        <f>IF(INPUT_CAD!B245="","",INPUT_CAD!B245)</f>
        <v/>
      </c>
      <c r="C245" s="4" t="str">
        <f>IF(INPUT_CAD!C245="","",INPUT_CAD!C245)</f>
        <v/>
      </c>
      <c r="D245" s="4" t="str">
        <f>IF(INPUT_CAD!D245="","",INPUT_CAD!D245)</f>
        <v/>
      </c>
      <c r="E245" s="4" t="str">
        <f>IF(INPUT_CAD!E245="","",INPUT_CAD!E245)</f>
        <v/>
      </c>
      <c r="F245" s="4" t="str">
        <f>IF(INPUT_CAD!F245="","",INPUT_CAD!F245)</f>
        <v/>
      </c>
      <c r="G245" s="4" t="str">
        <f>IF(INPUT_CAD!G245="","",INPUT_CAD!G245)</f>
        <v/>
      </c>
      <c r="I245" s="4" t="str">
        <f t="shared" si="36"/>
        <v/>
      </c>
      <c r="J245" s="4" t="str">
        <f t="shared" si="37"/>
        <v/>
      </c>
      <c r="K245" s="4" t="str">
        <f t="shared" si="38"/>
        <v/>
      </c>
      <c r="L245" s="4" t="str">
        <f>IFERROR(VLOOKUP(ROUND(K245,0),correction_tag!$A$7:$C$253,3),"x")</f>
        <v>x</v>
      </c>
      <c r="N245" s="4">
        <f t="shared" si="30"/>
        <v>1</v>
      </c>
      <c r="O245" s="4">
        <f>IF(N244=0,O244+INPUT_CAD!$B$4,INPUT_CAD!$B$4)</f>
        <v>2</v>
      </c>
      <c r="Q245" s="4" t="str">
        <f t="shared" si="31"/>
        <v/>
      </c>
      <c r="R245" s="4" t="str">
        <f t="shared" si="32"/>
        <v/>
      </c>
      <c r="S245" s="4" t="str">
        <f t="shared" si="33"/>
        <v/>
      </c>
      <c r="T245" s="4" t="str">
        <f>IFERROR(Q245*Setup!$C$26+R245*Setup!$D$26+S245*Setup!$E$26,"")</f>
        <v/>
      </c>
      <c r="U245" s="4" t="str">
        <f t="shared" si="35"/>
        <v/>
      </c>
      <c r="V245" s="4">
        <f t="shared" si="34"/>
        <v>90</v>
      </c>
    </row>
    <row r="246" spans="1:22" hidden="1" x14ac:dyDescent="0.25">
      <c r="A246" s="4" t="str">
        <f>IF(INPUT_CAD!A246="","",INPUT_CAD!A246)</f>
        <v/>
      </c>
      <c r="B246" s="4" t="str">
        <f>IF(INPUT_CAD!B246="","",INPUT_CAD!B246)</f>
        <v/>
      </c>
      <c r="C246" s="4" t="str">
        <f>IF(INPUT_CAD!C246="","",INPUT_CAD!C246)</f>
        <v/>
      </c>
      <c r="D246" s="4" t="str">
        <f>IF(INPUT_CAD!D246="","",INPUT_CAD!D246)</f>
        <v/>
      </c>
      <c r="E246" s="4" t="str">
        <f>IF(INPUT_CAD!E246="","",INPUT_CAD!E246)</f>
        <v/>
      </c>
      <c r="F246" s="4" t="str">
        <f>IF(INPUT_CAD!F246="","",INPUT_CAD!F246)</f>
        <v/>
      </c>
      <c r="G246" s="4" t="str">
        <f>IF(INPUT_CAD!G246="","",INPUT_CAD!G246)</f>
        <v/>
      </c>
      <c r="I246" s="4" t="str">
        <f t="shared" si="36"/>
        <v/>
      </c>
      <c r="J246" s="4" t="str">
        <f t="shared" si="37"/>
        <v/>
      </c>
      <c r="K246" s="4" t="str">
        <f t="shared" si="38"/>
        <v/>
      </c>
      <c r="L246" s="4" t="str">
        <f>IFERROR(VLOOKUP(ROUND(K246,0),correction_tag!$A$7:$C$253,3),"x")</f>
        <v>x</v>
      </c>
      <c r="N246" s="4">
        <f t="shared" si="30"/>
        <v>1</v>
      </c>
      <c r="O246" s="4">
        <f>IF(N245=0,O245+INPUT_CAD!$B$4,INPUT_CAD!$B$4)</f>
        <v>2</v>
      </c>
      <c r="Q246" s="4" t="str">
        <f t="shared" si="31"/>
        <v/>
      </c>
      <c r="R246" s="4" t="str">
        <f t="shared" si="32"/>
        <v/>
      </c>
      <c r="S246" s="4" t="str">
        <f t="shared" si="33"/>
        <v/>
      </c>
      <c r="T246" s="4" t="str">
        <f>IFERROR(Q246*Setup!$C$26+R246*Setup!$D$26+S246*Setup!$E$26,"")</f>
        <v/>
      </c>
      <c r="U246" s="4" t="str">
        <f t="shared" si="35"/>
        <v/>
      </c>
      <c r="V246" s="4">
        <f t="shared" si="34"/>
        <v>90</v>
      </c>
    </row>
    <row r="247" spans="1:22" hidden="1" x14ac:dyDescent="0.25">
      <c r="A247" s="4" t="str">
        <f>IF(INPUT_CAD!A247="","",INPUT_CAD!A247)</f>
        <v/>
      </c>
      <c r="B247" s="4" t="str">
        <f>IF(INPUT_CAD!B247="","",INPUT_CAD!B247)</f>
        <v/>
      </c>
      <c r="C247" s="4" t="str">
        <f>IF(INPUT_CAD!C247="","",INPUT_CAD!C247)</f>
        <v/>
      </c>
      <c r="D247" s="4" t="str">
        <f>IF(INPUT_CAD!D247="","",INPUT_CAD!D247)</f>
        <v/>
      </c>
      <c r="E247" s="4" t="str">
        <f>IF(INPUT_CAD!E247="","",INPUT_CAD!E247)</f>
        <v/>
      </c>
      <c r="F247" s="4" t="str">
        <f>IF(INPUT_CAD!F247="","",INPUT_CAD!F247)</f>
        <v/>
      </c>
      <c r="G247" s="4" t="str">
        <f>IF(INPUT_CAD!G247="","",INPUT_CAD!G247)</f>
        <v/>
      </c>
      <c r="I247" s="4" t="str">
        <f t="shared" si="36"/>
        <v/>
      </c>
      <c r="J247" s="4" t="str">
        <f t="shared" si="37"/>
        <v/>
      </c>
      <c r="K247" s="4" t="str">
        <f t="shared" si="38"/>
        <v/>
      </c>
      <c r="L247" s="4" t="str">
        <f>IFERROR(VLOOKUP(ROUND(K247,0),correction_tag!$A$7:$C$253,3),"x")</f>
        <v>x</v>
      </c>
      <c r="N247" s="4">
        <f t="shared" si="30"/>
        <v>1</v>
      </c>
      <c r="O247" s="4">
        <f>IF(N246=0,O246+INPUT_CAD!$B$4,INPUT_CAD!$B$4)</f>
        <v>2</v>
      </c>
      <c r="Q247" s="4" t="str">
        <f t="shared" si="31"/>
        <v/>
      </c>
      <c r="R247" s="4" t="str">
        <f t="shared" si="32"/>
        <v/>
      </c>
      <c r="S247" s="4" t="str">
        <f t="shared" si="33"/>
        <v/>
      </c>
      <c r="T247" s="4" t="str">
        <f>IFERROR(Q247*Setup!$C$26+R247*Setup!$D$26+S247*Setup!$E$26,"")</f>
        <v/>
      </c>
      <c r="U247" s="4" t="str">
        <f t="shared" si="35"/>
        <v/>
      </c>
      <c r="V247" s="4">
        <f t="shared" si="34"/>
        <v>90</v>
      </c>
    </row>
    <row r="248" spans="1:22" hidden="1" x14ac:dyDescent="0.25">
      <c r="A248" s="4" t="str">
        <f>IF(INPUT_CAD!A248="","",INPUT_CAD!A248)</f>
        <v/>
      </c>
      <c r="B248" s="4" t="str">
        <f>IF(INPUT_CAD!B248="","",INPUT_CAD!B248)</f>
        <v/>
      </c>
      <c r="C248" s="4" t="str">
        <f>IF(INPUT_CAD!C248="","",INPUT_CAD!C248)</f>
        <v/>
      </c>
      <c r="D248" s="4" t="str">
        <f>IF(INPUT_CAD!D248="","",INPUT_CAD!D248)</f>
        <v/>
      </c>
      <c r="E248" s="4" t="str">
        <f>IF(INPUT_CAD!E248="","",INPUT_CAD!E248)</f>
        <v/>
      </c>
      <c r="F248" s="4" t="str">
        <f>IF(INPUT_CAD!F248="","",INPUT_CAD!F248)</f>
        <v/>
      </c>
      <c r="G248" s="4" t="str">
        <f>IF(INPUT_CAD!G248="","",INPUT_CAD!G248)</f>
        <v/>
      </c>
      <c r="I248" s="4" t="str">
        <f t="shared" si="36"/>
        <v/>
      </c>
      <c r="J248" s="4" t="str">
        <f t="shared" si="37"/>
        <v/>
      </c>
      <c r="K248" s="4" t="str">
        <f t="shared" si="38"/>
        <v/>
      </c>
      <c r="L248" s="4" t="str">
        <f>IFERROR(VLOOKUP(ROUND(K248,0),correction_tag!$A$7:$C$253,3),"x")</f>
        <v>x</v>
      </c>
      <c r="N248" s="4">
        <f t="shared" si="30"/>
        <v>1</v>
      </c>
      <c r="O248" s="4">
        <f>IF(N247=0,O247+INPUT_CAD!$B$4,INPUT_CAD!$B$4)</f>
        <v>2</v>
      </c>
      <c r="Q248" s="4" t="str">
        <f t="shared" si="31"/>
        <v/>
      </c>
      <c r="R248" s="4" t="str">
        <f t="shared" si="32"/>
        <v/>
      </c>
      <c r="S248" s="4" t="str">
        <f t="shared" si="33"/>
        <v/>
      </c>
      <c r="T248" s="4" t="str">
        <f>IFERROR(Q248*Setup!$C$26+R248*Setup!$D$26+S248*Setup!$E$26,"")</f>
        <v/>
      </c>
      <c r="U248" s="4" t="str">
        <f t="shared" si="35"/>
        <v/>
      </c>
      <c r="V248" s="4">
        <f t="shared" si="34"/>
        <v>90</v>
      </c>
    </row>
    <row r="249" spans="1:22" hidden="1" x14ac:dyDescent="0.25">
      <c r="A249" s="4" t="str">
        <f>IF(INPUT_CAD!A249="","",INPUT_CAD!A249)</f>
        <v/>
      </c>
      <c r="B249" s="4" t="str">
        <f>IF(INPUT_CAD!B249="","",INPUT_CAD!B249)</f>
        <v/>
      </c>
      <c r="C249" s="4" t="str">
        <f>IF(INPUT_CAD!C249="","",INPUT_CAD!C249)</f>
        <v/>
      </c>
      <c r="D249" s="4" t="str">
        <f>IF(INPUT_CAD!D249="","",INPUT_CAD!D249)</f>
        <v/>
      </c>
      <c r="E249" s="4" t="str">
        <f>IF(INPUT_CAD!E249="","",INPUT_CAD!E249)</f>
        <v/>
      </c>
      <c r="F249" s="4" t="str">
        <f>IF(INPUT_CAD!F249="","",INPUT_CAD!F249)</f>
        <v/>
      </c>
      <c r="G249" s="4" t="str">
        <f>IF(INPUT_CAD!G249="","",INPUT_CAD!G249)</f>
        <v/>
      </c>
      <c r="I249" s="4" t="str">
        <f t="shared" si="36"/>
        <v/>
      </c>
      <c r="J249" s="4" t="str">
        <f t="shared" si="37"/>
        <v/>
      </c>
      <c r="K249" s="4" t="str">
        <f t="shared" si="38"/>
        <v/>
      </c>
      <c r="L249" s="4" t="str">
        <f>IFERROR(VLOOKUP(ROUND(K249,0),correction_tag!$A$7:$C$253,3),"x")</f>
        <v>x</v>
      </c>
      <c r="N249" s="4">
        <f t="shared" si="30"/>
        <v>1</v>
      </c>
      <c r="O249" s="4">
        <f>IF(N248=0,O248+INPUT_CAD!$B$4,INPUT_CAD!$B$4)</f>
        <v>2</v>
      </c>
      <c r="Q249" s="4" t="str">
        <f t="shared" si="31"/>
        <v/>
      </c>
      <c r="R249" s="4" t="str">
        <f t="shared" si="32"/>
        <v/>
      </c>
      <c r="S249" s="4" t="str">
        <f t="shared" si="33"/>
        <v/>
      </c>
      <c r="T249" s="4" t="str">
        <f>IFERROR(Q249*Setup!$C$26+R249*Setup!$D$26+S249*Setup!$E$26,"")</f>
        <v/>
      </c>
      <c r="U249" s="4" t="str">
        <f t="shared" si="35"/>
        <v/>
      </c>
      <c r="V249" s="4">
        <f t="shared" si="34"/>
        <v>90</v>
      </c>
    </row>
    <row r="250" spans="1:22" hidden="1" x14ac:dyDescent="0.25">
      <c r="A250" s="4" t="str">
        <f>IF(INPUT_CAD!A250="","",INPUT_CAD!A250)</f>
        <v/>
      </c>
      <c r="B250" s="4" t="str">
        <f>IF(INPUT_CAD!B250="","",INPUT_CAD!B250)</f>
        <v/>
      </c>
      <c r="C250" s="4" t="str">
        <f>IF(INPUT_CAD!C250="","",INPUT_CAD!C250)</f>
        <v/>
      </c>
      <c r="D250" s="4" t="str">
        <f>IF(INPUT_CAD!D250="","",INPUT_CAD!D250)</f>
        <v/>
      </c>
      <c r="E250" s="4" t="str">
        <f>IF(INPUT_CAD!E250="","",INPUT_CAD!E250)</f>
        <v/>
      </c>
      <c r="F250" s="4" t="str">
        <f>IF(INPUT_CAD!F250="","",INPUT_CAD!F250)</f>
        <v/>
      </c>
      <c r="G250" s="4" t="str">
        <f>IF(INPUT_CAD!G250="","",INPUT_CAD!G250)</f>
        <v/>
      </c>
      <c r="I250" s="4" t="str">
        <f t="shared" si="36"/>
        <v/>
      </c>
      <c r="J250" s="4" t="str">
        <f t="shared" si="37"/>
        <v/>
      </c>
      <c r="K250" s="4" t="str">
        <f t="shared" si="38"/>
        <v/>
      </c>
      <c r="L250" s="4" t="str">
        <f>IFERROR(VLOOKUP(ROUND(K250,0),correction_tag!$A$7:$C$253,3),"x")</f>
        <v>x</v>
      </c>
      <c r="N250" s="4">
        <f t="shared" si="30"/>
        <v>1</v>
      </c>
      <c r="O250" s="4">
        <f>IF(N249=0,O249+INPUT_CAD!$B$4,INPUT_CAD!$B$4)</f>
        <v>2</v>
      </c>
      <c r="Q250" s="4" t="str">
        <f t="shared" si="31"/>
        <v/>
      </c>
      <c r="R250" s="4" t="str">
        <f t="shared" si="32"/>
        <v/>
      </c>
      <c r="S250" s="4" t="str">
        <f t="shared" si="33"/>
        <v/>
      </c>
      <c r="T250" s="4" t="str">
        <f>IFERROR(Q250*Setup!$C$26+R250*Setup!$D$26+S250*Setup!$E$26,"")</f>
        <v/>
      </c>
      <c r="U250" s="4" t="str">
        <f t="shared" si="35"/>
        <v/>
      </c>
      <c r="V250" s="4">
        <f t="shared" si="34"/>
        <v>90</v>
      </c>
    </row>
    <row r="251" spans="1:22" hidden="1" x14ac:dyDescent="0.25">
      <c r="A251" s="4" t="str">
        <f>IF(INPUT_CAD!A251="","",INPUT_CAD!A251)</f>
        <v/>
      </c>
      <c r="B251" s="4" t="str">
        <f>IF(INPUT_CAD!B251="","",INPUT_CAD!B251)</f>
        <v/>
      </c>
      <c r="C251" s="4" t="str">
        <f>IF(INPUT_CAD!C251="","",INPUT_CAD!C251)</f>
        <v/>
      </c>
      <c r="D251" s="4" t="str">
        <f>IF(INPUT_CAD!D251="","",INPUT_CAD!D251)</f>
        <v/>
      </c>
      <c r="E251" s="4" t="str">
        <f>IF(INPUT_CAD!E251="","",INPUT_CAD!E251)</f>
        <v/>
      </c>
      <c r="F251" s="4" t="str">
        <f>IF(INPUT_CAD!F251="","",INPUT_CAD!F251)</f>
        <v/>
      </c>
      <c r="G251" s="4" t="str">
        <f>IF(INPUT_CAD!G251="","",INPUT_CAD!G251)</f>
        <v/>
      </c>
      <c r="I251" s="4" t="str">
        <f t="shared" si="36"/>
        <v/>
      </c>
      <c r="J251" s="4" t="str">
        <f t="shared" si="37"/>
        <v/>
      </c>
      <c r="K251" s="4" t="str">
        <f t="shared" si="38"/>
        <v/>
      </c>
      <c r="L251" s="4" t="str">
        <f>IFERROR(VLOOKUP(ROUND(K251,0),correction_tag!$A$7:$C$253,3),"x")</f>
        <v>x</v>
      </c>
      <c r="N251" s="4">
        <f t="shared" si="30"/>
        <v>1</v>
      </c>
      <c r="O251" s="4">
        <f>IF(N250=0,O250+INPUT_CAD!$B$4,INPUT_CAD!$B$4)</f>
        <v>2</v>
      </c>
      <c r="Q251" s="4" t="str">
        <f t="shared" si="31"/>
        <v/>
      </c>
      <c r="R251" s="4" t="str">
        <f t="shared" si="32"/>
        <v/>
      </c>
      <c r="S251" s="4" t="str">
        <f t="shared" si="33"/>
        <v/>
      </c>
      <c r="T251" s="4" t="str">
        <f>IFERROR(Q251*Setup!$C$26+R251*Setup!$D$26+S251*Setup!$E$26,"")</f>
        <v/>
      </c>
      <c r="U251" s="4" t="str">
        <f t="shared" si="35"/>
        <v/>
      </c>
      <c r="V251" s="4">
        <f t="shared" si="34"/>
        <v>90</v>
      </c>
    </row>
    <row r="252" spans="1:22" hidden="1" x14ac:dyDescent="0.25">
      <c r="A252" s="4" t="str">
        <f>IF(INPUT_CAD!A252="","",INPUT_CAD!A252)</f>
        <v/>
      </c>
      <c r="B252" s="4" t="str">
        <f>IF(INPUT_CAD!B252="","",INPUT_CAD!B252)</f>
        <v/>
      </c>
      <c r="C252" s="4" t="str">
        <f>IF(INPUT_CAD!C252="","",INPUT_CAD!C252)</f>
        <v/>
      </c>
      <c r="D252" s="4" t="str">
        <f>IF(INPUT_CAD!D252="","",INPUT_CAD!D252)</f>
        <v/>
      </c>
      <c r="E252" s="4" t="str">
        <f>IF(INPUT_CAD!E252="","",INPUT_CAD!E252)</f>
        <v/>
      </c>
      <c r="F252" s="4" t="str">
        <f>IF(INPUT_CAD!F252="","",INPUT_CAD!F252)</f>
        <v/>
      </c>
      <c r="G252" s="4" t="str">
        <f>IF(INPUT_CAD!G252="","",INPUT_CAD!G252)</f>
        <v/>
      </c>
      <c r="I252" s="4" t="str">
        <f t="shared" si="36"/>
        <v/>
      </c>
      <c r="J252" s="4" t="str">
        <f t="shared" si="37"/>
        <v/>
      </c>
      <c r="K252" s="4" t="str">
        <f t="shared" si="38"/>
        <v/>
      </c>
      <c r="L252" s="4" t="str">
        <f>IFERROR(VLOOKUP(ROUND(K252,0),correction_tag!$A$7:$C$253,3),"x")</f>
        <v>x</v>
      </c>
      <c r="N252" s="4">
        <f t="shared" si="30"/>
        <v>1</v>
      </c>
      <c r="O252" s="4">
        <f>IF(N251=0,O251+INPUT_CAD!$B$4,INPUT_CAD!$B$4)</f>
        <v>2</v>
      </c>
      <c r="Q252" s="4" t="str">
        <f t="shared" si="31"/>
        <v/>
      </c>
      <c r="R252" s="4" t="str">
        <f t="shared" si="32"/>
        <v/>
      </c>
      <c r="S252" s="4" t="str">
        <f t="shared" si="33"/>
        <v/>
      </c>
      <c r="T252" s="4" t="str">
        <f>IFERROR(Q252*Setup!$C$26+R252*Setup!$D$26+S252*Setup!$E$26,"")</f>
        <v/>
      </c>
      <c r="U252" s="4" t="str">
        <f t="shared" si="35"/>
        <v/>
      </c>
      <c r="V252" s="4">
        <f t="shared" si="34"/>
        <v>90</v>
      </c>
    </row>
    <row r="253" spans="1:22" hidden="1" x14ac:dyDescent="0.25">
      <c r="A253" s="4" t="str">
        <f>IF(INPUT_CAD!A253="","",INPUT_CAD!A253)</f>
        <v/>
      </c>
      <c r="B253" s="4" t="str">
        <f>IF(INPUT_CAD!B253="","",INPUT_CAD!B253)</f>
        <v/>
      </c>
      <c r="C253" s="4" t="str">
        <f>IF(INPUT_CAD!C253="","",INPUT_CAD!C253)</f>
        <v/>
      </c>
      <c r="D253" s="4" t="str">
        <f>IF(INPUT_CAD!D253="","",INPUT_CAD!D253)</f>
        <v/>
      </c>
      <c r="E253" s="4" t="str">
        <f>IF(INPUT_CAD!E253="","",INPUT_CAD!E253)</f>
        <v/>
      </c>
      <c r="F253" s="4" t="str">
        <f>IF(INPUT_CAD!F253="","",INPUT_CAD!F253)</f>
        <v/>
      </c>
      <c r="G253" s="4" t="str">
        <f>IF(INPUT_CAD!G253="","",INPUT_CAD!G253)</f>
        <v/>
      </c>
      <c r="I253" s="4" t="str">
        <f t="shared" si="36"/>
        <v/>
      </c>
      <c r="J253" s="4" t="str">
        <f t="shared" si="37"/>
        <v/>
      </c>
      <c r="K253" s="4" t="str">
        <f t="shared" si="38"/>
        <v/>
      </c>
      <c r="L253" s="4" t="str">
        <f>IFERROR(VLOOKUP(ROUND(K253,0),correction_tag!$A$7:$C$253,3),"x")</f>
        <v>x</v>
      </c>
      <c r="N253" s="4">
        <f t="shared" si="30"/>
        <v>1</v>
      </c>
      <c r="O253" s="4">
        <f>IF(N252=0,O252+INPUT_CAD!$B$4,INPUT_CAD!$B$4)</f>
        <v>2</v>
      </c>
      <c r="Q253" s="4" t="str">
        <f t="shared" si="31"/>
        <v/>
      </c>
      <c r="R253" s="4" t="str">
        <f t="shared" si="32"/>
        <v/>
      </c>
      <c r="S253" s="4" t="str">
        <f t="shared" si="33"/>
        <v/>
      </c>
      <c r="T253" s="4" t="str">
        <f>IFERROR(Q253*Setup!$C$26+R253*Setup!$D$26+S253*Setup!$E$26,"")</f>
        <v/>
      </c>
      <c r="U253" s="4" t="str">
        <f t="shared" si="35"/>
        <v/>
      </c>
      <c r="V253" s="4">
        <f t="shared" si="34"/>
        <v>90</v>
      </c>
    </row>
    <row r="254" spans="1:22" hidden="1" x14ac:dyDescent="0.25">
      <c r="A254" s="4" t="str">
        <f>IF(INPUT_CAD!A254="","",INPUT_CAD!A254)</f>
        <v/>
      </c>
      <c r="B254" s="4" t="str">
        <f>IF(INPUT_CAD!B254="","",INPUT_CAD!B254)</f>
        <v/>
      </c>
      <c r="C254" s="4" t="str">
        <f>IF(INPUT_CAD!C254="","",INPUT_CAD!C254)</f>
        <v/>
      </c>
      <c r="D254" s="4" t="str">
        <f>IF(INPUT_CAD!D254="","",INPUT_CAD!D254)</f>
        <v/>
      </c>
      <c r="E254" s="4" t="str">
        <f>IF(INPUT_CAD!E254="","",INPUT_CAD!E254)</f>
        <v/>
      </c>
      <c r="F254" s="4" t="str">
        <f>IF(INPUT_CAD!F254="","",INPUT_CAD!F254)</f>
        <v/>
      </c>
      <c r="G254" s="4" t="str">
        <f>IF(INPUT_CAD!G254="","",INPUT_CAD!G254)</f>
        <v/>
      </c>
      <c r="I254" s="4" t="str">
        <f t="shared" si="36"/>
        <v/>
      </c>
      <c r="J254" s="4" t="str">
        <f t="shared" si="37"/>
        <v/>
      </c>
      <c r="K254" s="4" t="str">
        <f t="shared" si="38"/>
        <v/>
      </c>
      <c r="L254" s="4" t="str">
        <f>IFERROR(VLOOKUP(ROUND(K254,0),correction_tag!$A$7:$C$253,3),"x")</f>
        <v>x</v>
      </c>
      <c r="N254" s="4">
        <f t="shared" si="30"/>
        <v>1</v>
      </c>
      <c r="O254" s="4">
        <f>IF(N253=0,O253+INPUT_CAD!$B$4,INPUT_CAD!$B$4)</f>
        <v>2</v>
      </c>
      <c r="Q254" s="4" t="str">
        <f t="shared" si="31"/>
        <v/>
      </c>
      <c r="R254" s="4" t="str">
        <f t="shared" si="32"/>
        <v/>
      </c>
      <c r="S254" s="4" t="str">
        <f t="shared" si="33"/>
        <v/>
      </c>
      <c r="T254" s="4" t="str">
        <f>IFERROR(Q254*Setup!$C$26+R254*Setup!$D$26+S254*Setup!$E$26,"")</f>
        <v/>
      </c>
      <c r="U254" s="4" t="str">
        <f t="shared" si="35"/>
        <v/>
      </c>
      <c r="V254" s="4">
        <f t="shared" si="34"/>
        <v>90</v>
      </c>
    </row>
    <row r="255" spans="1:22" hidden="1" x14ac:dyDescent="0.25">
      <c r="A255" s="4" t="str">
        <f>IF(INPUT_CAD!A255="","",INPUT_CAD!A255)</f>
        <v/>
      </c>
      <c r="B255" s="4" t="str">
        <f>IF(INPUT_CAD!B255="","",INPUT_CAD!B255)</f>
        <v/>
      </c>
      <c r="C255" s="4" t="str">
        <f>IF(INPUT_CAD!C255="","",INPUT_CAD!C255)</f>
        <v/>
      </c>
      <c r="D255" s="4" t="str">
        <f>IF(INPUT_CAD!D255="","",INPUT_CAD!D255)</f>
        <v/>
      </c>
      <c r="E255" s="4" t="str">
        <f>IF(INPUT_CAD!E255="","",INPUT_CAD!E255)</f>
        <v/>
      </c>
      <c r="F255" s="4" t="str">
        <f>IF(INPUT_CAD!F255="","",INPUT_CAD!F255)</f>
        <v/>
      </c>
      <c r="G255" s="4" t="str">
        <f>IF(INPUT_CAD!G255="","",INPUT_CAD!G255)</f>
        <v/>
      </c>
      <c r="I255" s="4" t="str">
        <f t="shared" si="36"/>
        <v/>
      </c>
      <c r="J255" s="4" t="str">
        <f t="shared" si="37"/>
        <v/>
      </c>
      <c r="K255" s="4" t="str">
        <f t="shared" si="38"/>
        <v/>
      </c>
      <c r="L255" s="4" t="str">
        <f>IFERROR(VLOOKUP(ROUND(K255,0),correction_tag!$A$7:$C$253,3),"x")</f>
        <v>x</v>
      </c>
      <c r="N255" s="4">
        <f t="shared" si="30"/>
        <v>1</v>
      </c>
      <c r="O255" s="4">
        <f>IF(N254=0,O254+INPUT_CAD!$B$4,INPUT_CAD!$B$4)</f>
        <v>2</v>
      </c>
      <c r="Q255" s="4" t="str">
        <f t="shared" si="31"/>
        <v/>
      </c>
      <c r="R255" s="4" t="str">
        <f t="shared" si="32"/>
        <v/>
      </c>
      <c r="S255" s="4" t="str">
        <f t="shared" si="33"/>
        <v/>
      </c>
      <c r="T255" s="4" t="str">
        <f>IFERROR(Q255*Setup!$C$26+R255*Setup!$D$26+S255*Setup!$E$26,"")</f>
        <v/>
      </c>
      <c r="U255" s="4" t="str">
        <f t="shared" si="35"/>
        <v/>
      </c>
      <c r="V255" s="4">
        <f t="shared" si="34"/>
        <v>90</v>
      </c>
    </row>
    <row r="256" spans="1:22" hidden="1" x14ac:dyDescent="0.25">
      <c r="A256" s="4" t="str">
        <f>IF(INPUT_CAD!A256="","",INPUT_CAD!A256)</f>
        <v/>
      </c>
      <c r="B256" s="4" t="str">
        <f>IF(INPUT_CAD!B256="","",INPUT_CAD!B256)</f>
        <v/>
      </c>
      <c r="C256" s="4" t="str">
        <f>IF(INPUT_CAD!C256="","",INPUT_CAD!C256)</f>
        <v/>
      </c>
      <c r="D256" s="4" t="str">
        <f>IF(INPUT_CAD!D256="","",INPUT_CAD!D256)</f>
        <v/>
      </c>
      <c r="E256" s="4" t="str">
        <f>IF(INPUT_CAD!E256="","",INPUT_CAD!E256)</f>
        <v/>
      </c>
      <c r="F256" s="4" t="str">
        <f>IF(INPUT_CAD!F256="","",INPUT_CAD!F256)</f>
        <v/>
      </c>
      <c r="G256" s="4" t="str">
        <f>IF(INPUT_CAD!G256="","",INPUT_CAD!G256)</f>
        <v/>
      </c>
      <c r="I256" s="4" t="str">
        <f t="shared" si="36"/>
        <v/>
      </c>
      <c r="J256" s="4" t="str">
        <f t="shared" si="37"/>
        <v/>
      </c>
      <c r="K256" s="4" t="str">
        <f t="shared" si="38"/>
        <v/>
      </c>
      <c r="L256" s="4" t="str">
        <f>IFERROR(VLOOKUP(ROUND(K256,0),correction_tag!$A$7:$C$253,3),"x")</f>
        <v>x</v>
      </c>
      <c r="N256" s="4">
        <f t="shared" si="30"/>
        <v>1</v>
      </c>
      <c r="O256" s="4">
        <f>IF(N255=0,O255+INPUT_CAD!$B$4,INPUT_CAD!$B$4)</f>
        <v>2</v>
      </c>
      <c r="Q256" s="4" t="str">
        <f t="shared" si="31"/>
        <v/>
      </c>
      <c r="R256" s="4" t="str">
        <f t="shared" si="32"/>
        <v/>
      </c>
      <c r="S256" s="4" t="str">
        <f t="shared" si="33"/>
        <v/>
      </c>
      <c r="T256" s="4" t="str">
        <f>IFERROR(Q256*Setup!$C$26+R256*Setup!$D$26+S256*Setup!$E$26,"")</f>
        <v/>
      </c>
      <c r="U256" s="4" t="str">
        <f t="shared" si="35"/>
        <v/>
      </c>
      <c r="V256" s="4">
        <f t="shared" si="34"/>
        <v>90</v>
      </c>
    </row>
    <row r="257" spans="1:22" hidden="1" x14ac:dyDescent="0.25">
      <c r="A257" s="4" t="str">
        <f>IF(INPUT_CAD!A257="","",INPUT_CAD!A257)</f>
        <v/>
      </c>
      <c r="B257" s="4" t="str">
        <f>IF(INPUT_CAD!B257="","",INPUT_CAD!B257)</f>
        <v/>
      </c>
      <c r="C257" s="4" t="str">
        <f>IF(INPUT_CAD!C257="","",INPUT_CAD!C257)</f>
        <v/>
      </c>
      <c r="D257" s="4" t="str">
        <f>IF(INPUT_CAD!D257="","",INPUT_CAD!D257)</f>
        <v/>
      </c>
      <c r="E257" s="4" t="str">
        <f>IF(INPUT_CAD!E257="","",INPUT_CAD!E257)</f>
        <v/>
      </c>
      <c r="F257" s="4" t="str">
        <f>IF(INPUT_CAD!F257="","",INPUT_CAD!F257)</f>
        <v/>
      </c>
      <c r="G257" s="4" t="str">
        <f>IF(INPUT_CAD!G257="","",INPUT_CAD!G257)</f>
        <v/>
      </c>
      <c r="I257" s="4" t="str">
        <f t="shared" si="36"/>
        <v/>
      </c>
      <c r="J257" s="4" t="str">
        <f t="shared" si="37"/>
        <v/>
      </c>
      <c r="K257" s="4" t="str">
        <f t="shared" si="38"/>
        <v/>
      </c>
      <c r="L257" s="4" t="str">
        <f>IFERROR(VLOOKUP(ROUND(K257,0),correction_tag!$A$7:$C$253,3),"x")</f>
        <v>x</v>
      </c>
      <c r="N257" s="4">
        <f t="shared" si="30"/>
        <v>1</v>
      </c>
      <c r="O257" s="4">
        <f>IF(N256=0,O256+INPUT_CAD!$B$4,INPUT_CAD!$B$4)</f>
        <v>2</v>
      </c>
      <c r="Q257" s="4" t="str">
        <f t="shared" si="31"/>
        <v/>
      </c>
      <c r="R257" s="4" t="str">
        <f t="shared" si="32"/>
        <v/>
      </c>
      <c r="S257" s="4" t="str">
        <f t="shared" si="33"/>
        <v/>
      </c>
      <c r="T257" s="4" t="str">
        <f>IFERROR(Q257*Setup!$C$26+R257*Setup!$D$26+S257*Setup!$E$26,"")</f>
        <v/>
      </c>
      <c r="U257" s="4" t="str">
        <f t="shared" si="35"/>
        <v/>
      </c>
      <c r="V257" s="4">
        <f t="shared" si="34"/>
        <v>90</v>
      </c>
    </row>
    <row r="258" spans="1:22" hidden="1" x14ac:dyDescent="0.25">
      <c r="A258" s="4" t="str">
        <f>IF(INPUT_CAD!A258="","",INPUT_CAD!A258)</f>
        <v/>
      </c>
      <c r="B258" s="4" t="str">
        <f>IF(INPUT_CAD!B258="","",INPUT_CAD!B258)</f>
        <v/>
      </c>
      <c r="C258" s="4" t="str">
        <f>IF(INPUT_CAD!C258="","",INPUT_CAD!C258)</f>
        <v/>
      </c>
      <c r="D258" s="4" t="str">
        <f>IF(INPUT_CAD!D258="","",INPUT_CAD!D258)</f>
        <v/>
      </c>
      <c r="E258" s="4" t="str">
        <f>IF(INPUT_CAD!E258="","",INPUT_CAD!E258)</f>
        <v/>
      </c>
      <c r="F258" s="4" t="str">
        <f>IF(INPUT_CAD!F258="","",INPUT_CAD!F258)</f>
        <v/>
      </c>
      <c r="G258" s="4" t="str">
        <f>IF(INPUT_CAD!G258="","",INPUT_CAD!G258)</f>
        <v/>
      </c>
      <c r="I258" s="4" t="str">
        <f t="shared" si="36"/>
        <v/>
      </c>
      <c r="J258" s="4" t="str">
        <f t="shared" si="37"/>
        <v/>
      </c>
      <c r="K258" s="4" t="str">
        <f t="shared" si="38"/>
        <v/>
      </c>
      <c r="L258" s="4" t="str">
        <f>IFERROR(VLOOKUP(ROUND(K258,0),correction_tag!$A$7:$C$253,3),"x")</f>
        <v>x</v>
      </c>
      <c r="N258" s="4">
        <f t="shared" si="30"/>
        <v>1</v>
      </c>
      <c r="O258" s="4">
        <f>IF(N257=0,O257+INPUT_CAD!$B$4,INPUT_CAD!$B$4)</f>
        <v>2</v>
      </c>
      <c r="Q258" s="4" t="str">
        <f t="shared" si="31"/>
        <v/>
      </c>
      <c r="R258" s="4" t="str">
        <f t="shared" si="32"/>
        <v/>
      </c>
      <c r="S258" s="4" t="str">
        <f t="shared" si="33"/>
        <v/>
      </c>
      <c r="T258" s="4" t="str">
        <f>IFERROR(Q258*Setup!$C$26+R258*Setup!$D$26+S258*Setup!$E$26,"")</f>
        <v/>
      </c>
      <c r="U258" s="4" t="str">
        <f t="shared" si="35"/>
        <v/>
      </c>
      <c r="V258" s="4">
        <f t="shared" si="34"/>
        <v>90</v>
      </c>
    </row>
    <row r="259" spans="1:22" hidden="1" x14ac:dyDescent="0.25">
      <c r="A259" s="4" t="str">
        <f>IF(INPUT_CAD!A259="","",INPUT_CAD!A259)</f>
        <v/>
      </c>
      <c r="B259" s="4" t="str">
        <f>IF(INPUT_CAD!B259="","",INPUT_CAD!B259)</f>
        <v/>
      </c>
      <c r="C259" s="4" t="str">
        <f>IF(INPUT_CAD!C259="","",INPUT_CAD!C259)</f>
        <v/>
      </c>
      <c r="D259" s="4" t="str">
        <f>IF(INPUT_CAD!D259="","",INPUT_CAD!D259)</f>
        <v/>
      </c>
      <c r="E259" s="4" t="str">
        <f>IF(INPUT_CAD!E259="","",INPUT_CAD!E259)</f>
        <v/>
      </c>
      <c r="F259" s="4" t="str">
        <f>IF(INPUT_CAD!F259="","",INPUT_CAD!F259)</f>
        <v/>
      </c>
      <c r="G259" s="4" t="str">
        <f>IF(INPUT_CAD!G259="","",INPUT_CAD!G259)</f>
        <v/>
      </c>
      <c r="I259" s="4" t="str">
        <f t="shared" si="36"/>
        <v/>
      </c>
      <c r="J259" s="4" t="str">
        <f t="shared" si="37"/>
        <v/>
      </c>
      <c r="K259" s="4" t="str">
        <f t="shared" si="38"/>
        <v/>
      </c>
      <c r="L259" s="4" t="str">
        <f>IFERROR(VLOOKUP(ROUND(K259,0),correction_tag!$A$7:$C$253,3),"x")</f>
        <v>x</v>
      </c>
      <c r="N259" s="4">
        <f t="shared" si="30"/>
        <v>1</v>
      </c>
      <c r="O259" s="4">
        <f>IF(N258=0,O258+INPUT_CAD!$B$4,INPUT_CAD!$B$4)</f>
        <v>2</v>
      </c>
      <c r="Q259" s="4" t="str">
        <f t="shared" si="31"/>
        <v/>
      </c>
      <c r="R259" s="4" t="str">
        <f t="shared" si="32"/>
        <v/>
      </c>
      <c r="S259" s="4" t="str">
        <f t="shared" si="33"/>
        <v/>
      </c>
      <c r="T259" s="4" t="str">
        <f>IFERROR(Q259*Setup!$C$26+R259*Setup!$D$26+S259*Setup!$E$26,"")</f>
        <v/>
      </c>
      <c r="U259" s="4" t="str">
        <f t="shared" si="35"/>
        <v/>
      </c>
      <c r="V259" s="4">
        <f t="shared" si="34"/>
        <v>90</v>
      </c>
    </row>
    <row r="260" spans="1:22" hidden="1" x14ac:dyDescent="0.25">
      <c r="A260" s="4" t="str">
        <f>IF(INPUT_CAD!A260="","",INPUT_CAD!A260)</f>
        <v/>
      </c>
      <c r="B260" s="4" t="str">
        <f>IF(INPUT_CAD!B260="","",INPUT_CAD!B260)</f>
        <v/>
      </c>
      <c r="C260" s="4" t="str">
        <f>IF(INPUT_CAD!C260="","",INPUT_CAD!C260)</f>
        <v/>
      </c>
      <c r="D260" s="4" t="str">
        <f>IF(INPUT_CAD!D260="","",INPUT_CAD!D260)</f>
        <v/>
      </c>
      <c r="E260" s="4" t="str">
        <f>IF(INPUT_CAD!E260="","",INPUT_CAD!E260)</f>
        <v/>
      </c>
      <c r="F260" s="4" t="str">
        <f>IF(INPUT_CAD!F260="","",INPUT_CAD!F260)</f>
        <v/>
      </c>
      <c r="G260" s="4" t="str">
        <f>IF(INPUT_CAD!G260="","",INPUT_CAD!G260)</f>
        <v/>
      </c>
      <c r="I260" s="4" t="str">
        <f t="shared" si="36"/>
        <v/>
      </c>
      <c r="J260" s="4" t="str">
        <f t="shared" si="37"/>
        <v/>
      </c>
      <c r="K260" s="4" t="str">
        <f t="shared" si="38"/>
        <v/>
      </c>
      <c r="L260" s="4" t="str">
        <f>IFERROR(VLOOKUP(ROUND(K260,0),correction_tag!$A$7:$C$253,3),"x")</f>
        <v>x</v>
      </c>
      <c r="N260" s="4">
        <f t="shared" si="30"/>
        <v>1</v>
      </c>
      <c r="O260" s="4">
        <f>IF(N259=0,O259+INPUT_CAD!$B$4,INPUT_CAD!$B$4)</f>
        <v>2</v>
      </c>
      <c r="Q260" s="4" t="str">
        <f t="shared" si="31"/>
        <v/>
      </c>
      <c r="R260" s="4" t="str">
        <f t="shared" si="32"/>
        <v/>
      </c>
      <c r="S260" s="4" t="str">
        <f t="shared" si="33"/>
        <v/>
      </c>
      <c r="T260" s="4" t="str">
        <f>IFERROR(Q260*Setup!$C$26+R260*Setup!$D$26+S260*Setup!$E$26,"")</f>
        <v/>
      </c>
      <c r="U260" s="4" t="str">
        <f t="shared" si="35"/>
        <v/>
      </c>
      <c r="V260" s="4">
        <f t="shared" si="34"/>
        <v>90</v>
      </c>
    </row>
    <row r="261" spans="1:22" hidden="1" x14ac:dyDescent="0.25">
      <c r="A261" s="4" t="str">
        <f>IF(INPUT_CAD!A261="","",INPUT_CAD!A261)</f>
        <v/>
      </c>
      <c r="B261" s="4" t="str">
        <f>IF(INPUT_CAD!B261="","",INPUT_CAD!B261)</f>
        <v/>
      </c>
      <c r="C261" s="4" t="str">
        <f>IF(INPUT_CAD!C261="","",INPUT_CAD!C261)</f>
        <v/>
      </c>
      <c r="D261" s="4" t="str">
        <f>IF(INPUT_CAD!D261="","",INPUT_CAD!D261)</f>
        <v/>
      </c>
      <c r="E261" s="4" t="str">
        <f>IF(INPUT_CAD!E261="","",INPUT_CAD!E261)</f>
        <v/>
      </c>
      <c r="F261" s="4" t="str">
        <f>IF(INPUT_CAD!F261="","",INPUT_CAD!F261)</f>
        <v/>
      </c>
      <c r="G261" s="4" t="str">
        <f>IF(INPUT_CAD!G261="","",INPUT_CAD!G261)</f>
        <v/>
      </c>
      <c r="I261" s="4" t="str">
        <f t="shared" si="36"/>
        <v/>
      </c>
      <c r="J261" s="4" t="str">
        <f t="shared" si="37"/>
        <v/>
      </c>
      <c r="K261" s="4" t="str">
        <f t="shared" si="38"/>
        <v/>
      </c>
      <c r="L261" s="4" t="str">
        <f>IFERROR(VLOOKUP(ROUND(K261,0),correction_tag!$A$7:$C$253,3),"x")</f>
        <v>x</v>
      </c>
      <c r="N261" s="4">
        <f t="shared" si="30"/>
        <v>1</v>
      </c>
      <c r="O261" s="4">
        <f>IF(N260=0,O260+INPUT_CAD!$B$4,INPUT_CAD!$B$4)</f>
        <v>2</v>
      </c>
      <c r="Q261" s="4" t="str">
        <f t="shared" si="31"/>
        <v/>
      </c>
      <c r="R261" s="4" t="str">
        <f t="shared" si="32"/>
        <v/>
      </c>
      <c r="S261" s="4" t="str">
        <f t="shared" si="33"/>
        <v/>
      </c>
      <c r="T261" s="4" t="str">
        <f>IFERROR(Q261*Setup!$C$26+R261*Setup!$D$26+S261*Setup!$E$26,"")</f>
        <v/>
      </c>
      <c r="U261" s="4" t="str">
        <f t="shared" si="35"/>
        <v/>
      </c>
      <c r="V261" s="4">
        <f t="shared" si="34"/>
        <v>90</v>
      </c>
    </row>
    <row r="262" spans="1:22" hidden="1" x14ac:dyDescent="0.25">
      <c r="A262" s="4" t="str">
        <f>IF(INPUT_CAD!A262="","",INPUT_CAD!A262)</f>
        <v/>
      </c>
      <c r="B262" s="4" t="str">
        <f>IF(INPUT_CAD!B262="","",INPUT_CAD!B262)</f>
        <v/>
      </c>
      <c r="C262" s="4" t="str">
        <f>IF(INPUT_CAD!C262="","",INPUT_CAD!C262)</f>
        <v/>
      </c>
      <c r="D262" s="4" t="str">
        <f>IF(INPUT_CAD!D262="","",INPUT_CAD!D262)</f>
        <v/>
      </c>
      <c r="E262" s="4" t="str">
        <f>IF(INPUT_CAD!E262="","",INPUT_CAD!E262)</f>
        <v/>
      </c>
      <c r="F262" s="4" t="str">
        <f>IF(INPUT_CAD!F262="","",INPUT_CAD!F262)</f>
        <v/>
      </c>
      <c r="G262" s="4" t="str">
        <f>IF(INPUT_CAD!G262="","",INPUT_CAD!G262)</f>
        <v/>
      </c>
      <c r="I262" s="4" t="str">
        <f t="shared" si="36"/>
        <v/>
      </c>
      <c r="J262" s="4" t="str">
        <f t="shared" si="37"/>
        <v/>
      </c>
      <c r="K262" s="4" t="str">
        <f t="shared" si="38"/>
        <v/>
      </c>
      <c r="L262" s="4" t="str">
        <f>IFERROR(VLOOKUP(ROUND(K262,0),correction_tag!$A$7:$C$253,3),"x")</f>
        <v>x</v>
      </c>
      <c r="N262" s="4">
        <f t="shared" si="30"/>
        <v>1</v>
      </c>
      <c r="O262" s="4">
        <f>IF(N261=0,O261+INPUT_CAD!$B$4,INPUT_CAD!$B$4)</f>
        <v>2</v>
      </c>
      <c r="Q262" s="4" t="str">
        <f t="shared" si="31"/>
        <v/>
      </c>
      <c r="R262" s="4" t="str">
        <f t="shared" si="32"/>
        <v/>
      </c>
      <c r="S262" s="4" t="str">
        <f t="shared" si="33"/>
        <v/>
      </c>
      <c r="T262" s="4" t="str">
        <f>IFERROR(Q262*Setup!$C$26+R262*Setup!$D$26+S262*Setup!$E$26,"")</f>
        <v/>
      </c>
      <c r="U262" s="4" t="str">
        <f t="shared" si="35"/>
        <v/>
      </c>
      <c r="V262" s="4">
        <f t="shared" si="34"/>
        <v>90</v>
      </c>
    </row>
    <row r="263" spans="1:22" hidden="1" x14ac:dyDescent="0.25">
      <c r="A263" s="4" t="str">
        <f>IF(INPUT_CAD!A263="","",INPUT_CAD!A263)</f>
        <v/>
      </c>
      <c r="B263" s="4" t="str">
        <f>IF(INPUT_CAD!B263="","",INPUT_CAD!B263)</f>
        <v/>
      </c>
      <c r="C263" s="4" t="str">
        <f>IF(INPUT_CAD!C263="","",INPUT_CAD!C263)</f>
        <v/>
      </c>
      <c r="D263" s="4" t="str">
        <f>IF(INPUT_CAD!D263="","",INPUT_CAD!D263)</f>
        <v/>
      </c>
      <c r="E263" s="4" t="str">
        <f>IF(INPUT_CAD!E263="","",INPUT_CAD!E263)</f>
        <v/>
      </c>
      <c r="F263" s="4" t="str">
        <f>IF(INPUT_CAD!F263="","",INPUT_CAD!F263)</f>
        <v/>
      </c>
      <c r="G263" s="4" t="str">
        <f>IF(INPUT_CAD!G263="","",INPUT_CAD!G263)</f>
        <v/>
      </c>
      <c r="I263" s="4" t="str">
        <f t="shared" si="36"/>
        <v/>
      </c>
      <c r="J263" s="4" t="str">
        <f t="shared" si="37"/>
        <v/>
      </c>
      <c r="K263" s="4" t="str">
        <f t="shared" si="38"/>
        <v/>
      </c>
      <c r="L263" s="4" t="str">
        <f>IFERROR(VLOOKUP(ROUND(K263,0),correction_tag!$A$7:$C$253,3),"x")</f>
        <v>x</v>
      </c>
      <c r="N263" s="4">
        <f t="shared" si="30"/>
        <v>1</v>
      </c>
      <c r="O263" s="4">
        <f>IF(N262=0,O262+INPUT_CAD!$B$4,INPUT_CAD!$B$4)</f>
        <v>2</v>
      </c>
      <c r="Q263" s="4" t="str">
        <f t="shared" si="31"/>
        <v/>
      </c>
      <c r="R263" s="4" t="str">
        <f t="shared" si="32"/>
        <v/>
      </c>
      <c r="S263" s="4" t="str">
        <f t="shared" si="33"/>
        <v/>
      </c>
      <c r="T263" s="4" t="str">
        <f>IFERROR(Q263*Setup!$C$26+R263*Setup!$D$26+S263*Setup!$E$26,"")</f>
        <v/>
      </c>
      <c r="U263" s="4" t="str">
        <f t="shared" si="35"/>
        <v/>
      </c>
      <c r="V263" s="4">
        <f t="shared" si="34"/>
        <v>90</v>
      </c>
    </row>
    <row r="264" spans="1:22" hidden="1" x14ac:dyDescent="0.25">
      <c r="A264" s="4" t="str">
        <f>IF(INPUT_CAD!A264="","",INPUT_CAD!A264)</f>
        <v/>
      </c>
      <c r="B264" s="4" t="str">
        <f>IF(INPUT_CAD!B264="","",INPUT_CAD!B264)</f>
        <v/>
      </c>
      <c r="C264" s="4" t="str">
        <f>IF(INPUT_CAD!C264="","",INPUT_CAD!C264)</f>
        <v/>
      </c>
      <c r="D264" s="4" t="str">
        <f>IF(INPUT_CAD!D264="","",INPUT_CAD!D264)</f>
        <v/>
      </c>
      <c r="E264" s="4" t="str">
        <f>IF(INPUT_CAD!E264="","",INPUT_CAD!E264)</f>
        <v/>
      </c>
      <c r="F264" s="4" t="str">
        <f>IF(INPUT_CAD!F264="","",INPUT_CAD!F264)</f>
        <v/>
      </c>
      <c r="G264" s="4" t="str">
        <f>IF(INPUT_CAD!G264="","",INPUT_CAD!G264)</f>
        <v/>
      </c>
      <c r="I264" s="4" t="str">
        <f t="shared" si="36"/>
        <v/>
      </c>
      <c r="J264" s="4" t="str">
        <f t="shared" si="37"/>
        <v/>
      </c>
      <c r="K264" s="4" t="str">
        <f t="shared" si="38"/>
        <v/>
      </c>
      <c r="L264" s="4" t="str">
        <f>IFERROR(VLOOKUP(ROUND(K264,0),correction_tag!$A$7:$C$253,3),"x")</f>
        <v>x</v>
      </c>
      <c r="N264" s="4">
        <f t="shared" si="30"/>
        <v>1</v>
      </c>
      <c r="O264" s="4">
        <f>IF(N263=0,O263+INPUT_CAD!$B$4,INPUT_CAD!$B$4)</f>
        <v>2</v>
      </c>
      <c r="Q264" s="4" t="str">
        <f t="shared" si="31"/>
        <v/>
      </c>
      <c r="R264" s="4" t="str">
        <f t="shared" si="32"/>
        <v/>
      </c>
      <c r="S264" s="4" t="str">
        <f t="shared" si="33"/>
        <v/>
      </c>
      <c r="T264" s="4" t="str">
        <f>IFERROR(Q264*Setup!$C$26+R264*Setup!$D$26+S264*Setup!$E$26,"")</f>
        <v/>
      </c>
      <c r="U264" s="4" t="str">
        <f t="shared" si="35"/>
        <v/>
      </c>
      <c r="V264" s="4">
        <f t="shared" si="34"/>
        <v>90</v>
      </c>
    </row>
    <row r="265" spans="1:22" hidden="1" x14ac:dyDescent="0.25">
      <c r="A265" s="4" t="str">
        <f>IF(INPUT_CAD!A265="","",INPUT_CAD!A265)</f>
        <v/>
      </c>
      <c r="B265" s="4" t="str">
        <f>IF(INPUT_CAD!B265="","",INPUT_CAD!B265)</f>
        <v/>
      </c>
      <c r="C265" s="4" t="str">
        <f>IF(INPUT_CAD!C265="","",INPUT_CAD!C265)</f>
        <v/>
      </c>
      <c r="D265" s="4" t="str">
        <f>IF(INPUT_CAD!D265="","",INPUT_CAD!D265)</f>
        <v/>
      </c>
      <c r="E265" s="4" t="str">
        <f>IF(INPUT_CAD!E265="","",INPUT_CAD!E265)</f>
        <v/>
      </c>
      <c r="F265" s="4" t="str">
        <f>IF(INPUT_CAD!F265="","",INPUT_CAD!F265)</f>
        <v/>
      </c>
      <c r="G265" s="4" t="str">
        <f>IF(INPUT_CAD!G265="","",INPUT_CAD!G265)</f>
        <v/>
      </c>
      <c r="I265" s="4" t="str">
        <f t="shared" si="36"/>
        <v/>
      </c>
      <c r="J265" s="4" t="str">
        <f t="shared" si="37"/>
        <v/>
      </c>
      <c r="K265" s="4" t="str">
        <f t="shared" si="38"/>
        <v/>
      </c>
      <c r="L265" s="4" t="str">
        <f>IFERROR(VLOOKUP(ROUND(K265,0),correction_tag!$A$7:$C$253,3),"x")</f>
        <v>x</v>
      </c>
      <c r="N265" s="4">
        <f t="shared" si="30"/>
        <v>1</v>
      </c>
      <c r="O265" s="4">
        <f>IF(N264=0,O264+INPUT_CAD!$B$4,INPUT_CAD!$B$4)</f>
        <v>2</v>
      </c>
      <c r="Q265" s="4" t="str">
        <f t="shared" si="31"/>
        <v/>
      </c>
      <c r="R265" s="4" t="str">
        <f t="shared" si="32"/>
        <v/>
      </c>
      <c r="S265" s="4" t="str">
        <f t="shared" si="33"/>
        <v/>
      </c>
      <c r="T265" s="4" t="str">
        <f>IFERROR(Q265*Setup!$C$26+R265*Setup!$D$26+S265*Setup!$E$26,"")</f>
        <v/>
      </c>
      <c r="U265" s="4" t="str">
        <f t="shared" si="35"/>
        <v/>
      </c>
      <c r="V265" s="4">
        <f t="shared" si="34"/>
        <v>90</v>
      </c>
    </row>
    <row r="266" spans="1:22" hidden="1" x14ac:dyDescent="0.25">
      <c r="A266" s="4" t="str">
        <f>IF(INPUT_CAD!A266="","",INPUT_CAD!A266)</f>
        <v/>
      </c>
      <c r="B266" s="4" t="str">
        <f>IF(INPUT_CAD!B266="","",INPUT_CAD!B266)</f>
        <v/>
      </c>
      <c r="C266" s="4" t="str">
        <f>IF(INPUT_CAD!C266="","",INPUT_CAD!C266)</f>
        <v/>
      </c>
      <c r="D266" s="4" t="str">
        <f>IF(INPUT_CAD!D266="","",INPUT_CAD!D266)</f>
        <v/>
      </c>
      <c r="E266" s="4" t="str">
        <f>IF(INPUT_CAD!E266="","",INPUT_CAD!E266)</f>
        <v/>
      </c>
      <c r="F266" s="4" t="str">
        <f>IF(INPUT_CAD!F266="","",INPUT_CAD!F266)</f>
        <v/>
      </c>
      <c r="G266" s="4" t="str">
        <f>IF(INPUT_CAD!G266="","",INPUT_CAD!G266)</f>
        <v/>
      </c>
      <c r="I266" s="4" t="str">
        <f t="shared" si="36"/>
        <v/>
      </c>
      <c r="J266" s="4" t="str">
        <f t="shared" si="37"/>
        <v/>
      </c>
      <c r="K266" s="4" t="str">
        <f t="shared" si="38"/>
        <v/>
      </c>
      <c r="L266" s="4" t="str">
        <f>IFERROR(VLOOKUP(ROUND(K266,0),correction_tag!$A$7:$C$253,3),"x")</f>
        <v>x</v>
      </c>
      <c r="N266" s="4">
        <f t="shared" si="30"/>
        <v>1</v>
      </c>
      <c r="O266" s="4">
        <f>IF(N265=0,O265+INPUT_CAD!$B$4,INPUT_CAD!$B$4)</f>
        <v>2</v>
      </c>
      <c r="Q266" s="4" t="str">
        <f t="shared" si="31"/>
        <v/>
      </c>
      <c r="R266" s="4" t="str">
        <f t="shared" si="32"/>
        <v/>
      </c>
      <c r="S266" s="4" t="str">
        <f t="shared" si="33"/>
        <v/>
      </c>
      <c r="T266" s="4" t="str">
        <f>IFERROR(Q266*Setup!$C$26+R266*Setup!$D$26+S266*Setup!$E$26,"")</f>
        <v/>
      </c>
      <c r="U266" s="4" t="str">
        <f t="shared" si="35"/>
        <v/>
      </c>
      <c r="V266" s="4">
        <f t="shared" si="34"/>
        <v>90</v>
      </c>
    </row>
    <row r="267" spans="1:22" hidden="1" x14ac:dyDescent="0.25">
      <c r="A267" s="4" t="str">
        <f>IF(INPUT_CAD!A267="","",INPUT_CAD!A267)</f>
        <v/>
      </c>
      <c r="B267" s="4" t="str">
        <f>IF(INPUT_CAD!B267="","",INPUT_CAD!B267)</f>
        <v/>
      </c>
      <c r="C267" s="4" t="str">
        <f>IF(INPUT_CAD!C267="","",INPUT_CAD!C267)</f>
        <v/>
      </c>
      <c r="D267" s="4" t="str">
        <f>IF(INPUT_CAD!D267="","",INPUT_CAD!D267)</f>
        <v/>
      </c>
      <c r="E267" s="4" t="str">
        <f>IF(INPUT_CAD!E267="","",INPUT_CAD!E267)</f>
        <v/>
      </c>
      <c r="F267" s="4" t="str">
        <f>IF(INPUT_CAD!F267="","",INPUT_CAD!F267)</f>
        <v/>
      </c>
      <c r="G267" s="4" t="str">
        <f>IF(INPUT_CAD!G267="","",INPUT_CAD!G267)</f>
        <v/>
      </c>
      <c r="I267" s="4" t="str">
        <f t="shared" si="36"/>
        <v/>
      </c>
      <c r="J267" s="4" t="str">
        <f t="shared" si="37"/>
        <v/>
      </c>
      <c r="K267" s="4" t="str">
        <f t="shared" si="38"/>
        <v/>
      </c>
      <c r="L267" s="4" t="str">
        <f>IFERROR(VLOOKUP(ROUND(K267,0),correction_tag!$A$7:$C$253,3),"x")</f>
        <v>x</v>
      </c>
      <c r="N267" s="4">
        <f t="shared" ref="N267:N330" si="39">IF(AND(K267&lt;&gt;0,K267&lt;&gt;"x"), 1,0)</f>
        <v>1</v>
      </c>
      <c r="O267" s="4">
        <f>IF(N266=0,O266+INPUT_CAD!$B$4,INPUT_CAD!$B$4)</f>
        <v>2</v>
      </c>
      <c r="Q267" s="4" t="str">
        <f t="shared" ref="Q267:Q330" si="40">IFERROR(F266*G267-G266*F267,"")</f>
        <v/>
      </c>
      <c r="R267" s="4" t="str">
        <f t="shared" ref="R267:R330" si="41">IFERROR(G266*E267-E266*G267,"")</f>
        <v/>
      </c>
      <c r="S267" s="4" t="str">
        <f t="shared" ref="S267:S330" si="42">IFERROR(E266*F267-F266*E267,"")</f>
        <v/>
      </c>
      <c r="T267" s="4" t="str">
        <f>IFERROR(Q267*Setup!$C$26+R267*Setup!$D$26+S267*Setup!$E$26,"")</f>
        <v/>
      </c>
      <c r="U267" s="4" t="str">
        <f t="shared" si="35"/>
        <v/>
      </c>
      <c r="V267" s="4">
        <f t="shared" ref="V267:V330" si="43">IFERROR(DEGREES(ACOS(T267/(U266*U267))),90)</f>
        <v>90</v>
      </c>
    </row>
    <row r="268" spans="1:22" hidden="1" x14ac:dyDescent="0.25">
      <c r="A268" s="4" t="str">
        <f>IF(INPUT_CAD!A268="","",INPUT_CAD!A268)</f>
        <v/>
      </c>
      <c r="B268" s="4" t="str">
        <f>IF(INPUT_CAD!B268="","",INPUT_CAD!B268)</f>
        <v/>
      </c>
      <c r="C268" s="4" t="str">
        <f>IF(INPUT_CAD!C268="","",INPUT_CAD!C268)</f>
        <v/>
      </c>
      <c r="D268" s="4" t="str">
        <f>IF(INPUT_CAD!D268="","",INPUT_CAD!D268)</f>
        <v/>
      </c>
      <c r="E268" s="4" t="str">
        <f>IF(INPUT_CAD!E268="","",INPUT_CAD!E268)</f>
        <v/>
      </c>
      <c r="F268" s="4" t="str">
        <f>IF(INPUT_CAD!F268="","",INPUT_CAD!F268)</f>
        <v/>
      </c>
      <c r="G268" s="4" t="str">
        <f>IF(INPUT_CAD!G268="","",INPUT_CAD!G268)</f>
        <v/>
      </c>
      <c r="I268" s="4" t="str">
        <f t="shared" si="36"/>
        <v/>
      </c>
      <c r="J268" s="4" t="str">
        <f t="shared" si="37"/>
        <v/>
      </c>
      <c r="K268" s="4" t="str">
        <f t="shared" si="38"/>
        <v/>
      </c>
      <c r="L268" s="4" t="str">
        <f>IFERROR(VLOOKUP(ROUND(K268,0),correction_tag!$A$7:$C$253,3),"x")</f>
        <v>x</v>
      </c>
      <c r="N268" s="4">
        <f t="shared" si="39"/>
        <v>1</v>
      </c>
      <c r="O268" s="4">
        <f>IF(N267=0,O267+INPUT_CAD!$B$4,INPUT_CAD!$B$4)</f>
        <v>2</v>
      </c>
      <c r="Q268" s="4" t="str">
        <f t="shared" si="40"/>
        <v/>
      </c>
      <c r="R268" s="4" t="str">
        <f t="shared" si="41"/>
        <v/>
      </c>
      <c r="S268" s="4" t="str">
        <f t="shared" si="42"/>
        <v/>
      </c>
      <c r="T268" s="4" t="str">
        <f>IFERROR(Q268*Setup!$C$26+R268*Setup!$D$26+S268*Setup!$E$26,"")</f>
        <v/>
      </c>
      <c r="U268" s="4" t="str">
        <f t="shared" ref="U268:U331" si="44">IFERROR(SQRT(Q268^2+R268^2+S268^2),"")</f>
        <v/>
      </c>
      <c r="V268" s="4">
        <f t="shared" si="43"/>
        <v>90</v>
      </c>
    </row>
    <row r="269" spans="1:22" hidden="1" x14ac:dyDescent="0.25">
      <c r="A269" s="4" t="str">
        <f>IF(INPUT_CAD!A269="","",INPUT_CAD!A269)</f>
        <v/>
      </c>
      <c r="B269" s="4" t="str">
        <f>IF(INPUT_CAD!B269="","",INPUT_CAD!B269)</f>
        <v/>
      </c>
      <c r="C269" s="4" t="str">
        <f>IF(INPUT_CAD!C269="","",INPUT_CAD!C269)</f>
        <v/>
      </c>
      <c r="D269" s="4" t="str">
        <f>IF(INPUT_CAD!D269="","",INPUT_CAD!D269)</f>
        <v/>
      </c>
      <c r="E269" s="4" t="str">
        <f>IF(INPUT_CAD!E269="","",INPUT_CAD!E269)</f>
        <v/>
      </c>
      <c r="F269" s="4" t="str">
        <f>IF(INPUT_CAD!F269="","",INPUT_CAD!F269)</f>
        <v/>
      </c>
      <c r="G269" s="4" t="str">
        <f>IF(INPUT_CAD!G269="","",INPUT_CAD!G269)</f>
        <v/>
      </c>
      <c r="I269" s="4" t="str">
        <f t="shared" si="36"/>
        <v/>
      </c>
      <c r="J269" s="4" t="str">
        <f t="shared" si="37"/>
        <v/>
      </c>
      <c r="K269" s="4" t="str">
        <f t="shared" si="38"/>
        <v/>
      </c>
      <c r="L269" s="4" t="str">
        <f>IFERROR(VLOOKUP(ROUND(K269,0),correction_tag!$A$7:$C$253,3),"x")</f>
        <v>x</v>
      </c>
      <c r="N269" s="4">
        <f t="shared" si="39"/>
        <v>1</v>
      </c>
      <c r="O269" s="4">
        <f>IF(N268=0,O268+INPUT_CAD!$B$4,INPUT_CAD!$B$4)</f>
        <v>2</v>
      </c>
      <c r="Q269" s="4" t="str">
        <f t="shared" si="40"/>
        <v/>
      </c>
      <c r="R269" s="4" t="str">
        <f t="shared" si="41"/>
        <v/>
      </c>
      <c r="S269" s="4" t="str">
        <f t="shared" si="42"/>
        <v/>
      </c>
      <c r="T269" s="4" t="str">
        <f>IFERROR(Q269*Setup!$C$26+R269*Setup!$D$26+S269*Setup!$E$26,"")</f>
        <v/>
      </c>
      <c r="U269" s="4" t="str">
        <f t="shared" si="44"/>
        <v/>
      </c>
      <c r="V269" s="4">
        <f t="shared" si="43"/>
        <v>90</v>
      </c>
    </row>
    <row r="270" spans="1:22" hidden="1" x14ac:dyDescent="0.25">
      <c r="A270" s="4" t="str">
        <f>IF(INPUT_CAD!A270="","",INPUT_CAD!A270)</f>
        <v/>
      </c>
      <c r="B270" s="4" t="str">
        <f>IF(INPUT_CAD!B270="","",INPUT_CAD!B270)</f>
        <v/>
      </c>
      <c r="C270" s="4" t="str">
        <f>IF(INPUT_CAD!C270="","",INPUT_CAD!C270)</f>
        <v/>
      </c>
      <c r="D270" s="4" t="str">
        <f>IF(INPUT_CAD!D270="","",INPUT_CAD!D270)</f>
        <v/>
      </c>
      <c r="E270" s="4" t="str">
        <f>IF(INPUT_CAD!E270="","",INPUT_CAD!E270)</f>
        <v/>
      </c>
      <c r="F270" s="4" t="str">
        <f>IF(INPUT_CAD!F270="","",INPUT_CAD!F270)</f>
        <v/>
      </c>
      <c r="G270" s="4" t="str">
        <f>IF(INPUT_CAD!G270="","",INPUT_CAD!G270)</f>
        <v/>
      </c>
      <c r="I270" s="4" t="str">
        <f t="shared" si="36"/>
        <v/>
      </c>
      <c r="J270" s="4" t="str">
        <f t="shared" si="37"/>
        <v/>
      </c>
      <c r="K270" s="4" t="str">
        <f t="shared" si="38"/>
        <v/>
      </c>
      <c r="L270" s="4" t="str">
        <f>IFERROR(VLOOKUP(ROUND(K270,0),correction_tag!$A$7:$C$253,3),"x")</f>
        <v>x</v>
      </c>
      <c r="N270" s="4">
        <f t="shared" si="39"/>
        <v>1</v>
      </c>
      <c r="O270" s="4">
        <f>IF(N269=0,O269+INPUT_CAD!$B$4,INPUT_CAD!$B$4)</f>
        <v>2</v>
      </c>
      <c r="Q270" s="4" t="str">
        <f t="shared" si="40"/>
        <v/>
      </c>
      <c r="R270" s="4" t="str">
        <f t="shared" si="41"/>
        <v/>
      </c>
      <c r="S270" s="4" t="str">
        <f t="shared" si="42"/>
        <v/>
      </c>
      <c r="T270" s="4" t="str">
        <f>IFERROR(Q270*Setup!$C$26+R270*Setup!$D$26+S270*Setup!$E$26,"")</f>
        <v/>
      </c>
      <c r="U270" s="4" t="str">
        <f t="shared" si="44"/>
        <v/>
      </c>
      <c r="V270" s="4">
        <f t="shared" si="43"/>
        <v>90</v>
      </c>
    </row>
    <row r="271" spans="1:22" hidden="1" x14ac:dyDescent="0.25">
      <c r="A271" s="4" t="str">
        <f>IF(INPUT_CAD!A271="","",INPUT_CAD!A271)</f>
        <v/>
      </c>
      <c r="B271" s="4" t="str">
        <f>IF(INPUT_CAD!B271="","",INPUT_CAD!B271)</f>
        <v/>
      </c>
      <c r="C271" s="4" t="str">
        <f>IF(INPUT_CAD!C271="","",INPUT_CAD!C271)</f>
        <v/>
      </c>
      <c r="D271" s="4" t="str">
        <f>IF(INPUT_CAD!D271="","",INPUT_CAD!D271)</f>
        <v/>
      </c>
      <c r="E271" s="4" t="str">
        <f>IF(INPUT_CAD!E271="","",INPUT_CAD!E271)</f>
        <v/>
      </c>
      <c r="F271" s="4" t="str">
        <f>IF(INPUT_CAD!F271="","",INPUT_CAD!F271)</f>
        <v/>
      </c>
      <c r="G271" s="4" t="str">
        <f>IF(INPUT_CAD!G271="","",INPUT_CAD!G271)</f>
        <v/>
      </c>
      <c r="I271" s="4" t="str">
        <f t="shared" si="36"/>
        <v/>
      </c>
      <c r="J271" s="4" t="str">
        <f t="shared" si="37"/>
        <v/>
      </c>
      <c r="K271" s="4" t="str">
        <f t="shared" si="38"/>
        <v/>
      </c>
      <c r="L271" s="4" t="str">
        <f>IFERROR(VLOOKUP(ROUND(K271,0),correction_tag!$A$7:$C$253,3),"x")</f>
        <v>x</v>
      </c>
      <c r="N271" s="4">
        <f t="shared" si="39"/>
        <v>1</v>
      </c>
      <c r="O271" s="4">
        <f>IF(N270=0,O270+INPUT_CAD!$B$4,INPUT_CAD!$B$4)</f>
        <v>2</v>
      </c>
      <c r="Q271" s="4" t="str">
        <f t="shared" si="40"/>
        <v/>
      </c>
      <c r="R271" s="4" t="str">
        <f t="shared" si="41"/>
        <v/>
      </c>
      <c r="S271" s="4" t="str">
        <f t="shared" si="42"/>
        <v/>
      </c>
      <c r="T271" s="4" t="str">
        <f>IFERROR(Q271*Setup!$C$26+R271*Setup!$D$26+S271*Setup!$E$26,"")</f>
        <v/>
      </c>
      <c r="U271" s="4" t="str">
        <f t="shared" si="44"/>
        <v/>
      </c>
      <c r="V271" s="4">
        <f t="shared" si="43"/>
        <v>90</v>
      </c>
    </row>
    <row r="272" spans="1:22" hidden="1" x14ac:dyDescent="0.25">
      <c r="A272" s="4" t="str">
        <f>IF(INPUT_CAD!A272="","",INPUT_CAD!A272)</f>
        <v/>
      </c>
      <c r="B272" s="4" t="str">
        <f>IF(INPUT_CAD!B272="","",INPUT_CAD!B272)</f>
        <v/>
      </c>
      <c r="C272" s="4" t="str">
        <f>IF(INPUT_CAD!C272="","",INPUT_CAD!C272)</f>
        <v/>
      </c>
      <c r="D272" s="4" t="str">
        <f>IF(INPUT_CAD!D272="","",INPUT_CAD!D272)</f>
        <v/>
      </c>
      <c r="E272" s="4" t="str">
        <f>IF(INPUT_CAD!E272="","",INPUT_CAD!E272)</f>
        <v/>
      </c>
      <c r="F272" s="4" t="str">
        <f>IF(INPUT_CAD!F272="","",INPUT_CAD!F272)</f>
        <v/>
      </c>
      <c r="G272" s="4" t="str">
        <f>IF(INPUT_CAD!G272="","",INPUT_CAD!G272)</f>
        <v/>
      </c>
      <c r="I272" s="4" t="str">
        <f t="shared" si="36"/>
        <v/>
      </c>
      <c r="J272" s="4" t="str">
        <f t="shared" si="37"/>
        <v/>
      </c>
      <c r="K272" s="4" t="str">
        <f t="shared" si="38"/>
        <v/>
      </c>
      <c r="L272" s="4" t="str">
        <f>IFERROR(VLOOKUP(ROUND(K272,0),correction_tag!$A$7:$C$253,3),"x")</f>
        <v>x</v>
      </c>
      <c r="N272" s="4">
        <f t="shared" si="39"/>
        <v>1</v>
      </c>
      <c r="O272" s="4">
        <f>IF(N271=0,O271+INPUT_CAD!$B$4,INPUT_CAD!$B$4)</f>
        <v>2</v>
      </c>
      <c r="Q272" s="4" t="str">
        <f t="shared" si="40"/>
        <v/>
      </c>
      <c r="R272" s="4" t="str">
        <f t="shared" si="41"/>
        <v/>
      </c>
      <c r="S272" s="4" t="str">
        <f t="shared" si="42"/>
        <v/>
      </c>
      <c r="T272" s="4" t="str">
        <f>IFERROR(Q272*Setup!$C$26+R272*Setup!$D$26+S272*Setup!$E$26,"")</f>
        <v/>
      </c>
      <c r="U272" s="4" t="str">
        <f t="shared" si="44"/>
        <v/>
      </c>
      <c r="V272" s="4">
        <f t="shared" si="43"/>
        <v>90</v>
      </c>
    </row>
    <row r="273" spans="1:22" hidden="1" x14ac:dyDescent="0.25">
      <c r="A273" s="4" t="str">
        <f>IF(INPUT_CAD!A273="","",INPUT_CAD!A273)</f>
        <v/>
      </c>
      <c r="B273" s="4" t="str">
        <f>IF(INPUT_CAD!B273="","",INPUT_CAD!B273)</f>
        <v/>
      </c>
      <c r="C273" s="4" t="str">
        <f>IF(INPUT_CAD!C273="","",INPUT_CAD!C273)</f>
        <v/>
      </c>
      <c r="D273" s="4" t="str">
        <f>IF(INPUT_CAD!D273="","",INPUT_CAD!D273)</f>
        <v/>
      </c>
      <c r="E273" s="4" t="str">
        <f>IF(INPUT_CAD!E273="","",INPUT_CAD!E273)</f>
        <v/>
      </c>
      <c r="F273" s="4" t="str">
        <f>IF(INPUT_CAD!F273="","",INPUT_CAD!F273)</f>
        <v/>
      </c>
      <c r="G273" s="4" t="str">
        <f>IF(INPUT_CAD!G273="","",INPUT_CAD!G273)</f>
        <v/>
      </c>
      <c r="I273" s="4" t="str">
        <f t="shared" si="36"/>
        <v/>
      </c>
      <c r="J273" s="4" t="str">
        <f t="shared" si="37"/>
        <v/>
      </c>
      <c r="K273" s="4" t="str">
        <f t="shared" si="38"/>
        <v/>
      </c>
      <c r="L273" s="4" t="str">
        <f>IFERROR(VLOOKUP(ROUND(K273,0),correction_tag!$A$7:$C$253,3),"x")</f>
        <v>x</v>
      </c>
      <c r="N273" s="4">
        <f t="shared" si="39"/>
        <v>1</v>
      </c>
      <c r="O273" s="4">
        <f>IF(N272=0,O272+INPUT_CAD!$B$4,INPUT_CAD!$B$4)</f>
        <v>2</v>
      </c>
      <c r="Q273" s="4" t="str">
        <f t="shared" si="40"/>
        <v/>
      </c>
      <c r="R273" s="4" t="str">
        <f t="shared" si="41"/>
        <v/>
      </c>
      <c r="S273" s="4" t="str">
        <f t="shared" si="42"/>
        <v/>
      </c>
      <c r="T273" s="4" t="str">
        <f>IFERROR(Q273*Setup!$C$26+R273*Setup!$D$26+S273*Setup!$E$26,"")</f>
        <v/>
      </c>
      <c r="U273" s="4" t="str">
        <f t="shared" si="44"/>
        <v/>
      </c>
      <c r="V273" s="4">
        <f t="shared" si="43"/>
        <v>90</v>
      </c>
    </row>
    <row r="274" spans="1:22" hidden="1" x14ac:dyDescent="0.25">
      <c r="A274" s="4" t="str">
        <f>IF(INPUT_CAD!A274="","",INPUT_CAD!A274)</f>
        <v/>
      </c>
      <c r="B274" s="4" t="str">
        <f>IF(INPUT_CAD!B274="","",INPUT_CAD!B274)</f>
        <v/>
      </c>
      <c r="C274" s="4" t="str">
        <f>IF(INPUT_CAD!C274="","",INPUT_CAD!C274)</f>
        <v/>
      </c>
      <c r="D274" s="4" t="str">
        <f>IF(INPUT_CAD!D274="","",INPUT_CAD!D274)</f>
        <v/>
      </c>
      <c r="E274" s="4" t="str">
        <f>IF(INPUT_CAD!E274="","",INPUT_CAD!E274)</f>
        <v/>
      </c>
      <c r="F274" s="4" t="str">
        <f>IF(INPUT_CAD!F274="","",INPUT_CAD!F274)</f>
        <v/>
      </c>
      <c r="G274" s="4" t="str">
        <f>IF(INPUT_CAD!G274="","",INPUT_CAD!G274)</f>
        <v/>
      </c>
      <c r="I274" s="4" t="str">
        <f t="shared" si="36"/>
        <v/>
      </c>
      <c r="J274" s="4" t="str">
        <f t="shared" si="37"/>
        <v/>
      </c>
      <c r="K274" s="4" t="str">
        <f t="shared" si="38"/>
        <v/>
      </c>
      <c r="L274" s="4" t="str">
        <f>IFERROR(VLOOKUP(ROUND(K274,0),correction_tag!$A$7:$C$253,3),"x")</f>
        <v>x</v>
      </c>
      <c r="N274" s="4">
        <f t="shared" si="39"/>
        <v>1</v>
      </c>
      <c r="O274" s="4">
        <f>IF(N273=0,O273+INPUT_CAD!$B$4,INPUT_CAD!$B$4)</f>
        <v>2</v>
      </c>
      <c r="Q274" s="4" t="str">
        <f t="shared" si="40"/>
        <v/>
      </c>
      <c r="R274" s="4" t="str">
        <f t="shared" si="41"/>
        <v/>
      </c>
      <c r="S274" s="4" t="str">
        <f t="shared" si="42"/>
        <v/>
      </c>
      <c r="T274" s="4" t="str">
        <f>IFERROR(Q274*Setup!$C$26+R274*Setup!$D$26+S274*Setup!$E$26,"")</f>
        <v/>
      </c>
      <c r="U274" s="4" t="str">
        <f t="shared" si="44"/>
        <v/>
      </c>
      <c r="V274" s="4">
        <f t="shared" si="43"/>
        <v>90</v>
      </c>
    </row>
    <row r="275" spans="1:22" hidden="1" x14ac:dyDescent="0.25">
      <c r="A275" s="4" t="str">
        <f>IF(INPUT_CAD!A275="","",INPUT_CAD!A275)</f>
        <v/>
      </c>
      <c r="B275" s="4" t="str">
        <f>IF(INPUT_CAD!B275="","",INPUT_CAD!B275)</f>
        <v/>
      </c>
      <c r="C275" s="4" t="str">
        <f>IF(INPUT_CAD!C275="","",INPUT_CAD!C275)</f>
        <v/>
      </c>
      <c r="D275" s="4" t="str">
        <f>IF(INPUT_CAD!D275="","",INPUT_CAD!D275)</f>
        <v/>
      </c>
      <c r="E275" s="4" t="str">
        <f>IF(INPUT_CAD!E275="","",INPUT_CAD!E275)</f>
        <v/>
      </c>
      <c r="F275" s="4" t="str">
        <f>IF(INPUT_CAD!F275="","",INPUT_CAD!F275)</f>
        <v/>
      </c>
      <c r="G275" s="4" t="str">
        <f>IF(INPUT_CAD!G275="","",INPUT_CAD!G275)</f>
        <v/>
      </c>
      <c r="I275" s="4" t="str">
        <f t="shared" si="36"/>
        <v/>
      </c>
      <c r="J275" s="4" t="str">
        <f t="shared" si="37"/>
        <v/>
      </c>
      <c r="K275" s="4" t="str">
        <f t="shared" si="38"/>
        <v/>
      </c>
      <c r="L275" s="4" t="str">
        <f>IFERROR(VLOOKUP(ROUND(K275,0),correction_tag!$A$7:$C$253,3),"x")</f>
        <v>x</v>
      </c>
      <c r="N275" s="4">
        <f t="shared" si="39"/>
        <v>1</v>
      </c>
      <c r="O275" s="4">
        <f>IF(N274=0,O274+INPUT_CAD!$B$4,INPUT_CAD!$B$4)</f>
        <v>2</v>
      </c>
      <c r="Q275" s="4" t="str">
        <f t="shared" si="40"/>
        <v/>
      </c>
      <c r="R275" s="4" t="str">
        <f t="shared" si="41"/>
        <v/>
      </c>
      <c r="S275" s="4" t="str">
        <f t="shared" si="42"/>
        <v/>
      </c>
      <c r="T275" s="4" t="str">
        <f>IFERROR(Q275*Setup!$C$26+R275*Setup!$D$26+S275*Setup!$E$26,"")</f>
        <v/>
      </c>
      <c r="U275" s="4" t="str">
        <f t="shared" si="44"/>
        <v/>
      </c>
      <c r="V275" s="4">
        <f t="shared" si="43"/>
        <v>90</v>
      </c>
    </row>
    <row r="276" spans="1:22" hidden="1" x14ac:dyDescent="0.25">
      <c r="A276" s="4" t="str">
        <f>IF(INPUT_CAD!A276="","",INPUT_CAD!A276)</f>
        <v/>
      </c>
      <c r="B276" s="4" t="str">
        <f>IF(INPUT_CAD!B276="","",INPUT_CAD!B276)</f>
        <v/>
      </c>
      <c r="C276" s="4" t="str">
        <f>IF(INPUT_CAD!C276="","",INPUT_CAD!C276)</f>
        <v/>
      </c>
      <c r="D276" s="4" t="str">
        <f>IF(INPUT_CAD!D276="","",INPUT_CAD!D276)</f>
        <v/>
      </c>
      <c r="E276" s="4" t="str">
        <f>IF(INPUT_CAD!E276="","",INPUT_CAD!E276)</f>
        <v/>
      </c>
      <c r="F276" s="4" t="str">
        <f>IF(INPUT_CAD!F276="","",INPUT_CAD!F276)</f>
        <v/>
      </c>
      <c r="G276" s="4" t="str">
        <f>IF(INPUT_CAD!G276="","",INPUT_CAD!G276)</f>
        <v/>
      </c>
      <c r="I276" s="4" t="str">
        <f t="shared" si="36"/>
        <v/>
      </c>
      <c r="J276" s="4" t="str">
        <f t="shared" si="37"/>
        <v/>
      </c>
      <c r="K276" s="4" t="str">
        <f t="shared" si="38"/>
        <v/>
      </c>
      <c r="L276" s="4" t="str">
        <f>IFERROR(VLOOKUP(ROUND(K276,0),correction_tag!$A$7:$C$253,3),"x")</f>
        <v>x</v>
      </c>
      <c r="N276" s="4">
        <f t="shared" si="39"/>
        <v>1</v>
      </c>
      <c r="O276" s="4">
        <f>IF(N275=0,O275+INPUT_CAD!$B$4,INPUT_CAD!$B$4)</f>
        <v>2</v>
      </c>
      <c r="Q276" s="4" t="str">
        <f t="shared" si="40"/>
        <v/>
      </c>
      <c r="R276" s="4" t="str">
        <f t="shared" si="41"/>
        <v/>
      </c>
      <c r="S276" s="4" t="str">
        <f t="shared" si="42"/>
        <v/>
      </c>
      <c r="T276" s="4" t="str">
        <f>IFERROR(Q276*Setup!$C$26+R276*Setup!$D$26+S276*Setup!$E$26,"")</f>
        <v/>
      </c>
      <c r="U276" s="4" t="str">
        <f t="shared" si="44"/>
        <v/>
      </c>
      <c r="V276" s="4">
        <f t="shared" si="43"/>
        <v>90</v>
      </c>
    </row>
    <row r="277" spans="1:22" hidden="1" x14ac:dyDescent="0.25">
      <c r="A277" s="4" t="str">
        <f>IF(INPUT_CAD!A277="","",INPUT_CAD!A277)</f>
        <v/>
      </c>
      <c r="B277" s="4" t="str">
        <f>IF(INPUT_CAD!B277="","",INPUT_CAD!B277)</f>
        <v/>
      </c>
      <c r="C277" s="4" t="str">
        <f>IF(INPUT_CAD!C277="","",INPUT_CAD!C277)</f>
        <v/>
      </c>
      <c r="D277" s="4" t="str">
        <f>IF(INPUT_CAD!D277="","",INPUT_CAD!D277)</f>
        <v/>
      </c>
      <c r="E277" s="4" t="str">
        <f>IF(INPUT_CAD!E277="","",INPUT_CAD!E277)</f>
        <v/>
      </c>
      <c r="F277" s="4" t="str">
        <f>IF(INPUT_CAD!F277="","",INPUT_CAD!F277)</f>
        <v/>
      </c>
      <c r="G277" s="4" t="str">
        <f>IF(INPUT_CAD!G277="","",INPUT_CAD!G277)</f>
        <v/>
      </c>
      <c r="I277" s="4" t="str">
        <f t="shared" si="36"/>
        <v/>
      </c>
      <c r="J277" s="4" t="str">
        <f t="shared" si="37"/>
        <v/>
      </c>
      <c r="K277" s="4" t="str">
        <f t="shared" si="38"/>
        <v/>
      </c>
      <c r="L277" s="4" t="str">
        <f>IFERROR(VLOOKUP(ROUND(K277,0),correction_tag!$A$7:$C$253,3),"x")</f>
        <v>x</v>
      </c>
      <c r="N277" s="4">
        <f t="shared" si="39"/>
        <v>1</v>
      </c>
      <c r="O277" s="4">
        <f>IF(N276=0,O276+INPUT_CAD!$B$4,INPUT_CAD!$B$4)</f>
        <v>2</v>
      </c>
      <c r="Q277" s="4" t="str">
        <f t="shared" si="40"/>
        <v/>
      </c>
      <c r="R277" s="4" t="str">
        <f t="shared" si="41"/>
        <v/>
      </c>
      <c r="S277" s="4" t="str">
        <f t="shared" si="42"/>
        <v/>
      </c>
      <c r="T277" s="4" t="str">
        <f>IFERROR(Q277*Setup!$C$26+R277*Setup!$D$26+S277*Setup!$E$26,"")</f>
        <v/>
      </c>
      <c r="U277" s="4" t="str">
        <f t="shared" si="44"/>
        <v/>
      </c>
      <c r="V277" s="4">
        <f t="shared" si="43"/>
        <v>90</v>
      </c>
    </row>
    <row r="278" spans="1:22" hidden="1" x14ac:dyDescent="0.25">
      <c r="A278" s="4" t="str">
        <f>IF(INPUT_CAD!A278="","",INPUT_CAD!A278)</f>
        <v/>
      </c>
      <c r="B278" s="4" t="str">
        <f>IF(INPUT_CAD!B278="","",INPUT_CAD!B278)</f>
        <v/>
      </c>
      <c r="C278" s="4" t="str">
        <f>IF(INPUT_CAD!C278="","",INPUT_CAD!C278)</f>
        <v/>
      </c>
      <c r="D278" s="4" t="str">
        <f>IF(INPUT_CAD!D278="","",INPUT_CAD!D278)</f>
        <v/>
      </c>
      <c r="E278" s="4" t="str">
        <f>IF(INPUT_CAD!E278="","",INPUT_CAD!E278)</f>
        <v/>
      </c>
      <c r="F278" s="4" t="str">
        <f>IF(INPUT_CAD!F278="","",INPUT_CAD!F278)</f>
        <v/>
      </c>
      <c r="G278" s="4" t="str">
        <f>IF(INPUT_CAD!G278="","",INPUT_CAD!G278)</f>
        <v/>
      </c>
      <c r="I278" s="4" t="str">
        <f t="shared" ref="I278:I341" si="45">IFERROR(E277*E278+F277*F278+G277*G278,"")</f>
        <v/>
      </c>
      <c r="J278" s="4" t="str">
        <f t="shared" ref="J278:J341" si="46">IFERROR(SQRT(E278^2+F278^2+G278^2),"")</f>
        <v/>
      </c>
      <c r="K278" s="4" t="str">
        <f t="shared" ref="K278:K341" si="47">IFERROR(DEGREES(ACOS(I278/(J277*J278))),"")</f>
        <v/>
      </c>
      <c r="L278" s="4" t="str">
        <f>IFERROR(VLOOKUP(ROUND(K278,0),correction_tag!$A$7:$C$253,3),"x")</f>
        <v>x</v>
      </c>
      <c r="N278" s="4">
        <f t="shared" si="39"/>
        <v>1</v>
      </c>
      <c r="O278" s="4">
        <f>IF(N277=0,O277+INPUT_CAD!$B$4,INPUT_CAD!$B$4)</f>
        <v>2</v>
      </c>
      <c r="Q278" s="4" t="str">
        <f t="shared" si="40"/>
        <v/>
      </c>
      <c r="R278" s="4" t="str">
        <f t="shared" si="41"/>
        <v/>
      </c>
      <c r="S278" s="4" t="str">
        <f t="shared" si="42"/>
        <v/>
      </c>
      <c r="T278" s="4" t="str">
        <f>IFERROR(Q278*Setup!$C$26+R278*Setup!$D$26+S278*Setup!$E$26,"")</f>
        <v/>
      </c>
      <c r="U278" s="4" t="str">
        <f t="shared" si="44"/>
        <v/>
      </c>
      <c r="V278" s="4">
        <f t="shared" si="43"/>
        <v>90</v>
      </c>
    </row>
    <row r="279" spans="1:22" hidden="1" x14ac:dyDescent="0.25">
      <c r="A279" s="4" t="str">
        <f>IF(INPUT_CAD!A279="","",INPUT_CAD!A279)</f>
        <v/>
      </c>
      <c r="B279" s="4" t="str">
        <f>IF(INPUT_CAD!B279="","",INPUT_CAD!B279)</f>
        <v/>
      </c>
      <c r="C279" s="4" t="str">
        <f>IF(INPUT_CAD!C279="","",INPUT_CAD!C279)</f>
        <v/>
      </c>
      <c r="D279" s="4" t="str">
        <f>IF(INPUT_CAD!D279="","",INPUT_CAD!D279)</f>
        <v/>
      </c>
      <c r="E279" s="4" t="str">
        <f>IF(INPUT_CAD!E279="","",INPUT_CAD!E279)</f>
        <v/>
      </c>
      <c r="F279" s="4" t="str">
        <f>IF(INPUT_CAD!F279="","",INPUT_CAD!F279)</f>
        <v/>
      </c>
      <c r="G279" s="4" t="str">
        <f>IF(INPUT_CAD!G279="","",INPUT_CAD!G279)</f>
        <v/>
      </c>
      <c r="I279" s="4" t="str">
        <f t="shared" si="45"/>
        <v/>
      </c>
      <c r="J279" s="4" t="str">
        <f t="shared" si="46"/>
        <v/>
      </c>
      <c r="K279" s="4" t="str">
        <f t="shared" si="47"/>
        <v/>
      </c>
      <c r="L279" s="4" t="str">
        <f>IFERROR(VLOOKUP(ROUND(K279,0),correction_tag!$A$7:$C$253,3),"x")</f>
        <v>x</v>
      </c>
      <c r="N279" s="4">
        <f t="shared" si="39"/>
        <v>1</v>
      </c>
      <c r="O279" s="4">
        <f>IF(N278=0,O278+INPUT_CAD!$B$4,INPUT_CAD!$B$4)</f>
        <v>2</v>
      </c>
      <c r="Q279" s="4" t="str">
        <f t="shared" si="40"/>
        <v/>
      </c>
      <c r="R279" s="4" t="str">
        <f t="shared" si="41"/>
        <v/>
      </c>
      <c r="S279" s="4" t="str">
        <f t="shared" si="42"/>
        <v/>
      </c>
      <c r="T279" s="4" t="str">
        <f>IFERROR(Q279*Setup!$C$26+R279*Setup!$D$26+S279*Setup!$E$26,"")</f>
        <v/>
      </c>
      <c r="U279" s="4" t="str">
        <f t="shared" si="44"/>
        <v/>
      </c>
      <c r="V279" s="4">
        <f t="shared" si="43"/>
        <v>90</v>
      </c>
    </row>
    <row r="280" spans="1:22" hidden="1" x14ac:dyDescent="0.25">
      <c r="A280" s="4" t="str">
        <f>IF(INPUT_CAD!A280="","",INPUT_CAD!A280)</f>
        <v/>
      </c>
      <c r="B280" s="4" t="str">
        <f>IF(INPUT_CAD!B280="","",INPUT_CAD!B280)</f>
        <v/>
      </c>
      <c r="C280" s="4" t="str">
        <f>IF(INPUT_CAD!C280="","",INPUT_CAD!C280)</f>
        <v/>
      </c>
      <c r="D280" s="4" t="str">
        <f>IF(INPUT_CAD!D280="","",INPUT_CAD!D280)</f>
        <v/>
      </c>
      <c r="E280" s="4" t="str">
        <f>IF(INPUT_CAD!E280="","",INPUT_CAD!E280)</f>
        <v/>
      </c>
      <c r="F280" s="4" t="str">
        <f>IF(INPUT_CAD!F280="","",INPUT_CAD!F280)</f>
        <v/>
      </c>
      <c r="G280" s="4" t="str">
        <f>IF(INPUT_CAD!G280="","",INPUT_CAD!G280)</f>
        <v/>
      </c>
      <c r="I280" s="4" t="str">
        <f t="shared" si="45"/>
        <v/>
      </c>
      <c r="J280" s="4" t="str">
        <f t="shared" si="46"/>
        <v/>
      </c>
      <c r="K280" s="4" t="str">
        <f t="shared" si="47"/>
        <v/>
      </c>
      <c r="L280" s="4" t="str">
        <f>IFERROR(VLOOKUP(ROUND(K280,0),correction_tag!$A$7:$C$253,3),"x")</f>
        <v>x</v>
      </c>
      <c r="N280" s="4">
        <f t="shared" si="39"/>
        <v>1</v>
      </c>
      <c r="O280" s="4">
        <f>IF(N279=0,O279+INPUT_CAD!$B$4,INPUT_CAD!$B$4)</f>
        <v>2</v>
      </c>
      <c r="Q280" s="4" t="str">
        <f t="shared" si="40"/>
        <v/>
      </c>
      <c r="R280" s="4" t="str">
        <f t="shared" si="41"/>
        <v/>
      </c>
      <c r="S280" s="4" t="str">
        <f t="shared" si="42"/>
        <v/>
      </c>
      <c r="T280" s="4" t="str">
        <f>IFERROR(Q280*Setup!$C$26+R280*Setup!$D$26+S280*Setup!$E$26,"")</f>
        <v/>
      </c>
      <c r="U280" s="4" t="str">
        <f t="shared" si="44"/>
        <v/>
      </c>
      <c r="V280" s="4">
        <f t="shared" si="43"/>
        <v>90</v>
      </c>
    </row>
    <row r="281" spans="1:22" hidden="1" x14ac:dyDescent="0.25">
      <c r="A281" s="4" t="str">
        <f>IF(INPUT_CAD!A281="","",INPUT_CAD!A281)</f>
        <v/>
      </c>
      <c r="B281" s="4" t="str">
        <f>IF(INPUT_CAD!B281="","",INPUT_CAD!B281)</f>
        <v/>
      </c>
      <c r="C281" s="4" t="str">
        <f>IF(INPUT_CAD!C281="","",INPUT_CAD!C281)</f>
        <v/>
      </c>
      <c r="D281" s="4" t="str">
        <f>IF(INPUT_CAD!D281="","",INPUT_CAD!D281)</f>
        <v/>
      </c>
      <c r="E281" s="4" t="str">
        <f>IF(INPUT_CAD!E281="","",INPUT_CAD!E281)</f>
        <v/>
      </c>
      <c r="F281" s="4" t="str">
        <f>IF(INPUT_CAD!F281="","",INPUT_CAD!F281)</f>
        <v/>
      </c>
      <c r="G281" s="4" t="str">
        <f>IF(INPUT_CAD!G281="","",INPUT_CAD!G281)</f>
        <v/>
      </c>
      <c r="I281" s="4" t="str">
        <f t="shared" si="45"/>
        <v/>
      </c>
      <c r="J281" s="4" t="str">
        <f t="shared" si="46"/>
        <v/>
      </c>
      <c r="K281" s="4" t="str">
        <f t="shared" si="47"/>
        <v/>
      </c>
      <c r="L281" s="4" t="str">
        <f>IFERROR(VLOOKUP(ROUND(K281,0),correction_tag!$A$7:$C$253,3),"x")</f>
        <v>x</v>
      </c>
      <c r="N281" s="4">
        <f t="shared" si="39"/>
        <v>1</v>
      </c>
      <c r="O281" s="4">
        <f>IF(N280=0,O280+INPUT_CAD!$B$4,INPUT_CAD!$B$4)</f>
        <v>2</v>
      </c>
      <c r="Q281" s="4" t="str">
        <f t="shared" si="40"/>
        <v/>
      </c>
      <c r="R281" s="4" t="str">
        <f t="shared" si="41"/>
        <v/>
      </c>
      <c r="S281" s="4" t="str">
        <f t="shared" si="42"/>
        <v/>
      </c>
      <c r="T281" s="4" t="str">
        <f>IFERROR(Q281*Setup!$C$26+R281*Setup!$D$26+S281*Setup!$E$26,"")</f>
        <v/>
      </c>
      <c r="U281" s="4" t="str">
        <f t="shared" si="44"/>
        <v/>
      </c>
      <c r="V281" s="4">
        <f t="shared" si="43"/>
        <v>90</v>
      </c>
    </row>
    <row r="282" spans="1:22" hidden="1" x14ac:dyDescent="0.25">
      <c r="A282" s="4" t="str">
        <f>IF(INPUT_CAD!A282="","",INPUT_CAD!A282)</f>
        <v/>
      </c>
      <c r="B282" s="4" t="str">
        <f>IF(INPUT_CAD!B282="","",INPUT_CAD!B282)</f>
        <v/>
      </c>
      <c r="C282" s="4" t="str">
        <f>IF(INPUT_CAD!C282="","",INPUT_CAD!C282)</f>
        <v/>
      </c>
      <c r="D282" s="4" t="str">
        <f>IF(INPUT_CAD!D282="","",INPUT_CAD!D282)</f>
        <v/>
      </c>
      <c r="E282" s="4" t="str">
        <f>IF(INPUT_CAD!E282="","",INPUT_CAD!E282)</f>
        <v/>
      </c>
      <c r="F282" s="4" t="str">
        <f>IF(INPUT_CAD!F282="","",INPUT_CAD!F282)</f>
        <v/>
      </c>
      <c r="G282" s="4" t="str">
        <f>IF(INPUT_CAD!G282="","",INPUT_CAD!G282)</f>
        <v/>
      </c>
      <c r="I282" s="4" t="str">
        <f t="shared" si="45"/>
        <v/>
      </c>
      <c r="J282" s="4" t="str">
        <f t="shared" si="46"/>
        <v/>
      </c>
      <c r="K282" s="4" t="str">
        <f t="shared" si="47"/>
        <v/>
      </c>
      <c r="L282" s="4" t="str">
        <f>IFERROR(VLOOKUP(ROUND(K282,0),correction_tag!$A$7:$C$253,3),"x")</f>
        <v>x</v>
      </c>
      <c r="N282" s="4">
        <f t="shared" si="39"/>
        <v>1</v>
      </c>
      <c r="O282" s="4">
        <f>IF(N281=0,O281+INPUT_CAD!$B$4,INPUT_CAD!$B$4)</f>
        <v>2</v>
      </c>
      <c r="Q282" s="4" t="str">
        <f t="shared" si="40"/>
        <v/>
      </c>
      <c r="R282" s="4" t="str">
        <f t="shared" si="41"/>
        <v/>
      </c>
      <c r="S282" s="4" t="str">
        <f t="shared" si="42"/>
        <v/>
      </c>
      <c r="T282" s="4" t="str">
        <f>IFERROR(Q282*Setup!$C$26+R282*Setup!$D$26+S282*Setup!$E$26,"")</f>
        <v/>
      </c>
      <c r="U282" s="4" t="str">
        <f t="shared" si="44"/>
        <v/>
      </c>
      <c r="V282" s="4">
        <f t="shared" si="43"/>
        <v>90</v>
      </c>
    </row>
    <row r="283" spans="1:22" hidden="1" x14ac:dyDescent="0.25">
      <c r="A283" s="4" t="str">
        <f>IF(INPUT_CAD!A283="","",INPUT_CAD!A283)</f>
        <v/>
      </c>
      <c r="B283" s="4" t="str">
        <f>IF(INPUT_CAD!B283="","",INPUT_CAD!B283)</f>
        <v/>
      </c>
      <c r="C283" s="4" t="str">
        <f>IF(INPUT_CAD!C283="","",INPUT_CAD!C283)</f>
        <v/>
      </c>
      <c r="D283" s="4" t="str">
        <f>IF(INPUT_CAD!D283="","",INPUT_CAD!D283)</f>
        <v/>
      </c>
      <c r="E283" s="4" t="str">
        <f>IF(INPUT_CAD!E283="","",INPUT_CAD!E283)</f>
        <v/>
      </c>
      <c r="F283" s="4" t="str">
        <f>IF(INPUT_CAD!F283="","",INPUT_CAD!F283)</f>
        <v/>
      </c>
      <c r="G283" s="4" t="str">
        <f>IF(INPUT_CAD!G283="","",INPUT_CAD!G283)</f>
        <v/>
      </c>
      <c r="I283" s="4" t="str">
        <f t="shared" si="45"/>
        <v/>
      </c>
      <c r="J283" s="4" t="str">
        <f t="shared" si="46"/>
        <v/>
      </c>
      <c r="K283" s="4" t="str">
        <f t="shared" si="47"/>
        <v/>
      </c>
      <c r="L283" s="4" t="str">
        <f>IFERROR(VLOOKUP(ROUND(K283,0),correction_tag!$A$7:$C$253,3),"x")</f>
        <v>x</v>
      </c>
      <c r="N283" s="4">
        <f t="shared" si="39"/>
        <v>1</v>
      </c>
      <c r="O283" s="4">
        <f>IF(N282=0,O282+INPUT_CAD!$B$4,INPUT_CAD!$B$4)</f>
        <v>2</v>
      </c>
      <c r="Q283" s="4" t="str">
        <f t="shared" si="40"/>
        <v/>
      </c>
      <c r="R283" s="4" t="str">
        <f t="shared" si="41"/>
        <v/>
      </c>
      <c r="S283" s="4" t="str">
        <f t="shared" si="42"/>
        <v/>
      </c>
      <c r="T283" s="4" t="str">
        <f>IFERROR(Q283*Setup!$C$26+R283*Setup!$D$26+S283*Setup!$E$26,"")</f>
        <v/>
      </c>
      <c r="U283" s="4" t="str">
        <f t="shared" si="44"/>
        <v/>
      </c>
      <c r="V283" s="4">
        <f t="shared" si="43"/>
        <v>90</v>
      </c>
    </row>
    <row r="284" spans="1:22" hidden="1" x14ac:dyDescent="0.25">
      <c r="A284" s="4" t="str">
        <f>IF(INPUT_CAD!A284="","",INPUT_CAD!A284)</f>
        <v/>
      </c>
      <c r="B284" s="4" t="str">
        <f>IF(INPUT_CAD!B284="","",INPUT_CAD!B284)</f>
        <v/>
      </c>
      <c r="C284" s="4" t="str">
        <f>IF(INPUT_CAD!C284="","",INPUT_CAD!C284)</f>
        <v/>
      </c>
      <c r="D284" s="4" t="str">
        <f>IF(INPUT_CAD!D284="","",INPUT_CAD!D284)</f>
        <v/>
      </c>
      <c r="E284" s="4" t="str">
        <f>IF(INPUT_CAD!E284="","",INPUT_CAD!E284)</f>
        <v/>
      </c>
      <c r="F284" s="4" t="str">
        <f>IF(INPUT_CAD!F284="","",INPUT_CAD!F284)</f>
        <v/>
      </c>
      <c r="G284" s="4" t="str">
        <f>IF(INPUT_CAD!G284="","",INPUT_CAD!G284)</f>
        <v/>
      </c>
      <c r="I284" s="4" t="str">
        <f t="shared" si="45"/>
        <v/>
      </c>
      <c r="J284" s="4" t="str">
        <f t="shared" si="46"/>
        <v/>
      </c>
      <c r="K284" s="4" t="str">
        <f t="shared" si="47"/>
        <v/>
      </c>
      <c r="L284" s="4" t="str">
        <f>IFERROR(VLOOKUP(ROUND(K284,0),correction_tag!$A$7:$C$253,3),"x")</f>
        <v>x</v>
      </c>
      <c r="N284" s="4">
        <f t="shared" si="39"/>
        <v>1</v>
      </c>
      <c r="O284" s="4">
        <f>IF(N283=0,O283+INPUT_CAD!$B$4,INPUT_CAD!$B$4)</f>
        <v>2</v>
      </c>
      <c r="Q284" s="4" t="str">
        <f t="shared" si="40"/>
        <v/>
      </c>
      <c r="R284" s="4" t="str">
        <f t="shared" si="41"/>
        <v/>
      </c>
      <c r="S284" s="4" t="str">
        <f t="shared" si="42"/>
        <v/>
      </c>
      <c r="T284" s="4" t="str">
        <f>IFERROR(Q284*Setup!$C$26+R284*Setup!$D$26+S284*Setup!$E$26,"")</f>
        <v/>
      </c>
      <c r="U284" s="4" t="str">
        <f t="shared" si="44"/>
        <v/>
      </c>
      <c r="V284" s="4">
        <f t="shared" si="43"/>
        <v>90</v>
      </c>
    </row>
    <row r="285" spans="1:22" hidden="1" x14ac:dyDescent="0.25">
      <c r="A285" s="4" t="str">
        <f>IF(INPUT_CAD!A285="","",INPUT_CAD!A285)</f>
        <v/>
      </c>
      <c r="B285" s="4" t="str">
        <f>IF(INPUT_CAD!B285="","",INPUT_CAD!B285)</f>
        <v/>
      </c>
      <c r="C285" s="4" t="str">
        <f>IF(INPUT_CAD!C285="","",INPUT_CAD!C285)</f>
        <v/>
      </c>
      <c r="D285" s="4" t="str">
        <f>IF(INPUT_CAD!D285="","",INPUT_CAD!D285)</f>
        <v/>
      </c>
      <c r="E285" s="4" t="str">
        <f>IF(INPUT_CAD!E285="","",INPUT_CAD!E285)</f>
        <v/>
      </c>
      <c r="F285" s="4" t="str">
        <f>IF(INPUT_CAD!F285="","",INPUT_CAD!F285)</f>
        <v/>
      </c>
      <c r="G285" s="4" t="str">
        <f>IF(INPUT_CAD!G285="","",INPUT_CAD!G285)</f>
        <v/>
      </c>
      <c r="I285" s="4" t="str">
        <f t="shared" si="45"/>
        <v/>
      </c>
      <c r="J285" s="4" t="str">
        <f t="shared" si="46"/>
        <v/>
      </c>
      <c r="K285" s="4" t="str">
        <f t="shared" si="47"/>
        <v/>
      </c>
      <c r="L285" s="4" t="str">
        <f>IFERROR(VLOOKUP(ROUND(K285,0),correction_tag!$A$7:$C$253,3),"x")</f>
        <v>x</v>
      </c>
      <c r="N285" s="4">
        <f t="shared" si="39"/>
        <v>1</v>
      </c>
      <c r="O285" s="4">
        <f>IF(N284=0,O284+INPUT_CAD!$B$4,INPUT_CAD!$B$4)</f>
        <v>2</v>
      </c>
      <c r="Q285" s="4" t="str">
        <f t="shared" si="40"/>
        <v/>
      </c>
      <c r="R285" s="4" t="str">
        <f t="shared" si="41"/>
        <v/>
      </c>
      <c r="S285" s="4" t="str">
        <f t="shared" si="42"/>
        <v/>
      </c>
      <c r="T285" s="4" t="str">
        <f>IFERROR(Q285*Setup!$C$26+R285*Setup!$D$26+S285*Setup!$E$26,"")</f>
        <v/>
      </c>
      <c r="U285" s="4" t="str">
        <f t="shared" si="44"/>
        <v/>
      </c>
      <c r="V285" s="4">
        <f t="shared" si="43"/>
        <v>90</v>
      </c>
    </row>
    <row r="286" spans="1:22" hidden="1" x14ac:dyDescent="0.25">
      <c r="A286" s="4" t="str">
        <f>IF(INPUT_CAD!A286="","",INPUT_CAD!A286)</f>
        <v/>
      </c>
      <c r="B286" s="4" t="str">
        <f>IF(INPUT_CAD!B286="","",INPUT_CAD!B286)</f>
        <v/>
      </c>
      <c r="C286" s="4" t="str">
        <f>IF(INPUT_CAD!C286="","",INPUT_CAD!C286)</f>
        <v/>
      </c>
      <c r="D286" s="4" t="str">
        <f>IF(INPUT_CAD!D286="","",INPUT_CAD!D286)</f>
        <v/>
      </c>
      <c r="E286" s="4" t="str">
        <f>IF(INPUT_CAD!E286="","",INPUT_CAD!E286)</f>
        <v/>
      </c>
      <c r="F286" s="4" t="str">
        <f>IF(INPUT_CAD!F286="","",INPUT_CAD!F286)</f>
        <v/>
      </c>
      <c r="G286" s="4" t="str">
        <f>IF(INPUT_CAD!G286="","",INPUT_CAD!G286)</f>
        <v/>
      </c>
      <c r="I286" s="4" t="str">
        <f t="shared" si="45"/>
        <v/>
      </c>
      <c r="J286" s="4" t="str">
        <f t="shared" si="46"/>
        <v/>
      </c>
      <c r="K286" s="4" t="str">
        <f t="shared" si="47"/>
        <v/>
      </c>
      <c r="L286" s="4" t="str">
        <f>IFERROR(VLOOKUP(ROUND(K286,0),correction_tag!$A$7:$C$253,3),"x")</f>
        <v>x</v>
      </c>
      <c r="N286" s="4">
        <f t="shared" si="39"/>
        <v>1</v>
      </c>
      <c r="O286" s="4">
        <f>IF(N285=0,O285+INPUT_CAD!$B$4,INPUT_CAD!$B$4)</f>
        <v>2</v>
      </c>
      <c r="Q286" s="4" t="str">
        <f t="shared" si="40"/>
        <v/>
      </c>
      <c r="R286" s="4" t="str">
        <f t="shared" si="41"/>
        <v/>
      </c>
      <c r="S286" s="4" t="str">
        <f t="shared" si="42"/>
        <v/>
      </c>
      <c r="T286" s="4" t="str">
        <f>IFERROR(Q286*Setup!$C$26+R286*Setup!$D$26+S286*Setup!$E$26,"")</f>
        <v/>
      </c>
      <c r="U286" s="4" t="str">
        <f t="shared" si="44"/>
        <v/>
      </c>
      <c r="V286" s="4">
        <f t="shared" si="43"/>
        <v>90</v>
      </c>
    </row>
    <row r="287" spans="1:22" hidden="1" x14ac:dyDescent="0.25">
      <c r="A287" s="4" t="str">
        <f>IF(INPUT_CAD!A287="","",INPUT_CAD!A287)</f>
        <v/>
      </c>
      <c r="B287" s="4" t="str">
        <f>IF(INPUT_CAD!B287="","",INPUT_CAD!B287)</f>
        <v/>
      </c>
      <c r="C287" s="4" t="str">
        <f>IF(INPUT_CAD!C287="","",INPUT_CAD!C287)</f>
        <v/>
      </c>
      <c r="D287" s="4" t="str">
        <f>IF(INPUT_CAD!D287="","",INPUT_CAD!D287)</f>
        <v/>
      </c>
      <c r="E287" s="4" t="str">
        <f>IF(INPUT_CAD!E287="","",INPUT_CAD!E287)</f>
        <v/>
      </c>
      <c r="F287" s="4" t="str">
        <f>IF(INPUT_CAD!F287="","",INPUT_CAD!F287)</f>
        <v/>
      </c>
      <c r="G287" s="4" t="str">
        <f>IF(INPUT_CAD!G287="","",INPUT_CAD!G287)</f>
        <v/>
      </c>
      <c r="I287" s="4" t="str">
        <f t="shared" si="45"/>
        <v/>
      </c>
      <c r="J287" s="4" t="str">
        <f t="shared" si="46"/>
        <v/>
      </c>
      <c r="K287" s="4" t="str">
        <f t="shared" si="47"/>
        <v/>
      </c>
      <c r="L287" s="4" t="str">
        <f>IFERROR(VLOOKUP(ROUND(K287,0),correction_tag!$A$7:$C$253,3),"x")</f>
        <v>x</v>
      </c>
      <c r="N287" s="4">
        <f t="shared" si="39"/>
        <v>1</v>
      </c>
      <c r="O287" s="4">
        <f>IF(N286=0,O286+INPUT_CAD!$B$4,INPUT_CAD!$B$4)</f>
        <v>2</v>
      </c>
      <c r="Q287" s="4" t="str">
        <f t="shared" si="40"/>
        <v/>
      </c>
      <c r="R287" s="4" t="str">
        <f t="shared" si="41"/>
        <v/>
      </c>
      <c r="S287" s="4" t="str">
        <f t="shared" si="42"/>
        <v/>
      </c>
      <c r="T287" s="4" t="str">
        <f>IFERROR(Q287*Setup!$C$26+R287*Setup!$D$26+S287*Setup!$E$26,"")</f>
        <v/>
      </c>
      <c r="U287" s="4" t="str">
        <f t="shared" si="44"/>
        <v/>
      </c>
      <c r="V287" s="4">
        <f t="shared" si="43"/>
        <v>90</v>
      </c>
    </row>
    <row r="288" spans="1:22" hidden="1" x14ac:dyDescent="0.25">
      <c r="A288" s="4" t="str">
        <f>IF(INPUT_CAD!A288="","",INPUT_CAD!A288)</f>
        <v/>
      </c>
      <c r="B288" s="4" t="str">
        <f>IF(INPUT_CAD!B288="","",INPUT_CAD!B288)</f>
        <v/>
      </c>
      <c r="C288" s="4" t="str">
        <f>IF(INPUT_CAD!C288="","",INPUT_CAD!C288)</f>
        <v/>
      </c>
      <c r="D288" s="4" t="str">
        <f>IF(INPUT_CAD!D288="","",INPUT_CAD!D288)</f>
        <v/>
      </c>
      <c r="E288" s="4" t="str">
        <f>IF(INPUT_CAD!E288="","",INPUT_CAD!E288)</f>
        <v/>
      </c>
      <c r="F288" s="4" t="str">
        <f>IF(INPUT_CAD!F288="","",INPUT_CAD!F288)</f>
        <v/>
      </c>
      <c r="G288" s="4" t="str">
        <f>IF(INPUT_CAD!G288="","",INPUT_CAD!G288)</f>
        <v/>
      </c>
      <c r="I288" s="4" t="str">
        <f t="shared" si="45"/>
        <v/>
      </c>
      <c r="J288" s="4" t="str">
        <f t="shared" si="46"/>
        <v/>
      </c>
      <c r="K288" s="4" t="str">
        <f t="shared" si="47"/>
        <v/>
      </c>
      <c r="L288" s="4" t="str">
        <f>IFERROR(VLOOKUP(ROUND(K288,0),correction_tag!$A$7:$C$253,3),"x")</f>
        <v>x</v>
      </c>
      <c r="N288" s="4">
        <f t="shared" si="39"/>
        <v>1</v>
      </c>
      <c r="O288" s="4">
        <f>IF(N287=0,O287+INPUT_CAD!$B$4,INPUT_CAD!$B$4)</f>
        <v>2</v>
      </c>
      <c r="Q288" s="4" t="str">
        <f t="shared" si="40"/>
        <v/>
      </c>
      <c r="R288" s="4" t="str">
        <f t="shared" si="41"/>
        <v/>
      </c>
      <c r="S288" s="4" t="str">
        <f t="shared" si="42"/>
        <v/>
      </c>
      <c r="T288" s="4" t="str">
        <f>IFERROR(Q288*Setup!$C$26+R288*Setup!$D$26+S288*Setup!$E$26,"")</f>
        <v/>
      </c>
      <c r="U288" s="4" t="str">
        <f t="shared" si="44"/>
        <v/>
      </c>
      <c r="V288" s="4">
        <f t="shared" si="43"/>
        <v>90</v>
      </c>
    </row>
    <row r="289" spans="1:22" hidden="1" x14ac:dyDescent="0.25">
      <c r="A289" s="4" t="str">
        <f>IF(INPUT_CAD!A289="","",INPUT_CAD!A289)</f>
        <v/>
      </c>
      <c r="B289" s="4" t="str">
        <f>IF(INPUT_CAD!B289="","",INPUT_CAD!B289)</f>
        <v/>
      </c>
      <c r="C289" s="4" t="str">
        <f>IF(INPUT_CAD!C289="","",INPUT_CAD!C289)</f>
        <v/>
      </c>
      <c r="D289" s="4" t="str">
        <f>IF(INPUT_CAD!D289="","",INPUT_CAD!D289)</f>
        <v/>
      </c>
      <c r="E289" s="4" t="str">
        <f>IF(INPUT_CAD!E289="","",INPUT_CAD!E289)</f>
        <v/>
      </c>
      <c r="F289" s="4" t="str">
        <f>IF(INPUT_CAD!F289="","",INPUT_CAD!F289)</f>
        <v/>
      </c>
      <c r="G289" s="4" t="str">
        <f>IF(INPUT_CAD!G289="","",INPUT_CAD!G289)</f>
        <v/>
      </c>
      <c r="I289" s="4" t="str">
        <f t="shared" si="45"/>
        <v/>
      </c>
      <c r="J289" s="4" t="str">
        <f t="shared" si="46"/>
        <v/>
      </c>
      <c r="K289" s="4" t="str">
        <f t="shared" si="47"/>
        <v/>
      </c>
      <c r="L289" s="4" t="str">
        <f>IFERROR(VLOOKUP(ROUND(K289,0),correction_tag!$A$7:$C$253,3),"x")</f>
        <v>x</v>
      </c>
      <c r="N289" s="4">
        <f t="shared" si="39"/>
        <v>1</v>
      </c>
      <c r="O289" s="4">
        <f>IF(N288=0,O288+INPUT_CAD!$B$4,INPUT_CAD!$B$4)</f>
        <v>2</v>
      </c>
      <c r="Q289" s="4" t="str">
        <f t="shared" si="40"/>
        <v/>
      </c>
      <c r="R289" s="4" t="str">
        <f t="shared" si="41"/>
        <v/>
      </c>
      <c r="S289" s="4" t="str">
        <f t="shared" si="42"/>
        <v/>
      </c>
      <c r="T289" s="4" t="str">
        <f>IFERROR(Q289*Setup!$C$26+R289*Setup!$D$26+S289*Setup!$E$26,"")</f>
        <v/>
      </c>
      <c r="U289" s="4" t="str">
        <f t="shared" si="44"/>
        <v/>
      </c>
      <c r="V289" s="4">
        <f t="shared" si="43"/>
        <v>90</v>
      </c>
    </row>
    <row r="290" spans="1:22" hidden="1" x14ac:dyDescent="0.25">
      <c r="A290" s="4" t="str">
        <f>IF(INPUT_CAD!A290="","",INPUT_CAD!A290)</f>
        <v/>
      </c>
      <c r="B290" s="4" t="str">
        <f>IF(INPUT_CAD!B290="","",INPUT_CAD!B290)</f>
        <v/>
      </c>
      <c r="C290" s="4" t="str">
        <f>IF(INPUT_CAD!C290="","",INPUT_CAD!C290)</f>
        <v/>
      </c>
      <c r="D290" s="4" t="str">
        <f>IF(INPUT_CAD!D290="","",INPUT_CAD!D290)</f>
        <v/>
      </c>
      <c r="E290" s="4" t="str">
        <f>IF(INPUT_CAD!E290="","",INPUT_CAD!E290)</f>
        <v/>
      </c>
      <c r="F290" s="4" t="str">
        <f>IF(INPUT_CAD!F290="","",INPUT_CAD!F290)</f>
        <v/>
      </c>
      <c r="G290" s="4" t="str">
        <f>IF(INPUT_CAD!G290="","",INPUT_CAD!G290)</f>
        <v/>
      </c>
      <c r="I290" s="4" t="str">
        <f t="shared" si="45"/>
        <v/>
      </c>
      <c r="J290" s="4" t="str">
        <f t="shared" si="46"/>
        <v/>
      </c>
      <c r="K290" s="4" t="str">
        <f t="shared" si="47"/>
        <v/>
      </c>
      <c r="L290" s="4" t="str">
        <f>IFERROR(VLOOKUP(ROUND(K290,0),correction_tag!$A$7:$C$253,3),"x")</f>
        <v>x</v>
      </c>
      <c r="N290" s="4">
        <f t="shared" si="39"/>
        <v>1</v>
      </c>
      <c r="O290" s="4">
        <f>IF(N289=0,O289+INPUT_CAD!$B$4,INPUT_CAD!$B$4)</f>
        <v>2</v>
      </c>
      <c r="Q290" s="4" t="str">
        <f t="shared" si="40"/>
        <v/>
      </c>
      <c r="R290" s="4" t="str">
        <f t="shared" si="41"/>
        <v/>
      </c>
      <c r="S290" s="4" t="str">
        <f t="shared" si="42"/>
        <v/>
      </c>
      <c r="T290" s="4" t="str">
        <f>IFERROR(Q290*Setup!$C$26+R290*Setup!$D$26+S290*Setup!$E$26,"")</f>
        <v/>
      </c>
      <c r="U290" s="4" t="str">
        <f t="shared" si="44"/>
        <v/>
      </c>
      <c r="V290" s="4">
        <f t="shared" si="43"/>
        <v>90</v>
      </c>
    </row>
    <row r="291" spans="1:22" hidden="1" x14ac:dyDescent="0.25">
      <c r="A291" s="4" t="str">
        <f>IF(INPUT_CAD!A291="","",INPUT_CAD!A291)</f>
        <v/>
      </c>
      <c r="B291" s="4" t="str">
        <f>IF(INPUT_CAD!B291="","",INPUT_CAD!B291)</f>
        <v/>
      </c>
      <c r="C291" s="4" t="str">
        <f>IF(INPUT_CAD!C291="","",INPUT_CAD!C291)</f>
        <v/>
      </c>
      <c r="D291" s="4" t="str">
        <f>IF(INPUT_CAD!D291="","",INPUT_CAD!D291)</f>
        <v/>
      </c>
      <c r="E291" s="4" t="str">
        <f>IF(INPUT_CAD!E291="","",INPUT_CAD!E291)</f>
        <v/>
      </c>
      <c r="F291" s="4" t="str">
        <f>IF(INPUT_CAD!F291="","",INPUT_CAD!F291)</f>
        <v/>
      </c>
      <c r="G291" s="4" t="str">
        <f>IF(INPUT_CAD!G291="","",INPUT_CAD!G291)</f>
        <v/>
      </c>
      <c r="I291" s="4" t="str">
        <f t="shared" si="45"/>
        <v/>
      </c>
      <c r="J291" s="4" t="str">
        <f t="shared" si="46"/>
        <v/>
      </c>
      <c r="K291" s="4" t="str">
        <f t="shared" si="47"/>
        <v/>
      </c>
      <c r="L291" s="4" t="str">
        <f>IFERROR(VLOOKUP(ROUND(K291,0),correction_tag!$A$7:$C$253,3),"x")</f>
        <v>x</v>
      </c>
      <c r="N291" s="4">
        <f t="shared" si="39"/>
        <v>1</v>
      </c>
      <c r="O291" s="4">
        <f>IF(N290=0,O290+INPUT_CAD!$B$4,INPUT_CAD!$B$4)</f>
        <v>2</v>
      </c>
      <c r="Q291" s="4" t="str">
        <f t="shared" si="40"/>
        <v/>
      </c>
      <c r="R291" s="4" t="str">
        <f t="shared" si="41"/>
        <v/>
      </c>
      <c r="S291" s="4" t="str">
        <f t="shared" si="42"/>
        <v/>
      </c>
      <c r="T291" s="4" t="str">
        <f>IFERROR(Q291*Setup!$C$26+R291*Setup!$D$26+S291*Setup!$E$26,"")</f>
        <v/>
      </c>
      <c r="U291" s="4" t="str">
        <f t="shared" si="44"/>
        <v/>
      </c>
      <c r="V291" s="4">
        <f t="shared" si="43"/>
        <v>90</v>
      </c>
    </row>
    <row r="292" spans="1:22" hidden="1" x14ac:dyDescent="0.25">
      <c r="A292" s="4" t="str">
        <f>IF(INPUT_CAD!A292="","",INPUT_CAD!A292)</f>
        <v/>
      </c>
      <c r="B292" s="4" t="str">
        <f>IF(INPUT_CAD!B292="","",INPUT_CAD!B292)</f>
        <v/>
      </c>
      <c r="C292" s="4" t="str">
        <f>IF(INPUT_CAD!C292="","",INPUT_CAD!C292)</f>
        <v/>
      </c>
      <c r="D292" s="4" t="str">
        <f>IF(INPUT_CAD!D292="","",INPUT_CAD!D292)</f>
        <v/>
      </c>
      <c r="E292" s="4" t="str">
        <f>IF(INPUT_CAD!E292="","",INPUT_CAD!E292)</f>
        <v/>
      </c>
      <c r="F292" s="4" t="str">
        <f>IF(INPUT_CAD!F292="","",INPUT_CAD!F292)</f>
        <v/>
      </c>
      <c r="G292" s="4" t="str">
        <f>IF(INPUT_CAD!G292="","",INPUT_CAD!G292)</f>
        <v/>
      </c>
      <c r="I292" s="4" t="str">
        <f t="shared" si="45"/>
        <v/>
      </c>
      <c r="J292" s="4" t="str">
        <f t="shared" si="46"/>
        <v/>
      </c>
      <c r="K292" s="4" t="str">
        <f t="shared" si="47"/>
        <v/>
      </c>
      <c r="L292" s="4" t="str">
        <f>IFERROR(VLOOKUP(ROUND(K292,0),correction_tag!$A$7:$C$253,3),"x")</f>
        <v>x</v>
      </c>
      <c r="N292" s="4">
        <f t="shared" si="39"/>
        <v>1</v>
      </c>
      <c r="O292" s="4">
        <f>IF(N291=0,O291+INPUT_CAD!$B$4,INPUT_CAD!$B$4)</f>
        <v>2</v>
      </c>
      <c r="Q292" s="4" t="str">
        <f t="shared" si="40"/>
        <v/>
      </c>
      <c r="R292" s="4" t="str">
        <f t="shared" si="41"/>
        <v/>
      </c>
      <c r="S292" s="4" t="str">
        <f t="shared" si="42"/>
        <v/>
      </c>
      <c r="T292" s="4" t="str">
        <f>IFERROR(Q292*Setup!$C$26+R292*Setup!$D$26+S292*Setup!$E$26,"")</f>
        <v/>
      </c>
      <c r="U292" s="4" t="str">
        <f t="shared" si="44"/>
        <v/>
      </c>
      <c r="V292" s="4">
        <f t="shared" si="43"/>
        <v>90</v>
      </c>
    </row>
    <row r="293" spans="1:22" hidden="1" x14ac:dyDescent="0.25">
      <c r="A293" s="4" t="str">
        <f>IF(INPUT_CAD!A293="","",INPUT_CAD!A293)</f>
        <v/>
      </c>
      <c r="B293" s="4" t="str">
        <f>IF(INPUT_CAD!B293="","",INPUT_CAD!B293)</f>
        <v/>
      </c>
      <c r="C293" s="4" t="str">
        <f>IF(INPUT_CAD!C293="","",INPUT_CAD!C293)</f>
        <v/>
      </c>
      <c r="D293" s="4" t="str">
        <f>IF(INPUT_CAD!D293="","",INPUT_CAD!D293)</f>
        <v/>
      </c>
      <c r="E293" s="4" t="str">
        <f>IF(INPUT_CAD!E293="","",INPUT_CAD!E293)</f>
        <v/>
      </c>
      <c r="F293" s="4" t="str">
        <f>IF(INPUT_CAD!F293="","",INPUT_CAD!F293)</f>
        <v/>
      </c>
      <c r="G293" s="4" t="str">
        <f>IF(INPUT_CAD!G293="","",INPUT_CAD!G293)</f>
        <v/>
      </c>
      <c r="I293" s="4" t="str">
        <f t="shared" si="45"/>
        <v/>
      </c>
      <c r="J293" s="4" t="str">
        <f t="shared" si="46"/>
        <v/>
      </c>
      <c r="K293" s="4" t="str">
        <f t="shared" si="47"/>
        <v/>
      </c>
      <c r="L293" s="4" t="str">
        <f>IFERROR(VLOOKUP(ROUND(K293,0),correction_tag!$A$7:$C$253,3),"x")</f>
        <v>x</v>
      </c>
      <c r="N293" s="4">
        <f t="shared" si="39"/>
        <v>1</v>
      </c>
      <c r="O293" s="4">
        <f>IF(N292=0,O292+INPUT_CAD!$B$4,INPUT_CAD!$B$4)</f>
        <v>2</v>
      </c>
      <c r="Q293" s="4" t="str">
        <f t="shared" si="40"/>
        <v/>
      </c>
      <c r="R293" s="4" t="str">
        <f t="shared" si="41"/>
        <v/>
      </c>
      <c r="S293" s="4" t="str">
        <f t="shared" si="42"/>
        <v/>
      </c>
      <c r="T293" s="4" t="str">
        <f>IFERROR(Q293*Setup!$C$26+R293*Setup!$D$26+S293*Setup!$E$26,"")</f>
        <v/>
      </c>
      <c r="U293" s="4" t="str">
        <f t="shared" si="44"/>
        <v/>
      </c>
      <c r="V293" s="4">
        <f t="shared" si="43"/>
        <v>90</v>
      </c>
    </row>
    <row r="294" spans="1:22" hidden="1" x14ac:dyDescent="0.25">
      <c r="A294" s="4" t="str">
        <f>IF(INPUT_CAD!A294="","",INPUT_CAD!A294)</f>
        <v/>
      </c>
      <c r="B294" s="4" t="str">
        <f>IF(INPUT_CAD!B294="","",INPUT_CAD!B294)</f>
        <v/>
      </c>
      <c r="C294" s="4" t="str">
        <f>IF(INPUT_CAD!C294="","",INPUT_CAD!C294)</f>
        <v/>
      </c>
      <c r="D294" s="4" t="str">
        <f>IF(INPUT_CAD!D294="","",INPUT_CAD!D294)</f>
        <v/>
      </c>
      <c r="E294" s="4" t="str">
        <f>IF(INPUT_CAD!E294="","",INPUT_CAD!E294)</f>
        <v/>
      </c>
      <c r="F294" s="4" t="str">
        <f>IF(INPUT_CAD!F294="","",INPUT_CAD!F294)</f>
        <v/>
      </c>
      <c r="G294" s="4" t="str">
        <f>IF(INPUT_CAD!G294="","",INPUT_CAD!G294)</f>
        <v/>
      </c>
      <c r="I294" s="4" t="str">
        <f t="shared" si="45"/>
        <v/>
      </c>
      <c r="J294" s="4" t="str">
        <f t="shared" si="46"/>
        <v/>
      </c>
      <c r="K294" s="4" t="str">
        <f t="shared" si="47"/>
        <v/>
      </c>
      <c r="L294" s="4" t="str">
        <f>IFERROR(VLOOKUP(ROUND(K294,0),correction_tag!$A$7:$C$253,3),"x")</f>
        <v>x</v>
      </c>
      <c r="N294" s="4">
        <f t="shared" si="39"/>
        <v>1</v>
      </c>
      <c r="O294" s="4">
        <f>IF(N293=0,O293+INPUT_CAD!$B$4,INPUT_CAD!$B$4)</f>
        <v>2</v>
      </c>
      <c r="Q294" s="4" t="str">
        <f t="shared" si="40"/>
        <v/>
      </c>
      <c r="R294" s="4" t="str">
        <f t="shared" si="41"/>
        <v/>
      </c>
      <c r="S294" s="4" t="str">
        <f t="shared" si="42"/>
        <v/>
      </c>
      <c r="T294" s="4" t="str">
        <f>IFERROR(Q294*Setup!$C$26+R294*Setup!$D$26+S294*Setup!$E$26,"")</f>
        <v/>
      </c>
      <c r="U294" s="4" t="str">
        <f t="shared" si="44"/>
        <v/>
      </c>
      <c r="V294" s="4">
        <f t="shared" si="43"/>
        <v>90</v>
      </c>
    </row>
    <row r="295" spans="1:22" hidden="1" x14ac:dyDescent="0.25">
      <c r="A295" s="4" t="str">
        <f>IF(INPUT_CAD!A295="","",INPUT_CAD!A295)</f>
        <v/>
      </c>
      <c r="B295" s="4" t="str">
        <f>IF(INPUT_CAD!B295="","",INPUT_CAD!B295)</f>
        <v/>
      </c>
      <c r="C295" s="4" t="str">
        <f>IF(INPUT_CAD!C295="","",INPUT_CAD!C295)</f>
        <v/>
      </c>
      <c r="D295" s="4" t="str">
        <f>IF(INPUT_CAD!D295="","",INPUT_CAD!D295)</f>
        <v/>
      </c>
      <c r="E295" s="4" t="str">
        <f>IF(INPUT_CAD!E295="","",INPUT_CAD!E295)</f>
        <v/>
      </c>
      <c r="F295" s="4" t="str">
        <f>IF(INPUT_CAD!F295="","",INPUT_CAD!F295)</f>
        <v/>
      </c>
      <c r="G295" s="4" t="str">
        <f>IF(INPUT_CAD!G295="","",INPUT_CAD!G295)</f>
        <v/>
      </c>
      <c r="I295" s="4" t="str">
        <f t="shared" si="45"/>
        <v/>
      </c>
      <c r="J295" s="4" t="str">
        <f t="shared" si="46"/>
        <v/>
      </c>
      <c r="K295" s="4" t="str">
        <f t="shared" si="47"/>
        <v/>
      </c>
      <c r="L295" s="4" t="str">
        <f>IFERROR(VLOOKUP(ROUND(K295,0),correction_tag!$A$7:$C$253,3),"x")</f>
        <v>x</v>
      </c>
      <c r="N295" s="4">
        <f t="shared" si="39"/>
        <v>1</v>
      </c>
      <c r="O295" s="4">
        <f>IF(N294=0,O294+INPUT_CAD!$B$4,INPUT_CAD!$B$4)</f>
        <v>2</v>
      </c>
      <c r="Q295" s="4" t="str">
        <f t="shared" si="40"/>
        <v/>
      </c>
      <c r="R295" s="4" t="str">
        <f t="shared" si="41"/>
        <v/>
      </c>
      <c r="S295" s="4" t="str">
        <f t="shared" si="42"/>
        <v/>
      </c>
      <c r="T295" s="4" t="str">
        <f>IFERROR(Q295*Setup!$C$26+R295*Setup!$D$26+S295*Setup!$E$26,"")</f>
        <v/>
      </c>
      <c r="U295" s="4" t="str">
        <f t="shared" si="44"/>
        <v/>
      </c>
      <c r="V295" s="4">
        <f t="shared" si="43"/>
        <v>90</v>
      </c>
    </row>
    <row r="296" spans="1:22" hidden="1" x14ac:dyDescent="0.25">
      <c r="A296" s="4" t="str">
        <f>IF(INPUT_CAD!A296="","",INPUT_CAD!A296)</f>
        <v/>
      </c>
      <c r="B296" s="4" t="str">
        <f>IF(INPUT_CAD!B296="","",INPUT_CAD!B296)</f>
        <v/>
      </c>
      <c r="C296" s="4" t="str">
        <f>IF(INPUT_CAD!C296="","",INPUT_CAD!C296)</f>
        <v/>
      </c>
      <c r="D296" s="4" t="str">
        <f>IF(INPUT_CAD!D296="","",INPUT_CAD!D296)</f>
        <v/>
      </c>
      <c r="E296" s="4" t="str">
        <f>IF(INPUT_CAD!E296="","",INPUT_CAD!E296)</f>
        <v/>
      </c>
      <c r="F296" s="4" t="str">
        <f>IF(INPUT_CAD!F296="","",INPUT_CAD!F296)</f>
        <v/>
      </c>
      <c r="G296" s="4" t="str">
        <f>IF(INPUT_CAD!G296="","",INPUT_CAD!G296)</f>
        <v/>
      </c>
      <c r="I296" s="4" t="str">
        <f t="shared" si="45"/>
        <v/>
      </c>
      <c r="J296" s="4" t="str">
        <f t="shared" si="46"/>
        <v/>
      </c>
      <c r="K296" s="4" t="str">
        <f t="shared" si="47"/>
        <v/>
      </c>
      <c r="L296" s="4" t="str">
        <f>IFERROR(VLOOKUP(ROUND(K296,0),correction_tag!$A$7:$C$253,3),"x")</f>
        <v>x</v>
      </c>
      <c r="N296" s="4">
        <f t="shared" si="39"/>
        <v>1</v>
      </c>
      <c r="O296" s="4">
        <f>IF(N295=0,O295+INPUT_CAD!$B$4,INPUT_CAD!$B$4)</f>
        <v>2</v>
      </c>
      <c r="Q296" s="4" t="str">
        <f t="shared" si="40"/>
        <v/>
      </c>
      <c r="R296" s="4" t="str">
        <f t="shared" si="41"/>
        <v/>
      </c>
      <c r="S296" s="4" t="str">
        <f t="shared" si="42"/>
        <v/>
      </c>
      <c r="T296" s="4" t="str">
        <f>IFERROR(Q296*Setup!$C$26+R296*Setup!$D$26+S296*Setup!$E$26,"")</f>
        <v/>
      </c>
      <c r="U296" s="4" t="str">
        <f t="shared" si="44"/>
        <v/>
      </c>
      <c r="V296" s="4">
        <f t="shared" si="43"/>
        <v>90</v>
      </c>
    </row>
    <row r="297" spans="1:22" hidden="1" x14ac:dyDescent="0.25">
      <c r="A297" s="4" t="str">
        <f>IF(INPUT_CAD!A297="","",INPUT_CAD!A297)</f>
        <v/>
      </c>
      <c r="B297" s="4" t="str">
        <f>IF(INPUT_CAD!B297="","",INPUT_CAD!B297)</f>
        <v/>
      </c>
      <c r="C297" s="4" t="str">
        <f>IF(INPUT_CAD!C297="","",INPUT_CAD!C297)</f>
        <v/>
      </c>
      <c r="D297" s="4" t="str">
        <f>IF(INPUT_CAD!D297="","",INPUT_CAD!D297)</f>
        <v/>
      </c>
      <c r="E297" s="4" t="str">
        <f>IF(INPUT_CAD!E297="","",INPUT_CAD!E297)</f>
        <v/>
      </c>
      <c r="F297" s="4" t="str">
        <f>IF(INPUT_CAD!F297="","",INPUT_CAD!F297)</f>
        <v/>
      </c>
      <c r="G297" s="4" t="str">
        <f>IF(INPUT_CAD!G297="","",INPUT_CAD!G297)</f>
        <v/>
      </c>
      <c r="I297" s="4" t="str">
        <f t="shared" si="45"/>
        <v/>
      </c>
      <c r="J297" s="4" t="str">
        <f t="shared" si="46"/>
        <v/>
      </c>
      <c r="K297" s="4" t="str">
        <f t="shared" si="47"/>
        <v/>
      </c>
      <c r="L297" s="4" t="str">
        <f>IFERROR(VLOOKUP(ROUND(K297,0),correction_tag!$A$7:$C$253,3),"x")</f>
        <v>x</v>
      </c>
      <c r="N297" s="4">
        <f t="shared" si="39"/>
        <v>1</v>
      </c>
      <c r="O297" s="4">
        <f>IF(N296=0,O296+INPUT_CAD!$B$4,INPUT_CAD!$B$4)</f>
        <v>2</v>
      </c>
      <c r="Q297" s="4" t="str">
        <f t="shared" si="40"/>
        <v/>
      </c>
      <c r="R297" s="4" t="str">
        <f t="shared" si="41"/>
        <v/>
      </c>
      <c r="S297" s="4" t="str">
        <f t="shared" si="42"/>
        <v/>
      </c>
      <c r="T297" s="4" t="str">
        <f>IFERROR(Q297*Setup!$C$26+R297*Setup!$D$26+S297*Setup!$E$26,"")</f>
        <v/>
      </c>
      <c r="U297" s="4" t="str">
        <f t="shared" si="44"/>
        <v/>
      </c>
      <c r="V297" s="4">
        <f t="shared" si="43"/>
        <v>90</v>
      </c>
    </row>
    <row r="298" spans="1:22" hidden="1" x14ac:dyDescent="0.25">
      <c r="A298" s="4" t="str">
        <f>IF(INPUT_CAD!A298="","",INPUT_CAD!A298)</f>
        <v/>
      </c>
      <c r="B298" s="4" t="str">
        <f>IF(INPUT_CAD!B298="","",INPUT_CAD!B298)</f>
        <v/>
      </c>
      <c r="C298" s="4" t="str">
        <f>IF(INPUT_CAD!C298="","",INPUT_CAD!C298)</f>
        <v/>
      </c>
      <c r="D298" s="4" t="str">
        <f>IF(INPUT_CAD!D298="","",INPUT_CAD!D298)</f>
        <v/>
      </c>
      <c r="E298" s="4" t="str">
        <f>IF(INPUT_CAD!E298="","",INPUT_CAD!E298)</f>
        <v/>
      </c>
      <c r="F298" s="4" t="str">
        <f>IF(INPUT_CAD!F298="","",INPUT_CAD!F298)</f>
        <v/>
      </c>
      <c r="G298" s="4" t="str">
        <f>IF(INPUT_CAD!G298="","",INPUT_CAD!G298)</f>
        <v/>
      </c>
      <c r="I298" s="4" t="str">
        <f t="shared" si="45"/>
        <v/>
      </c>
      <c r="J298" s="4" t="str">
        <f t="shared" si="46"/>
        <v/>
      </c>
      <c r="K298" s="4" t="str">
        <f t="shared" si="47"/>
        <v/>
      </c>
      <c r="L298" s="4" t="str">
        <f>IFERROR(VLOOKUP(ROUND(K298,0),correction_tag!$A$7:$C$253,3),"x")</f>
        <v>x</v>
      </c>
      <c r="N298" s="4">
        <f t="shared" si="39"/>
        <v>1</v>
      </c>
      <c r="O298" s="4">
        <f>IF(N297=0,O297+INPUT_CAD!$B$4,INPUT_CAD!$B$4)</f>
        <v>2</v>
      </c>
      <c r="Q298" s="4" t="str">
        <f t="shared" si="40"/>
        <v/>
      </c>
      <c r="R298" s="4" t="str">
        <f t="shared" si="41"/>
        <v/>
      </c>
      <c r="S298" s="4" t="str">
        <f t="shared" si="42"/>
        <v/>
      </c>
      <c r="T298" s="4" t="str">
        <f>IFERROR(Q298*Setup!$C$26+R298*Setup!$D$26+S298*Setup!$E$26,"")</f>
        <v/>
      </c>
      <c r="U298" s="4" t="str">
        <f t="shared" si="44"/>
        <v/>
      </c>
      <c r="V298" s="4">
        <f t="shared" si="43"/>
        <v>90</v>
      </c>
    </row>
    <row r="299" spans="1:22" hidden="1" x14ac:dyDescent="0.25">
      <c r="A299" s="4" t="str">
        <f>IF(INPUT_CAD!A299="","",INPUT_CAD!A299)</f>
        <v/>
      </c>
      <c r="B299" s="4" t="str">
        <f>IF(INPUT_CAD!B299="","",INPUT_CAD!B299)</f>
        <v/>
      </c>
      <c r="C299" s="4" t="str">
        <f>IF(INPUT_CAD!C299="","",INPUT_CAD!C299)</f>
        <v/>
      </c>
      <c r="D299" s="4" t="str">
        <f>IF(INPUT_CAD!D299="","",INPUT_CAD!D299)</f>
        <v/>
      </c>
      <c r="E299" s="4" t="str">
        <f>IF(INPUT_CAD!E299="","",INPUT_CAD!E299)</f>
        <v/>
      </c>
      <c r="F299" s="4" t="str">
        <f>IF(INPUT_CAD!F299="","",INPUT_CAD!F299)</f>
        <v/>
      </c>
      <c r="G299" s="4" t="str">
        <f>IF(INPUT_CAD!G299="","",INPUT_CAD!G299)</f>
        <v/>
      </c>
      <c r="I299" s="4" t="str">
        <f t="shared" si="45"/>
        <v/>
      </c>
      <c r="J299" s="4" t="str">
        <f t="shared" si="46"/>
        <v/>
      </c>
      <c r="K299" s="4" t="str">
        <f t="shared" si="47"/>
        <v/>
      </c>
      <c r="L299" s="4" t="str">
        <f>IFERROR(VLOOKUP(ROUND(K299,0),correction_tag!$A$7:$C$253,3),"x")</f>
        <v>x</v>
      </c>
      <c r="N299" s="4">
        <f t="shared" si="39"/>
        <v>1</v>
      </c>
      <c r="O299" s="4">
        <f>IF(N298=0,O298+INPUT_CAD!$B$4,INPUT_CAD!$B$4)</f>
        <v>2</v>
      </c>
      <c r="Q299" s="4" t="str">
        <f t="shared" si="40"/>
        <v/>
      </c>
      <c r="R299" s="4" t="str">
        <f t="shared" si="41"/>
        <v/>
      </c>
      <c r="S299" s="4" t="str">
        <f t="shared" si="42"/>
        <v/>
      </c>
      <c r="T299" s="4" t="str">
        <f>IFERROR(Q299*Setup!$C$26+R299*Setup!$D$26+S299*Setup!$E$26,"")</f>
        <v/>
      </c>
      <c r="U299" s="4" t="str">
        <f t="shared" si="44"/>
        <v/>
      </c>
      <c r="V299" s="4">
        <f t="shared" si="43"/>
        <v>90</v>
      </c>
    </row>
    <row r="300" spans="1:22" hidden="1" x14ac:dyDescent="0.25">
      <c r="A300" s="4" t="str">
        <f>IF(INPUT_CAD!A300="","",INPUT_CAD!A300)</f>
        <v/>
      </c>
      <c r="B300" s="4" t="str">
        <f>IF(INPUT_CAD!B300="","",INPUT_CAD!B300)</f>
        <v/>
      </c>
      <c r="C300" s="4" t="str">
        <f>IF(INPUT_CAD!C300="","",INPUT_CAD!C300)</f>
        <v/>
      </c>
      <c r="D300" s="4" t="str">
        <f>IF(INPUT_CAD!D300="","",INPUT_CAD!D300)</f>
        <v/>
      </c>
      <c r="E300" s="4" t="str">
        <f>IF(INPUT_CAD!E300="","",INPUT_CAD!E300)</f>
        <v/>
      </c>
      <c r="F300" s="4" t="str">
        <f>IF(INPUT_CAD!F300="","",INPUT_CAD!F300)</f>
        <v/>
      </c>
      <c r="G300" s="4" t="str">
        <f>IF(INPUT_CAD!G300="","",INPUT_CAD!G300)</f>
        <v/>
      </c>
      <c r="I300" s="4" t="str">
        <f t="shared" si="45"/>
        <v/>
      </c>
      <c r="J300" s="4" t="str">
        <f t="shared" si="46"/>
        <v/>
      </c>
      <c r="K300" s="4" t="str">
        <f t="shared" si="47"/>
        <v/>
      </c>
      <c r="L300" s="4" t="str">
        <f>IFERROR(VLOOKUP(ROUND(K300,0),correction_tag!$A$7:$C$253,3),"x")</f>
        <v>x</v>
      </c>
      <c r="N300" s="4">
        <f t="shared" si="39"/>
        <v>1</v>
      </c>
      <c r="O300" s="4">
        <f>IF(N299=0,O299+INPUT_CAD!$B$4,INPUT_CAD!$B$4)</f>
        <v>2</v>
      </c>
      <c r="Q300" s="4" t="str">
        <f t="shared" si="40"/>
        <v/>
      </c>
      <c r="R300" s="4" t="str">
        <f t="shared" si="41"/>
        <v/>
      </c>
      <c r="S300" s="4" t="str">
        <f t="shared" si="42"/>
        <v/>
      </c>
      <c r="T300" s="4" t="str">
        <f>IFERROR(Q300*Setup!$C$26+R300*Setup!$D$26+S300*Setup!$E$26,"")</f>
        <v/>
      </c>
      <c r="U300" s="4" t="str">
        <f t="shared" si="44"/>
        <v/>
      </c>
      <c r="V300" s="4">
        <f t="shared" si="43"/>
        <v>90</v>
      </c>
    </row>
    <row r="301" spans="1:22" hidden="1" x14ac:dyDescent="0.25">
      <c r="A301" s="4" t="str">
        <f>IF(INPUT_CAD!A301="","",INPUT_CAD!A301)</f>
        <v/>
      </c>
      <c r="B301" s="4" t="str">
        <f>IF(INPUT_CAD!B301="","",INPUT_CAD!B301)</f>
        <v/>
      </c>
      <c r="C301" s="4" t="str">
        <f>IF(INPUT_CAD!C301="","",INPUT_CAD!C301)</f>
        <v/>
      </c>
      <c r="D301" s="4" t="str">
        <f>IF(INPUT_CAD!D301="","",INPUT_CAD!D301)</f>
        <v/>
      </c>
      <c r="E301" s="4" t="str">
        <f>IF(INPUT_CAD!E301="","",INPUT_CAD!E301)</f>
        <v/>
      </c>
      <c r="F301" s="4" t="str">
        <f>IF(INPUT_CAD!F301="","",INPUT_CAD!F301)</f>
        <v/>
      </c>
      <c r="G301" s="4" t="str">
        <f>IF(INPUT_CAD!G301="","",INPUT_CAD!G301)</f>
        <v/>
      </c>
      <c r="I301" s="4" t="str">
        <f t="shared" si="45"/>
        <v/>
      </c>
      <c r="J301" s="4" t="str">
        <f t="shared" si="46"/>
        <v/>
      </c>
      <c r="K301" s="4" t="str">
        <f t="shared" si="47"/>
        <v/>
      </c>
      <c r="L301" s="4" t="str">
        <f>IFERROR(VLOOKUP(ROUND(K301,0),correction_tag!$A$7:$C$253,3),"x")</f>
        <v>x</v>
      </c>
      <c r="N301" s="4">
        <f t="shared" si="39"/>
        <v>1</v>
      </c>
      <c r="O301" s="4">
        <f>IF(N300=0,O300+INPUT_CAD!$B$4,INPUT_CAD!$B$4)</f>
        <v>2</v>
      </c>
      <c r="Q301" s="4" t="str">
        <f t="shared" si="40"/>
        <v/>
      </c>
      <c r="R301" s="4" t="str">
        <f t="shared" si="41"/>
        <v/>
      </c>
      <c r="S301" s="4" t="str">
        <f t="shared" si="42"/>
        <v/>
      </c>
      <c r="T301" s="4" t="str">
        <f>IFERROR(Q301*Setup!$C$26+R301*Setup!$D$26+S301*Setup!$E$26,"")</f>
        <v/>
      </c>
      <c r="U301" s="4" t="str">
        <f t="shared" si="44"/>
        <v/>
      </c>
      <c r="V301" s="4">
        <f t="shared" si="43"/>
        <v>90</v>
      </c>
    </row>
    <row r="302" spans="1:22" hidden="1" x14ac:dyDescent="0.25">
      <c r="A302" s="4" t="str">
        <f>IF(INPUT_CAD!A302="","",INPUT_CAD!A302)</f>
        <v/>
      </c>
      <c r="B302" s="4" t="str">
        <f>IF(INPUT_CAD!B302="","",INPUT_CAD!B302)</f>
        <v/>
      </c>
      <c r="C302" s="4" t="str">
        <f>IF(INPUT_CAD!C302="","",INPUT_CAD!C302)</f>
        <v/>
      </c>
      <c r="D302" s="4" t="str">
        <f>IF(INPUT_CAD!D302="","",INPUT_CAD!D302)</f>
        <v/>
      </c>
      <c r="E302" s="4" t="str">
        <f>IF(INPUT_CAD!E302="","",INPUT_CAD!E302)</f>
        <v/>
      </c>
      <c r="F302" s="4" t="str">
        <f>IF(INPUT_CAD!F302="","",INPUT_CAD!F302)</f>
        <v/>
      </c>
      <c r="G302" s="4" t="str">
        <f>IF(INPUT_CAD!G302="","",INPUT_CAD!G302)</f>
        <v/>
      </c>
      <c r="I302" s="4" t="str">
        <f t="shared" si="45"/>
        <v/>
      </c>
      <c r="J302" s="4" t="str">
        <f t="shared" si="46"/>
        <v/>
      </c>
      <c r="K302" s="4" t="str">
        <f t="shared" si="47"/>
        <v/>
      </c>
      <c r="L302" s="4" t="str">
        <f>IFERROR(VLOOKUP(ROUND(K302,0),correction_tag!$A$7:$C$253,3),"x")</f>
        <v>x</v>
      </c>
      <c r="N302" s="4">
        <f t="shared" si="39"/>
        <v>1</v>
      </c>
      <c r="O302" s="4">
        <f>IF(N301=0,O301+INPUT_CAD!$B$4,INPUT_CAD!$B$4)</f>
        <v>2</v>
      </c>
      <c r="Q302" s="4" t="str">
        <f t="shared" si="40"/>
        <v/>
      </c>
      <c r="R302" s="4" t="str">
        <f t="shared" si="41"/>
        <v/>
      </c>
      <c r="S302" s="4" t="str">
        <f t="shared" si="42"/>
        <v/>
      </c>
      <c r="T302" s="4" t="str">
        <f>IFERROR(Q302*Setup!$C$26+R302*Setup!$D$26+S302*Setup!$E$26,"")</f>
        <v/>
      </c>
      <c r="U302" s="4" t="str">
        <f t="shared" si="44"/>
        <v/>
      </c>
      <c r="V302" s="4">
        <f t="shared" si="43"/>
        <v>90</v>
      </c>
    </row>
    <row r="303" spans="1:22" hidden="1" x14ac:dyDescent="0.25">
      <c r="A303" s="4" t="str">
        <f>IF(INPUT_CAD!A303="","",INPUT_CAD!A303)</f>
        <v/>
      </c>
      <c r="B303" s="4" t="str">
        <f>IF(INPUT_CAD!B303="","",INPUT_CAD!B303)</f>
        <v/>
      </c>
      <c r="C303" s="4" t="str">
        <f>IF(INPUT_CAD!C303="","",INPUT_CAD!C303)</f>
        <v/>
      </c>
      <c r="D303" s="4" t="str">
        <f>IF(INPUT_CAD!D303="","",INPUT_CAD!D303)</f>
        <v/>
      </c>
      <c r="E303" s="4" t="str">
        <f>IF(INPUT_CAD!E303="","",INPUT_CAD!E303)</f>
        <v/>
      </c>
      <c r="F303" s="4" t="str">
        <f>IF(INPUT_CAD!F303="","",INPUT_CAD!F303)</f>
        <v/>
      </c>
      <c r="G303" s="4" t="str">
        <f>IF(INPUT_CAD!G303="","",INPUT_CAD!G303)</f>
        <v/>
      </c>
      <c r="I303" s="4" t="str">
        <f t="shared" si="45"/>
        <v/>
      </c>
      <c r="J303" s="4" t="str">
        <f t="shared" si="46"/>
        <v/>
      </c>
      <c r="K303" s="4" t="str">
        <f t="shared" si="47"/>
        <v/>
      </c>
      <c r="L303" s="4" t="str">
        <f>IFERROR(VLOOKUP(ROUND(K303,0),correction_tag!$A$7:$C$253,3),"x")</f>
        <v>x</v>
      </c>
      <c r="N303" s="4">
        <f t="shared" si="39"/>
        <v>1</v>
      </c>
      <c r="O303" s="4">
        <f>IF(N302=0,O302+INPUT_CAD!$B$4,INPUT_CAD!$B$4)</f>
        <v>2</v>
      </c>
      <c r="Q303" s="4" t="str">
        <f t="shared" si="40"/>
        <v/>
      </c>
      <c r="R303" s="4" t="str">
        <f t="shared" si="41"/>
        <v/>
      </c>
      <c r="S303" s="4" t="str">
        <f t="shared" si="42"/>
        <v/>
      </c>
      <c r="T303" s="4" t="str">
        <f>IFERROR(Q303*Setup!$C$26+R303*Setup!$D$26+S303*Setup!$E$26,"")</f>
        <v/>
      </c>
      <c r="U303" s="4" t="str">
        <f t="shared" si="44"/>
        <v/>
      </c>
      <c r="V303" s="4">
        <f t="shared" si="43"/>
        <v>90</v>
      </c>
    </row>
    <row r="304" spans="1:22" hidden="1" x14ac:dyDescent="0.25">
      <c r="A304" s="4" t="str">
        <f>IF(INPUT_CAD!A304="","",INPUT_CAD!A304)</f>
        <v/>
      </c>
      <c r="B304" s="4" t="str">
        <f>IF(INPUT_CAD!B304="","",INPUT_CAD!B304)</f>
        <v/>
      </c>
      <c r="C304" s="4" t="str">
        <f>IF(INPUT_CAD!C304="","",INPUT_CAD!C304)</f>
        <v/>
      </c>
      <c r="D304" s="4" t="str">
        <f>IF(INPUT_CAD!D304="","",INPUT_CAD!D304)</f>
        <v/>
      </c>
      <c r="E304" s="4" t="str">
        <f>IF(INPUT_CAD!E304="","",INPUT_CAD!E304)</f>
        <v/>
      </c>
      <c r="F304" s="4" t="str">
        <f>IF(INPUT_CAD!F304="","",INPUT_CAD!F304)</f>
        <v/>
      </c>
      <c r="G304" s="4" t="str">
        <f>IF(INPUT_CAD!G304="","",INPUT_CAD!G304)</f>
        <v/>
      </c>
      <c r="I304" s="4" t="str">
        <f t="shared" si="45"/>
        <v/>
      </c>
      <c r="J304" s="4" t="str">
        <f t="shared" si="46"/>
        <v/>
      </c>
      <c r="K304" s="4" t="str">
        <f t="shared" si="47"/>
        <v/>
      </c>
      <c r="L304" s="4" t="str">
        <f>IFERROR(VLOOKUP(ROUND(K304,0),correction_tag!$A$7:$C$253,3),"x")</f>
        <v>x</v>
      </c>
      <c r="N304" s="4">
        <f t="shared" si="39"/>
        <v>1</v>
      </c>
      <c r="O304" s="4">
        <f>IF(N303=0,O303+INPUT_CAD!$B$4,INPUT_CAD!$B$4)</f>
        <v>2</v>
      </c>
      <c r="Q304" s="4" t="str">
        <f t="shared" si="40"/>
        <v/>
      </c>
      <c r="R304" s="4" t="str">
        <f t="shared" si="41"/>
        <v/>
      </c>
      <c r="S304" s="4" t="str">
        <f t="shared" si="42"/>
        <v/>
      </c>
      <c r="T304" s="4" t="str">
        <f>IFERROR(Q304*Setup!$C$26+R304*Setup!$D$26+S304*Setup!$E$26,"")</f>
        <v/>
      </c>
      <c r="U304" s="4" t="str">
        <f t="shared" si="44"/>
        <v/>
      </c>
      <c r="V304" s="4">
        <f t="shared" si="43"/>
        <v>90</v>
      </c>
    </row>
    <row r="305" spans="1:22" hidden="1" x14ac:dyDescent="0.25">
      <c r="A305" s="4" t="str">
        <f>IF(INPUT_CAD!A305="","",INPUT_CAD!A305)</f>
        <v/>
      </c>
      <c r="B305" s="4" t="str">
        <f>IF(INPUT_CAD!B305="","",INPUT_CAD!B305)</f>
        <v/>
      </c>
      <c r="C305" s="4" t="str">
        <f>IF(INPUT_CAD!C305="","",INPUT_CAD!C305)</f>
        <v/>
      </c>
      <c r="D305" s="4" t="str">
        <f>IF(INPUT_CAD!D305="","",INPUT_CAD!D305)</f>
        <v/>
      </c>
      <c r="E305" s="4" t="str">
        <f>IF(INPUT_CAD!E305="","",INPUT_CAD!E305)</f>
        <v/>
      </c>
      <c r="F305" s="4" t="str">
        <f>IF(INPUT_CAD!F305="","",INPUT_CAD!F305)</f>
        <v/>
      </c>
      <c r="G305" s="4" t="str">
        <f>IF(INPUT_CAD!G305="","",INPUT_CAD!G305)</f>
        <v/>
      </c>
      <c r="I305" s="4" t="str">
        <f t="shared" si="45"/>
        <v/>
      </c>
      <c r="J305" s="4" t="str">
        <f t="shared" si="46"/>
        <v/>
      </c>
      <c r="K305" s="4" t="str">
        <f t="shared" si="47"/>
        <v/>
      </c>
      <c r="L305" s="4" t="str">
        <f>IFERROR(VLOOKUP(ROUND(K305,0),correction_tag!$A$7:$C$253,3),"x")</f>
        <v>x</v>
      </c>
      <c r="N305" s="4">
        <f t="shared" si="39"/>
        <v>1</v>
      </c>
      <c r="O305" s="4">
        <f>IF(N304=0,O304+INPUT_CAD!$B$4,INPUT_CAD!$B$4)</f>
        <v>2</v>
      </c>
      <c r="Q305" s="4" t="str">
        <f t="shared" si="40"/>
        <v/>
      </c>
      <c r="R305" s="4" t="str">
        <f t="shared" si="41"/>
        <v/>
      </c>
      <c r="S305" s="4" t="str">
        <f t="shared" si="42"/>
        <v/>
      </c>
      <c r="T305" s="4" t="str">
        <f>IFERROR(Q305*Setup!$C$26+R305*Setup!$D$26+S305*Setup!$E$26,"")</f>
        <v/>
      </c>
      <c r="U305" s="4" t="str">
        <f t="shared" si="44"/>
        <v/>
      </c>
      <c r="V305" s="4">
        <f t="shared" si="43"/>
        <v>90</v>
      </c>
    </row>
    <row r="306" spans="1:22" hidden="1" x14ac:dyDescent="0.25">
      <c r="A306" s="4" t="str">
        <f>IF(INPUT_CAD!A306="","",INPUT_CAD!A306)</f>
        <v/>
      </c>
      <c r="B306" s="4" t="str">
        <f>IF(INPUT_CAD!B306="","",INPUT_CAD!B306)</f>
        <v/>
      </c>
      <c r="C306" s="4" t="str">
        <f>IF(INPUT_CAD!C306="","",INPUT_CAD!C306)</f>
        <v/>
      </c>
      <c r="D306" s="4" t="str">
        <f>IF(INPUT_CAD!D306="","",INPUT_CAD!D306)</f>
        <v/>
      </c>
      <c r="E306" s="4" t="str">
        <f>IF(INPUT_CAD!E306="","",INPUT_CAD!E306)</f>
        <v/>
      </c>
      <c r="F306" s="4" t="str">
        <f>IF(INPUT_CAD!F306="","",INPUT_CAD!F306)</f>
        <v/>
      </c>
      <c r="G306" s="4" t="str">
        <f>IF(INPUT_CAD!G306="","",INPUT_CAD!G306)</f>
        <v/>
      </c>
      <c r="I306" s="4" t="str">
        <f t="shared" si="45"/>
        <v/>
      </c>
      <c r="J306" s="4" t="str">
        <f t="shared" si="46"/>
        <v/>
      </c>
      <c r="K306" s="4" t="str">
        <f t="shared" si="47"/>
        <v/>
      </c>
      <c r="L306" s="4" t="str">
        <f>IFERROR(VLOOKUP(ROUND(K306,0),correction_tag!$A$7:$C$253,3),"x")</f>
        <v>x</v>
      </c>
      <c r="N306" s="4">
        <f t="shared" si="39"/>
        <v>1</v>
      </c>
      <c r="O306" s="4">
        <f>IF(N305=0,O305+INPUT_CAD!$B$4,INPUT_CAD!$B$4)</f>
        <v>2</v>
      </c>
      <c r="Q306" s="4" t="str">
        <f t="shared" si="40"/>
        <v/>
      </c>
      <c r="R306" s="4" t="str">
        <f t="shared" si="41"/>
        <v/>
      </c>
      <c r="S306" s="4" t="str">
        <f t="shared" si="42"/>
        <v/>
      </c>
      <c r="T306" s="4" t="str">
        <f>IFERROR(Q306*Setup!$C$26+R306*Setup!$D$26+S306*Setup!$E$26,"")</f>
        <v/>
      </c>
      <c r="U306" s="4" t="str">
        <f t="shared" si="44"/>
        <v/>
      </c>
      <c r="V306" s="4">
        <f t="shared" si="43"/>
        <v>90</v>
      </c>
    </row>
    <row r="307" spans="1:22" hidden="1" x14ac:dyDescent="0.25">
      <c r="A307" s="4" t="str">
        <f>IF(INPUT_CAD!A307="","",INPUT_CAD!A307)</f>
        <v/>
      </c>
      <c r="B307" s="4" t="str">
        <f>IF(INPUT_CAD!B307="","",INPUT_CAD!B307)</f>
        <v/>
      </c>
      <c r="C307" s="4" t="str">
        <f>IF(INPUT_CAD!C307="","",INPUT_CAD!C307)</f>
        <v/>
      </c>
      <c r="D307" s="4" t="str">
        <f>IF(INPUT_CAD!D307="","",INPUT_CAD!D307)</f>
        <v/>
      </c>
      <c r="E307" s="4" t="str">
        <f>IF(INPUT_CAD!E307="","",INPUT_CAD!E307)</f>
        <v/>
      </c>
      <c r="F307" s="4" t="str">
        <f>IF(INPUT_CAD!F307="","",INPUT_CAD!F307)</f>
        <v/>
      </c>
      <c r="G307" s="4" t="str">
        <f>IF(INPUT_CAD!G307="","",INPUT_CAD!G307)</f>
        <v/>
      </c>
      <c r="I307" s="4" t="str">
        <f t="shared" si="45"/>
        <v/>
      </c>
      <c r="J307" s="4" t="str">
        <f t="shared" si="46"/>
        <v/>
      </c>
      <c r="K307" s="4" t="str">
        <f t="shared" si="47"/>
        <v/>
      </c>
      <c r="L307" s="4" t="str">
        <f>IFERROR(VLOOKUP(ROUND(K307,0),correction_tag!$A$7:$C$253,3),"x")</f>
        <v>x</v>
      </c>
      <c r="N307" s="4">
        <f t="shared" si="39"/>
        <v>1</v>
      </c>
      <c r="O307" s="4">
        <f>IF(N306=0,O306+INPUT_CAD!$B$4,INPUT_CAD!$B$4)</f>
        <v>2</v>
      </c>
      <c r="Q307" s="4" t="str">
        <f t="shared" si="40"/>
        <v/>
      </c>
      <c r="R307" s="4" t="str">
        <f t="shared" si="41"/>
        <v/>
      </c>
      <c r="S307" s="4" t="str">
        <f t="shared" si="42"/>
        <v/>
      </c>
      <c r="T307" s="4" t="str">
        <f>IFERROR(Q307*Setup!$C$26+R307*Setup!$D$26+S307*Setup!$E$26,"")</f>
        <v/>
      </c>
      <c r="U307" s="4" t="str">
        <f t="shared" si="44"/>
        <v/>
      </c>
      <c r="V307" s="4">
        <f t="shared" si="43"/>
        <v>90</v>
      </c>
    </row>
    <row r="308" spans="1:22" hidden="1" x14ac:dyDescent="0.25">
      <c r="A308" s="4" t="str">
        <f>IF(INPUT_CAD!A308="","",INPUT_CAD!A308)</f>
        <v/>
      </c>
      <c r="B308" s="4" t="str">
        <f>IF(INPUT_CAD!B308="","",INPUT_CAD!B308)</f>
        <v/>
      </c>
      <c r="C308" s="4" t="str">
        <f>IF(INPUT_CAD!C308="","",INPUT_CAD!C308)</f>
        <v/>
      </c>
      <c r="D308" s="4" t="str">
        <f>IF(INPUT_CAD!D308="","",INPUT_CAD!D308)</f>
        <v/>
      </c>
      <c r="E308" s="4" t="str">
        <f>IF(INPUT_CAD!E308="","",INPUT_CAD!E308)</f>
        <v/>
      </c>
      <c r="F308" s="4" t="str">
        <f>IF(INPUT_CAD!F308="","",INPUT_CAD!F308)</f>
        <v/>
      </c>
      <c r="G308" s="4" t="str">
        <f>IF(INPUT_CAD!G308="","",INPUT_CAD!G308)</f>
        <v/>
      </c>
      <c r="I308" s="4" t="str">
        <f t="shared" si="45"/>
        <v/>
      </c>
      <c r="J308" s="4" t="str">
        <f t="shared" si="46"/>
        <v/>
      </c>
      <c r="K308" s="4" t="str">
        <f t="shared" si="47"/>
        <v/>
      </c>
      <c r="L308" s="4" t="str">
        <f>IFERROR(VLOOKUP(ROUND(K308,0),correction_tag!$A$7:$C$253,3),"x")</f>
        <v>x</v>
      </c>
      <c r="N308" s="4">
        <f t="shared" si="39"/>
        <v>1</v>
      </c>
      <c r="O308" s="4">
        <f>IF(N307=0,O307+INPUT_CAD!$B$4,INPUT_CAD!$B$4)</f>
        <v>2</v>
      </c>
      <c r="Q308" s="4" t="str">
        <f t="shared" si="40"/>
        <v/>
      </c>
      <c r="R308" s="4" t="str">
        <f t="shared" si="41"/>
        <v/>
      </c>
      <c r="S308" s="4" t="str">
        <f t="shared" si="42"/>
        <v/>
      </c>
      <c r="T308" s="4" t="str">
        <f>IFERROR(Q308*Setup!$C$26+R308*Setup!$D$26+S308*Setup!$E$26,"")</f>
        <v/>
      </c>
      <c r="U308" s="4" t="str">
        <f t="shared" si="44"/>
        <v/>
      </c>
      <c r="V308" s="4">
        <f t="shared" si="43"/>
        <v>90</v>
      </c>
    </row>
    <row r="309" spans="1:22" hidden="1" x14ac:dyDescent="0.25">
      <c r="A309" s="4" t="str">
        <f>IF(INPUT_CAD!A309="","",INPUT_CAD!A309)</f>
        <v/>
      </c>
      <c r="B309" s="4" t="str">
        <f>IF(INPUT_CAD!B309="","",INPUT_CAD!B309)</f>
        <v/>
      </c>
      <c r="C309" s="4" t="str">
        <f>IF(INPUT_CAD!C309="","",INPUT_CAD!C309)</f>
        <v/>
      </c>
      <c r="D309" s="4" t="str">
        <f>IF(INPUT_CAD!D309="","",INPUT_CAD!D309)</f>
        <v/>
      </c>
      <c r="E309" s="4" t="str">
        <f>IF(INPUT_CAD!E309="","",INPUT_CAD!E309)</f>
        <v/>
      </c>
      <c r="F309" s="4" t="str">
        <f>IF(INPUT_CAD!F309="","",INPUT_CAD!F309)</f>
        <v/>
      </c>
      <c r="G309" s="4" t="str">
        <f>IF(INPUT_CAD!G309="","",INPUT_CAD!G309)</f>
        <v/>
      </c>
      <c r="I309" s="4" t="str">
        <f t="shared" si="45"/>
        <v/>
      </c>
      <c r="J309" s="4" t="str">
        <f t="shared" si="46"/>
        <v/>
      </c>
      <c r="K309" s="4" t="str">
        <f t="shared" si="47"/>
        <v/>
      </c>
      <c r="L309" s="4" t="str">
        <f>IFERROR(VLOOKUP(ROUND(K309,0),correction_tag!$A$7:$C$253,3),"x")</f>
        <v>x</v>
      </c>
      <c r="N309" s="4">
        <f t="shared" si="39"/>
        <v>1</v>
      </c>
      <c r="O309" s="4">
        <f>IF(N308=0,O308+INPUT_CAD!$B$4,INPUT_CAD!$B$4)</f>
        <v>2</v>
      </c>
      <c r="Q309" s="4" t="str">
        <f t="shared" si="40"/>
        <v/>
      </c>
      <c r="R309" s="4" t="str">
        <f t="shared" si="41"/>
        <v/>
      </c>
      <c r="S309" s="4" t="str">
        <f t="shared" si="42"/>
        <v/>
      </c>
      <c r="T309" s="4" t="str">
        <f>IFERROR(Q309*Setup!$C$26+R309*Setup!$D$26+S309*Setup!$E$26,"")</f>
        <v/>
      </c>
      <c r="U309" s="4" t="str">
        <f t="shared" si="44"/>
        <v/>
      </c>
      <c r="V309" s="4">
        <f t="shared" si="43"/>
        <v>90</v>
      </c>
    </row>
    <row r="310" spans="1:22" hidden="1" x14ac:dyDescent="0.25">
      <c r="A310" s="4" t="str">
        <f>IF(INPUT_CAD!A310="","",INPUT_CAD!A310)</f>
        <v/>
      </c>
      <c r="B310" s="4" t="str">
        <f>IF(INPUT_CAD!B310="","",INPUT_CAD!B310)</f>
        <v/>
      </c>
      <c r="C310" s="4" t="str">
        <f>IF(INPUT_CAD!C310="","",INPUT_CAD!C310)</f>
        <v/>
      </c>
      <c r="D310" s="4" t="str">
        <f>IF(INPUT_CAD!D310="","",INPUT_CAD!D310)</f>
        <v/>
      </c>
      <c r="E310" s="4" t="str">
        <f>IF(INPUT_CAD!E310="","",INPUT_CAD!E310)</f>
        <v/>
      </c>
      <c r="F310" s="4" t="str">
        <f>IF(INPUT_CAD!F310="","",INPUT_CAD!F310)</f>
        <v/>
      </c>
      <c r="G310" s="4" t="str">
        <f>IF(INPUT_CAD!G310="","",INPUT_CAD!G310)</f>
        <v/>
      </c>
      <c r="I310" s="4" t="str">
        <f t="shared" si="45"/>
        <v/>
      </c>
      <c r="J310" s="4" t="str">
        <f t="shared" si="46"/>
        <v/>
      </c>
      <c r="K310" s="4" t="str">
        <f t="shared" si="47"/>
        <v/>
      </c>
      <c r="L310" s="4" t="str">
        <f>IFERROR(VLOOKUP(ROUND(K310,0),correction_tag!$A$7:$C$253,3),"x")</f>
        <v>x</v>
      </c>
      <c r="N310" s="4">
        <f t="shared" si="39"/>
        <v>1</v>
      </c>
      <c r="O310" s="4">
        <f>IF(N309=0,O309+INPUT_CAD!$B$4,INPUT_CAD!$B$4)</f>
        <v>2</v>
      </c>
      <c r="Q310" s="4" t="str">
        <f t="shared" si="40"/>
        <v/>
      </c>
      <c r="R310" s="4" t="str">
        <f t="shared" si="41"/>
        <v/>
      </c>
      <c r="S310" s="4" t="str">
        <f t="shared" si="42"/>
        <v/>
      </c>
      <c r="T310" s="4" t="str">
        <f>IFERROR(Q310*Setup!$C$26+R310*Setup!$D$26+S310*Setup!$E$26,"")</f>
        <v/>
      </c>
      <c r="U310" s="4" t="str">
        <f t="shared" si="44"/>
        <v/>
      </c>
      <c r="V310" s="4">
        <f t="shared" si="43"/>
        <v>90</v>
      </c>
    </row>
    <row r="311" spans="1:22" hidden="1" x14ac:dyDescent="0.25">
      <c r="A311" s="4" t="str">
        <f>IF(INPUT_CAD!A311="","",INPUT_CAD!A311)</f>
        <v/>
      </c>
      <c r="B311" s="4" t="str">
        <f>IF(INPUT_CAD!B311="","",INPUT_CAD!B311)</f>
        <v/>
      </c>
      <c r="C311" s="4" t="str">
        <f>IF(INPUT_CAD!C311="","",INPUT_CAD!C311)</f>
        <v/>
      </c>
      <c r="D311" s="4" t="str">
        <f>IF(INPUT_CAD!D311="","",INPUT_CAD!D311)</f>
        <v/>
      </c>
      <c r="E311" s="4" t="str">
        <f>IF(INPUT_CAD!E311="","",INPUT_CAD!E311)</f>
        <v/>
      </c>
      <c r="F311" s="4" t="str">
        <f>IF(INPUT_CAD!F311="","",INPUT_CAD!F311)</f>
        <v/>
      </c>
      <c r="G311" s="4" t="str">
        <f>IF(INPUT_CAD!G311="","",INPUT_CAD!G311)</f>
        <v/>
      </c>
      <c r="I311" s="4" t="str">
        <f t="shared" si="45"/>
        <v/>
      </c>
      <c r="J311" s="4" t="str">
        <f t="shared" si="46"/>
        <v/>
      </c>
      <c r="K311" s="4" t="str">
        <f t="shared" si="47"/>
        <v/>
      </c>
      <c r="L311" s="4" t="str">
        <f>IFERROR(VLOOKUP(ROUND(K311,0),correction_tag!$A$7:$C$253,3),"x")</f>
        <v>x</v>
      </c>
      <c r="N311" s="4">
        <f t="shared" si="39"/>
        <v>1</v>
      </c>
      <c r="O311" s="4">
        <f>IF(N310=0,O310+INPUT_CAD!$B$4,INPUT_CAD!$B$4)</f>
        <v>2</v>
      </c>
      <c r="Q311" s="4" t="str">
        <f t="shared" si="40"/>
        <v/>
      </c>
      <c r="R311" s="4" t="str">
        <f t="shared" si="41"/>
        <v/>
      </c>
      <c r="S311" s="4" t="str">
        <f t="shared" si="42"/>
        <v/>
      </c>
      <c r="T311" s="4" t="str">
        <f>IFERROR(Q311*Setup!$C$26+R311*Setup!$D$26+S311*Setup!$E$26,"")</f>
        <v/>
      </c>
      <c r="U311" s="4" t="str">
        <f t="shared" si="44"/>
        <v/>
      </c>
      <c r="V311" s="4">
        <f t="shared" si="43"/>
        <v>90</v>
      </c>
    </row>
    <row r="312" spans="1:22" hidden="1" x14ac:dyDescent="0.25">
      <c r="A312" s="4" t="str">
        <f>IF(INPUT_CAD!A312="","",INPUT_CAD!A312)</f>
        <v/>
      </c>
      <c r="B312" s="4" t="str">
        <f>IF(INPUT_CAD!B312="","",INPUT_CAD!B312)</f>
        <v/>
      </c>
      <c r="C312" s="4" t="str">
        <f>IF(INPUT_CAD!C312="","",INPUT_CAD!C312)</f>
        <v/>
      </c>
      <c r="D312" s="4" t="str">
        <f>IF(INPUT_CAD!D312="","",INPUT_CAD!D312)</f>
        <v/>
      </c>
      <c r="E312" s="4" t="str">
        <f>IF(INPUT_CAD!E312="","",INPUT_CAD!E312)</f>
        <v/>
      </c>
      <c r="F312" s="4" t="str">
        <f>IF(INPUT_CAD!F312="","",INPUT_CAD!F312)</f>
        <v/>
      </c>
      <c r="G312" s="4" t="str">
        <f>IF(INPUT_CAD!G312="","",INPUT_CAD!G312)</f>
        <v/>
      </c>
      <c r="I312" s="4" t="str">
        <f t="shared" si="45"/>
        <v/>
      </c>
      <c r="J312" s="4" t="str">
        <f t="shared" si="46"/>
        <v/>
      </c>
      <c r="K312" s="4" t="str">
        <f t="shared" si="47"/>
        <v/>
      </c>
      <c r="L312" s="4" t="str">
        <f>IFERROR(VLOOKUP(ROUND(K312,0),correction_tag!$A$7:$C$253,3),"x")</f>
        <v>x</v>
      </c>
      <c r="N312" s="4">
        <f t="shared" si="39"/>
        <v>1</v>
      </c>
      <c r="O312" s="4">
        <f>IF(N311=0,O311+INPUT_CAD!$B$4,INPUT_CAD!$B$4)</f>
        <v>2</v>
      </c>
      <c r="Q312" s="4" t="str">
        <f t="shared" si="40"/>
        <v/>
      </c>
      <c r="R312" s="4" t="str">
        <f t="shared" si="41"/>
        <v/>
      </c>
      <c r="S312" s="4" t="str">
        <f t="shared" si="42"/>
        <v/>
      </c>
      <c r="T312" s="4" t="str">
        <f>IFERROR(Q312*Setup!$C$26+R312*Setup!$D$26+S312*Setup!$E$26,"")</f>
        <v/>
      </c>
      <c r="U312" s="4" t="str">
        <f t="shared" si="44"/>
        <v/>
      </c>
      <c r="V312" s="4">
        <f t="shared" si="43"/>
        <v>90</v>
      </c>
    </row>
    <row r="313" spans="1:22" hidden="1" x14ac:dyDescent="0.25">
      <c r="A313" s="4" t="str">
        <f>IF(INPUT_CAD!A313="","",INPUT_CAD!A313)</f>
        <v/>
      </c>
      <c r="B313" s="4" t="str">
        <f>IF(INPUT_CAD!B313="","",INPUT_CAD!B313)</f>
        <v/>
      </c>
      <c r="C313" s="4" t="str">
        <f>IF(INPUT_CAD!C313="","",INPUT_CAD!C313)</f>
        <v/>
      </c>
      <c r="D313" s="4" t="str">
        <f>IF(INPUT_CAD!D313="","",INPUT_CAD!D313)</f>
        <v/>
      </c>
      <c r="E313" s="4" t="str">
        <f>IF(INPUT_CAD!E313="","",INPUT_CAD!E313)</f>
        <v/>
      </c>
      <c r="F313" s="4" t="str">
        <f>IF(INPUT_CAD!F313="","",INPUT_CAD!F313)</f>
        <v/>
      </c>
      <c r="G313" s="4" t="str">
        <f>IF(INPUT_CAD!G313="","",INPUT_CAD!G313)</f>
        <v/>
      </c>
      <c r="I313" s="4" t="str">
        <f t="shared" si="45"/>
        <v/>
      </c>
      <c r="J313" s="4" t="str">
        <f t="shared" si="46"/>
        <v/>
      </c>
      <c r="K313" s="4" t="str">
        <f t="shared" si="47"/>
        <v/>
      </c>
      <c r="L313" s="4" t="str">
        <f>IFERROR(VLOOKUP(ROUND(K313,0),correction_tag!$A$7:$C$253,3),"x")</f>
        <v>x</v>
      </c>
      <c r="N313" s="4">
        <f t="shared" si="39"/>
        <v>1</v>
      </c>
      <c r="O313" s="4">
        <f>IF(N312=0,O312+INPUT_CAD!$B$4,INPUT_CAD!$B$4)</f>
        <v>2</v>
      </c>
      <c r="Q313" s="4" t="str">
        <f t="shared" si="40"/>
        <v/>
      </c>
      <c r="R313" s="4" t="str">
        <f t="shared" si="41"/>
        <v/>
      </c>
      <c r="S313" s="4" t="str">
        <f t="shared" si="42"/>
        <v/>
      </c>
      <c r="T313" s="4" t="str">
        <f>IFERROR(Q313*Setup!$C$26+R313*Setup!$D$26+S313*Setup!$E$26,"")</f>
        <v/>
      </c>
      <c r="U313" s="4" t="str">
        <f t="shared" si="44"/>
        <v/>
      </c>
      <c r="V313" s="4">
        <f t="shared" si="43"/>
        <v>90</v>
      </c>
    </row>
    <row r="314" spans="1:22" hidden="1" x14ac:dyDescent="0.25">
      <c r="A314" s="4" t="str">
        <f>IF(INPUT_CAD!A314="","",INPUT_CAD!A314)</f>
        <v/>
      </c>
      <c r="B314" s="4" t="str">
        <f>IF(INPUT_CAD!B314="","",INPUT_CAD!B314)</f>
        <v/>
      </c>
      <c r="C314" s="4" t="str">
        <f>IF(INPUT_CAD!C314="","",INPUT_CAD!C314)</f>
        <v/>
      </c>
      <c r="D314" s="4" t="str">
        <f>IF(INPUT_CAD!D314="","",INPUT_CAD!D314)</f>
        <v/>
      </c>
      <c r="E314" s="4" t="str">
        <f>IF(INPUT_CAD!E314="","",INPUT_CAD!E314)</f>
        <v/>
      </c>
      <c r="F314" s="4" t="str">
        <f>IF(INPUT_CAD!F314="","",INPUT_CAD!F314)</f>
        <v/>
      </c>
      <c r="G314" s="4" t="str">
        <f>IF(INPUT_CAD!G314="","",INPUT_CAD!G314)</f>
        <v/>
      </c>
      <c r="I314" s="4" t="str">
        <f t="shared" si="45"/>
        <v/>
      </c>
      <c r="J314" s="4" t="str">
        <f t="shared" si="46"/>
        <v/>
      </c>
      <c r="K314" s="4" t="str">
        <f t="shared" si="47"/>
        <v/>
      </c>
      <c r="L314" s="4" t="str">
        <f>IFERROR(VLOOKUP(ROUND(K314,0),correction_tag!$A$7:$C$253,3),"x")</f>
        <v>x</v>
      </c>
      <c r="N314" s="4">
        <f t="shared" si="39"/>
        <v>1</v>
      </c>
      <c r="O314" s="4">
        <f>IF(N313=0,O313+INPUT_CAD!$B$4,INPUT_CAD!$B$4)</f>
        <v>2</v>
      </c>
      <c r="Q314" s="4" t="str">
        <f t="shared" si="40"/>
        <v/>
      </c>
      <c r="R314" s="4" t="str">
        <f t="shared" si="41"/>
        <v/>
      </c>
      <c r="S314" s="4" t="str">
        <f t="shared" si="42"/>
        <v/>
      </c>
      <c r="T314" s="4" t="str">
        <f>IFERROR(Q314*Setup!$C$26+R314*Setup!$D$26+S314*Setup!$E$26,"")</f>
        <v/>
      </c>
      <c r="U314" s="4" t="str">
        <f t="shared" si="44"/>
        <v/>
      </c>
      <c r="V314" s="4">
        <f t="shared" si="43"/>
        <v>90</v>
      </c>
    </row>
    <row r="315" spans="1:22" hidden="1" x14ac:dyDescent="0.25">
      <c r="A315" s="4" t="str">
        <f>IF(INPUT_CAD!A315="","",INPUT_CAD!A315)</f>
        <v/>
      </c>
      <c r="B315" s="4" t="str">
        <f>IF(INPUT_CAD!B315="","",INPUT_CAD!B315)</f>
        <v/>
      </c>
      <c r="C315" s="4" t="str">
        <f>IF(INPUT_CAD!C315="","",INPUT_CAD!C315)</f>
        <v/>
      </c>
      <c r="D315" s="4" t="str">
        <f>IF(INPUT_CAD!D315="","",INPUT_CAD!D315)</f>
        <v/>
      </c>
      <c r="E315" s="4" t="str">
        <f>IF(INPUT_CAD!E315="","",INPUT_CAD!E315)</f>
        <v/>
      </c>
      <c r="F315" s="4" t="str">
        <f>IF(INPUT_CAD!F315="","",INPUT_CAD!F315)</f>
        <v/>
      </c>
      <c r="G315" s="4" t="str">
        <f>IF(INPUT_CAD!G315="","",INPUT_CAD!G315)</f>
        <v/>
      </c>
      <c r="I315" s="4" t="str">
        <f t="shared" si="45"/>
        <v/>
      </c>
      <c r="J315" s="4" t="str">
        <f t="shared" si="46"/>
        <v/>
      </c>
      <c r="K315" s="4" t="str">
        <f t="shared" si="47"/>
        <v/>
      </c>
      <c r="L315" s="4" t="str">
        <f>IFERROR(VLOOKUP(ROUND(K315,0),correction_tag!$A$7:$C$253,3),"x")</f>
        <v>x</v>
      </c>
      <c r="N315" s="4">
        <f t="shared" si="39"/>
        <v>1</v>
      </c>
      <c r="O315" s="4">
        <f>IF(N314=0,O314+INPUT_CAD!$B$4,INPUT_CAD!$B$4)</f>
        <v>2</v>
      </c>
      <c r="Q315" s="4" t="str">
        <f t="shared" si="40"/>
        <v/>
      </c>
      <c r="R315" s="4" t="str">
        <f t="shared" si="41"/>
        <v/>
      </c>
      <c r="S315" s="4" t="str">
        <f t="shared" si="42"/>
        <v/>
      </c>
      <c r="T315" s="4" t="str">
        <f>IFERROR(Q315*Setup!$C$26+R315*Setup!$D$26+S315*Setup!$E$26,"")</f>
        <v/>
      </c>
      <c r="U315" s="4" t="str">
        <f t="shared" si="44"/>
        <v/>
      </c>
      <c r="V315" s="4">
        <f t="shared" si="43"/>
        <v>90</v>
      </c>
    </row>
    <row r="316" spans="1:22" hidden="1" x14ac:dyDescent="0.25">
      <c r="A316" s="4" t="str">
        <f>IF(INPUT_CAD!A316="","",INPUT_CAD!A316)</f>
        <v/>
      </c>
      <c r="B316" s="4" t="str">
        <f>IF(INPUT_CAD!B316="","",INPUT_CAD!B316)</f>
        <v/>
      </c>
      <c r="C316" s="4" t="str">
        <f>IF(INPUT_CAD!C316="","",INPUT_CAD!C316)</f>
        <v/>
      </c>
      <c r="D316" s="4" t="str">
        <f>IF(INPUT_CAD!D316="","",INPUT_CAD!D316)</f>
        <v/>
      </c>
      <c r="E316" s="4" t="str">
        <f>IF(INPUT_CAD!E316="","",INPUT_CAD!E316)</f>
        <v/>
      </c>
      <c r="F316" s="4" t="str">
        <f>IF(INPUT_CAD!F316="","",INPUT_CAD!F316)</f>
        <v/>
      </c>
      <c r="G316" s="4" t="str">
        <f>IF(INPUT_CAD!G316="","",INPUT_CAD!G316)</f>
        <v/>
      </c>
      <c r="I316" s="4" t="str">
        <f t="shared" si="45"/>
        <v/>
      </c>
      <c r="J316" s="4" t="str">
        <f t="shared" si="46"/>
        <v/>
      </c>
      <c r="K316" s="4" t="str">
        <f t="shared" si="47"/>
        <v/>
      </c>
      <c r="L316" s="4" t="str">
        <f>IFERROR(VLOOKUP(ROUND(K316,0),correction_tag!$A$7:$C$253,3),"x")</f>
        <v>x</v>
      </c>
      <c r="N316" s="4">
        <f t="shared" si="39"/>
        <v>1</v>
      </c>
      <c r="O316" s="4">
        <f>IF(N315=0,O315+INPUT_CAD!$B$4,INPUT_CAD!$B$4)</f>
        <v>2</v>
      </c>
      <c r="Q316" s="4" t="str">
        <f t="shared" si="40"/>
        <v/>
      </c>
      <c r="R316" s="4" t="str">
        <f t="shared" si="41"/>
        <v/>
      </c>
      <c r="S316" s="4" t="str">
        <f t="shared" si="42"/>
        <v/>
      </c>
      <c r="T316" s="4" t="str">
        <f>IFERROR(Q316*Setup!$C$26+R316*Setup!$D$26+S316*Setup!$E$26,"")</f>
        <v/>
      </c>
      <c r="U316" s="4" t="str">
        <f t="shared" si="44"/>
        <v/>
      </c>
      <c r="V316" s="4">
        <f t="shared" si="43"/>
        <v>90</v>
      </c>
    </row>
    <row r="317" spans="1:22" hidden="1" x14ac:dyDescent="0.25">
      <c r="A317" s="4" t="str">
        <f>IF(INPUT_CAD!A317="","",INPUT_CAD!A317)</f>
        <v/>
      </c>
      <c r="B317" s="4" t="str">
        <f>IF(INPUT_CAD!B317="","",INPUT_CAD!B317)</f>
        <v/>
      </c>
      <c r="C317" s="4" t="str">
        <f>IF(INPUT_CAD!C317="","",INPUT_CAD!C317)</f>
        <v/>
      </c>
      <c r="D317" s="4" t="str">
        <f>IF(INPUT_CAD!D317="","",INPUT_CAD!D317)</f>
        <v/>
      </c>
      <c r="E317" s="4" t="str">
        <f>IF(INPUT_CAD!E317="","",INPUT_CAD!E317)</f>
        <v/>
      </c>
      <c r="F317" s="4" t="str">
        <f>IF(INPUT_CAD!F317="","",INPUT_CAD!F317)</f>
        <v/>
      </c>
      <c r="G317" s="4" t="str">
        <f>IF(INPUT_CAD!G317="","",INPUT_CAD!G317)</f>
        <v/>
      </c>
      <c r="I317" s="4" t="str">
        <f t="shared" si="45"/>
        <v/>
      </c>
      <c r="J317" s="4" t="str">
        <f t="shared" si="46"/>
        <v/>
      </c>
      <c r="K317" s="4" t="str">
        <f t="shared" si="47"/>
        <v/>
      </c>
      <c r="L317" s="4" t="str">
        <f>IFERROR(VLOOKUP(ROUND(K317,0),correction_tag!$A$7:$C$253,3),"x")</f>
        <v>x</v>
      </c>
      <c r="N317" s="4">
        <f t="shared" si="39"/>
        <v>1</v>
      </c>
      <c r="O317" s="4">
        <f>IF(N316=0,O316+INPUT_CAD!$B$4,INPUT_CAD!$B$4)</f>
        <v>2</v>
      </c>
      <c r="Q317" s="4" t="str">
        <f t="shared" si="40"/>
        <v/>
      </c>
      <c r="R317" s="4" t="str">
        <f t="shared" si="41"/>
        <v/>
      </c>
      <c r="S317" s="4" t="str">
        <f t="shared" si="42"/>
        <v/>
      </c>
      <c r="T317" s="4" t="str">
        <f>IFERROR(Q317*Setup!$C$26+R317*Setup!$D$26+S317*Setup!$E$26,"")</f>
        <v/>
      </c>
      <c r="U317" s="4" t="str">
        <f t="shared" si="44"/>
        <v/>
      </c>
      <c r="V317" s="4">
        <f t="shared" si="43"/>
        <v>90</v>
      </c>
    </row>
    <row r="318" spans="1:22" hidden="1" x14ac:dyDescent="0.25">
      <c r="A318" s="4" t="str">
        <f>IF(INPUT_CAD!A318="","",INPUT_CAD!A318)</f>
        <v/>
      </c>
      <c r="B318" s="4" t="str">
        <f>IF(INPUT_CAD!B318="","",INPUT_CAD!B318)</f>
        <v/>
      </c>
      <c r="C318" s="4" t="str">
        <f>IF(INPUT_CAD!C318="","",INPUT_CAD!C318)</f>
        <v/>
      </c>
      <c r="D318" s="4" t="str">
        <f>IF(INPUT_CAD!D318="","",INPUT_CAD!D318)</f>
        <v/>
      </c>
      <c r="E318" s="4" t="str">
        <f>IF(INPUT_CAD!E318="","",INPUT_CAD!E318)</f>
        <v/>
      </c>
      <c r="F318" s="4" t="str">
        <f>IF(INPUT_CAD!F318="","",INPUT_CAD!F318)</f>
        <v/>
      </c>
      <c r="G318" s="4" t="str">
        <f>IF(INPUT_CAD!G318="","",INPUT_CAD!G318)</f>
        <v/>
      </c>
      <c r="I318" s="4" t="str">
        <f t="shared" si="45"/>
        <v/>
      </c>
      <c r="J318" s="4" t="str">
        <f t="shared" si="46"/>
        <v/>
      </c>
      <c r="K318" s="4" t="str">
        <f t="shared" si="47"/>
        <v/>
      </c>
      <c r="L318" s="4" t="str">
        <f>IFERROR(VLOOKUP(ROUND(K318,0),correction_tag!$A$7:$C$253,3),"x")</f>
        <v>x</v>
      </c>
      <c r="N318" s="4">
        <f t="shared" si="39"/>
        <v>1</v>
      </c>
      <c r="O318" s="4">
        <f>IF(N317=0,O317+INPUT_CAD!$B$4,INPUT_CAD!$B$4)</f>
        <v>2</v>
      </c>
      <c r="Q318" s="4" t="str">
        <f t="shared" si="40"/>
        <v/>
      </c>
      <c r="R318" s="4" t="str">
        <f t="shared" si="41"/>
        <v/>
      </c>
      <c r="S318" s="4" t="str">
        <f t="shared" si="42"/>
        <v/>
      </c>
      <c r="T318" s="4" t="str">
        <f>IFERROR(Q318*Setup!$C$26+R318*Setup!$D$26+S318*Setup!$E$26,"")</f>
        <v/>
      </c>
      <c r="U318" s="4" t="str">
        <f t="shared" si="44"/>
        <v/>
      </c>
      <c r="V318" s="4">
        <f t="shared" si="43"/>
        <v>90</v>
      </c>
    </row>
    <row r="319" spans="1:22" hidden="1" x14ac:dyDescent="0.25">
      <c r="A319" s="4" t="str">
        <f>IF(INPUT_CAD!A319="","",INPUT_CAD!A319)</f>
        <v/>
      </c>
      <c r="B319" s="4" t="str">
        <f>IF(INPUT_CAD!B319="","",INPUT_CAD!B319)</f>
        <v/>
      </c>
      <c r="C319" s="4" t="str">
        <f>IF(INPUT_CAD!C319="","",INPUT_CAD!C319)</f>
        <v/>
      </c>
      <c r="D319" s="4" t="str">
        <f>IF(INPUT_CAD!D319="","",INPUT_CAD!D319)</f>
        <v/>
      </c>
      <c r="E319" s="4" t="str">
        <f>IF(INPUT_CAD!E319="","",INPUT_CAD!E319)</f>
        <v/>
      </c>
      <c r="F319" s="4" t="str">
        <f>IF(INPUT_CAD!F319="","",INPUT_CAD!F319)</f>
        <v/>
      </c>
      <c r="G319" s="4" t="str">
        <f>IF(INPUT_CAD!G319="","",INPUT_CAD!G319)</f>
        <v/>
      </c>
      <c r="I319" s="4" t="str">
        <f t="shared" si="45"/>
        <v/>
      </c>
      <c r="J319" s="4" t="str">
        <f t="shared" si="46"/>
        <v/>
      </c>
      <c r="K319" s="4" t="str">
        <f t="shared" si="47"/>
        <v/>
      </c>
      <c r="L319" s="4" t="str">
        <f>IFERROR(VLOOKUP(ROUND(K319,0),correction_tag!$A$7:$C$253,3),"x")</f>
        <v>x</v>
      </c>
      <c r="N319" s="4">
        <f t="shared" si="39"/>
        <v>1</v>
      </c>
      <c r="O319" s="4">
        <f>IF(N318=0,O318+INPUT_CAD!$B$4,INPUT_CAD!$B$4)</f>
        <v>2</v>
      </c>
      <c r="Q319" s="4" t="str">
        <f t="shared" si="40"/>
        <v/>
      </c>
      <c r="R319" s="4" t="str">
        <f t="shared" si="41"/>
        <v/>
      </c>
      <c r="S319" s="4" t="str">
        <f t="shared" si="42"/>
        <v/>
      </c>
      <c r="T319" s="4" t="str">
        <f>IFERROR(Q319*Setup!$C$26+R319*Setup!$D$26+S319*Setup!$E$26,"")</f>
        <v/>
      </c>
      <c r="U319" s="4" t="str">
        <f t="shared" si="44"/>
        <v/>
      </c>
      <c r="V319" s="4">
        <f t="shared" si="43"/>
        <v>90</v>
      </c>
    </row>
    <row r="320" spans="1:22" hidden="1" x14ac:dyDescent="0.25">
      <c r="A320" s="4" t="str">
        <f>IF(INPUT_CAD!A320="","",INPUT_CAD!A320)</f>
        <v/>
      </c>
      <c r="B320" s="4" t="str">
        <f>IF(INPUT_CAD!B320="","",INPUT_CAD!B320)</f>
        <v/>
      </c>
      <c r="C320" s="4" t="str">
        <f>IF(INPUT_CAD!C320="","",INPUT_CAD!C320)</f>
        <v/>
      </c>
      <c r="D320" s="4" t="str">
        <f>IF(INPUT_CAD!D320="","",INPUT_CAD!D320)</f>
        <v/>
      </c>
      <c r="E320" s="4" t="str">
        <f>IF(INPUT_CAD!E320="","",INPUT_CAD!E320)</f>
        <v/>
      </c>
      <c r="F320" s="4" t="str">
        <f>IF(INPUT_CAD!F320="","",INPUT_CAD!F320)</f>
        <v/>
      </c>
      <c r="G320" s="4" t="str">
        <f>IF(INPUT_CAD!G320="","",INPUT_CAD!G320)</f>
        <v/>
      </c>
      <c r="I320" s="4" t="str">
        <f t="shared" si="45"/>
        <v/>
      </c>
      <c r="J320" s="4" t="str">
        <f t="shared" si="46"/>
        <v/>
      </c>
      <c r="K320" s="4" t="str">
        <f t="shared" si="47"/>
        <v/>
      </c>
      <c r="L320" s="4" t="str">
        <f>IFERROR(VLOOKUP(ROUND(K320,0),correction_tag!$A$7:$C$253,3),"x")</f>
        <v>x</v>
      </c>
      <c r="N320" s="4">
        <f t="shared" si="39"/>
        <v>1</v>
      </c>
      <c r="O320" s="4">
        <f>IF(N319=0,O319+INPUT_CAD!$B$4,INPUT_CAD!$B$4)</f>
        <v>2</v>
      </c>
      <c r="Q320" s="4" t="str">
        <f t="shared" si="40"/>
        <v/>
      </c>
      <c r="R320" s="4" t="str">
        <f t="shared" si="41"/>
        <v/>
      </c>
      <c r="S320" s="4" t="str">
        <f t="shared" si="42"/>
        <v/>
      </c>
      <c r="T320" s="4" t="str">
        <f>IFERROR(Q320*Setup!$C$26+R320*Setup!$D$26+S320*Setup!$E$26,"")</f>
        <v/>
      </c>
      <c r="U320" s="4" t="str">
        <f t="shared" si="44"/>
        <v/>
      </c>
      <c r="V320" s="4">
        <f t="shared" si="43"/>
        <v>90</v>
      </c>
    </row>
    <row r="321" spans="1:22" hidden="1" x14ac:dyDescent="0.25">
      <c r="A321" s="4" t="str">
        <f>IF(INPUT_CAD!A321="","",INPUT_CAD!A321)</f>
        <v/>
      </c>
      <c r="B321" s="4" t="str">
        <f>IF(INPUT_CAD!B321="","",INPUT_CAD!B321)</f>
        <v/>
      </c>
      <c r="C321" s="4" t="str">
        <f>IF(INPUT_CAD!C321="","",INPUT_CAD!C321)</f>
        <v/>
      </c>
      <c r="D321" s="4" t="str">
        <f>IF(INPUT_CAD!D321="","",INPUT_CAD!D321)</f>
        <v/>
      </c>
      <c r="E321" s="4" t="str">
        <f>IF(INPUT_CAD!E321="","",INPUT_CAD!E321)</f>
        <v/>
      </c>
      <c r="F321" s="4" t="str">
        <f>IF(INPUT_CAD!F321="","",INPUT_CAD!F321)</f>
        <v/>
      </c>
      <c r="G321" s="4" t="str">
        <f>IF(INPUT_CAD!G321="","",INPUT_CAD!G321)</f>
        <v/>
      </c>
      <c r="I321" s="4" t="str">
        <f t="shared" si="45"/>
        <v/>
      </c>
      <c r="J321" s="4" t="str">
        <f t="shared" si="46"/>
        <v/>
      </c>
      <c r="K321" s="4" t="str">
        <f t="shared" si="47"/>
        <v/>
      </c>
      <c r="L321" s="4" t="str">
        <f>IFERROR(VLOOKUP(ROUND(K321,0),correction_tag!$A$7:$C$253,3),"x")</f>
        <v>x</v>
      </c>
      <c r="N321" s="4">
        <f t="shared" si="39"/>
        <v>1</v>
      </c>
      <c r="O321" s="4">
        <f>IF(N320=0,O320+INPUT_CAD!$B$4,INPUT_CAD!$B$4)</f>
        <v>2</v>
      </c>
      <c r="Q321" s="4" t="str">
        <f t="shared" si="40"/>
        <v/>
      </c>
      <c r="R321" s="4" t="str">
        <f t="shared" si="41"/>
        <v/>
      </c>
      <c r="S321" s="4" t="str">
        <f t="shared" si="42"/>
        <v/>
      </c>
      <c r="T321" s="4" t="str">
        <f>IFERROR(Q321*Setup!$C$26+R321*Setup!$D$26+S321*Setup!$E$26,"")</f>
        <v/>
      </c>
      <c r="U321" s="4" t="str">
        <f t="shared" si="44"/>
        <v/>
      </c>
      <c r="V321" s="4">
        <f t="shared" si="43"/>
        <v>90</v>
      </c>
    </row>
    <row r="322" spans="1:22" hidden="1" x14ac:dyDescent="0.25">
      <c r="A322" s="4" t="str">
        <f>IF(INPUT_CAD!A322="","",INPUT_CAD!A322)</f>
        <v/>
      </c>
      <c r="B322" s="4" t="str">
        <f>IF(INPUT_CAD!B322="","",INPUT_CAD!B322)</f>
        <v/>
      </c>
      <c r="C322" s="4" t="str">
        <f>IF(INPUT_CAD!C322="","",INPUT_CAD!C322)</f>
        <v/>
      </c>
      <c r="D322" s="4" t="str">
        <f>IF(INPUT_CAD!D322="","",INPUT_CAD!D322)</f>
        <v/>
      </c>
      <c r="E322" s="4" t="str">
        <f>IF(INPUT_CAD!E322="","",INPUT_CAD!E322)</f>
        <v/>
      </c>
      <c r="F322" s="4" t="str">
        <f>IF(INPUT_CAD!F322="","",INPUT_CAD!F322)</f>
        <v/>
      </c>
      <c r="G322" s="4" t="str">
        <f>IF(INPUT_CAD!G322="","",INPUT_CAD!G322)</f>
        <v/>
      </c>
      <c r="I322" s="4" t="str">
        <f t="shared" si="45"/>
        <v/>
      </c>
      <c r="J322" s="4" t="str">
        <f t="shared" si="46"/>
        <v/>
      </c>
      <c r="K322" s="4" t="str">
        <f t="shared" si="47"/>
        <v/>
      </c>
      <c r="L322" s="4" t="str">
        <f>IFERROR(VLOOKUP(ROUND(K322,0),correction_tag!$A$7:$C$253,3),"x")</f>
        <v>x</v>
      </c>
      <c r="N322" s="4">
        <f t="shared" si="39"/>
        <v>1</v>
      </c>
      <c r="O322" s="4">
        <f>IF(N321=0,O321+INPUT_CAD!$B$4,INPUT_CAD!$B$4)</f>
        <v>2</v>
      </c>
      <c r="Q322" s="4" t="str">
        <f t="shared" si="40"/>
        <v/>
      </c>
      <c r="R322" s="4" t="str">
        <f t="shared" si="41"/>
        <v/>
      </c>
      <c r="S322" s="4" t="str">
        <f t="shared" si="42"/>
        <v/>
      </c>
      <c r="T322" s="4" t="str">
        <f>IFERROR(Q322*Setup!$C$26+R322*Setup!$D$26+S322*Setup!$E$26,"")</f>
        <v/>
      </c>
      <c r="U322" s="4" t="str">
        <f t="shared" si="44"/>
        <v/>
      </c>
      <c r="V322" s="4">
        <f t="shared" si="43"/>
        <v>90</v>
      </c>
    </row>
    <row r="323" spans="1:22" hidden="1" x14ac:dyDescent="0.25">
      <c r="A323" s="4" t="str">
        <f>IF(INPUT_CAD!A323="","",INPUT_CAD!A323)</f>
        <v/>
      </c>
      <c r="B323" s="4" t="str">
        <f>IF(INPUT_CAD!B323="","",INPUT_CAD!B323)</f>
        <v/>
      </c>
      <c r="C323" s="4" t="str">
        <f>IF(INPUT_CAD!C323="","",INPUT_CAD!C323)</f>
        <v/>
      </c>
      <c r="D323" s="4" t="str">
        <f>IF(INPUT_CAD!D323="","",INPUT_CAD!D323)</f>
        <v/>
      </c>
      <c r="E323" s="4" t="str">
        <f>IF(INPUT_CAD!E323="","",INPUT_CAD!E323)</f>
        <v/>
      </c>
      <c r="F323" s="4" t="str">
        <f>IF(INPUT_CAD!F323="","",INPUT_CAD!F323)</f>
        <v/>
      </c>
      <c r="G323" s="4" t="str">
        <f>IF(INPUT_CAD!G323="","",INPUT_CAD!G323)</f>
        <v/>
      </c>
      <c r="I323" s="4" t="str">
        <f t="shared" si="45"/>
        <v/>
      </c>
      <c r="J323" s="4" t="str">
        <f t="shared" si="46"/>
        <v/>
      </c>
      <c r="K323" s="4" t="str">
        <f t="shared" si="47"/>
        <v/>
      </c>
      <c r="L323" s="4" t="str">
        <f>IFERROR(VLOOKUP(ROUND(K323,0),correction_tag!$A$7:$C$253,3),"x")</f>
        <v>x</v>
      </c>
      <c r="N323" s="4">
        <f t="shared" si="39"/>
        <v>1</v>
      </c>
      <c r="O323" s="4">
        <f>IF(N322=0,O322+INPUT_CAD!$B$4,INPUT_CAD!$B$4)</f>
        <v>2</v>
      </c>
      <c r="Q323" s="4" t="str">
        <f t="shared" si="40"/>
        <v/>
      </c>
      <c r="R323" s="4" t="str">
        <f t="shared" si="41"/>
        <v/>
      </c>
      <c r="S323" s="4" t="str">
        <f t="shared" si="42"/>
        <v/>
      </c>
      <c r="T323" s="4" t="str">
        <f>IFERROR(Q323*Setup!$C$26+R323*Setup!$D$26+S323*Setup!$E$26,"")</f>
        <v/>
      </c>
      <c r="U323" s="4" t="str">
        <f t="shared" si="44"/>
        <v/>
      </c>
      <c r="V323" s="4">
        <f t="shared" si="43"/>
        <v>90</v>
      </c>
    </row>
    <row r="324" spans="1:22" hidden="1" x14ac:dyDescent="0.25">
      <c r="A324" s="4" t="str">
        <f>IF(INPUT_CAD!A324="","",INPUT_CAD!A324)</f>
        <v/>
      </c>
      <c r="B324" s="4" t="str">
        <f>IF(INPUT_CAD!B324="","",INPUT_CAD!B324)</f>
        <v/>
      </c>
      <c r="C324" s="4" t="str">
        <f>IF(INPUT_CAD!C324="","",INPUT_CAD!C324)</f>
        <v/>
      </c>
      <c r="D324" s="4" t="str">
        <f>IF(INPUT_CAD!D324="","",INPUT_CAD!D324)</f>
        <v/>
      </c>
      <c r="E324" s="4" t="str">
        <f>IF(INPUT_CAD!E324="","",INPUT_CAD!E324)</f>
        <v/>
      </c>
      <c r="F324" s="4" t="str">
        <f>IF(INPUT_CAD!F324="","",INPUT_CAD!F324)</f>
        <v/>
      </c>
      <c r="G324" s="4" t="str">
        <f>IF(INPUT_CAD!G324="","",INPUT_CAD!G324)</f>
        <v/>
      </c>
      <c r="I324" s="4" t="str">
        <f t="shared" si="45"/>
        <v/>
      </c>
      <c r="J324" s="4" t="str">
        <f t="shared" si="46"/>
        <v/>
      </c>
      <c r="K324" s="4" t="str">
        <f t="shared" si="47"/>
        <v/>
      </c>
      <c r="L324" s="4" t="str">
        <f>IFERROR(VLOOKUP(ROUND(K324,0),correction_tag!$A$7:$C$253,3),"x")</f>
        <v>x</v>
      </c>
      <c r="N324" s="4">
        <f t="shared" si="39"/>
        <v>1</v>
      </c>
      <c r="O324" s="4">
        <f>IF(N323=0,O323+INPUT_CAD!$B$4,INPUT_CAD!$B$4)</f>
        <v>2</v>
      </c>
      <c r="Q324" s="4" t="str">
        <f t="shared" si="40"/>
        <v/>
      </c>
      <c r="R324" s="4" t="str">
        <f t="shared" si="41"/>
        <v/>
      </c>
      <c r="S324" s="4" t="str">
        <f t="shared" si="42"/>
        <v/>
      </c>
      <c r="T324" s="4" t="str">
        <f>IFERROR(Q324*Setup!$C$26+R324*Setup!$D$26+S324*Setup!$E$26,"")</f>
        <v/>
      </c>
      <c r="U324" s="4" t="str">
        <f t="shared" si="44"/>
        <v/>
      </c>
      <c r="V324" s="4">
        <f t="shared" si="43"/>
        <v>90</v>
      </c>
    </row>
    <row r="325" spans="1:22" hidden="1" x14ac:dyDescent="0.25">
      <c r="A325" s="4" t="str">
        <f>IF(INPUT_CAD!A325="","",INPUT_CAD!A325)</f>
        <v/>
      </c>
      <c r="B325" s="4" t="str">
        <f>IF(INPUT_CAD!B325="","",INPUT_CAD!B325)</f>
        <v/>
      </c>
      <c r="C325" s="4" t="str">
        <f>IF(INPUT_CAD!C325="","",INPUT_CAD!C325)</f>
        <v/>
      </c>
      <c r="D325" s="4" t="str">
        <f>IF(INPUT_CAD!D325="","",INPUT_CAD!D325)</f>
        <v/>
      </c>
      <c r="E325" s="4" t="str">
        <f>IF(INPUT_CAD!E325="","",INPUT_CAD!E325)</f>
        <v/>
      </c>
      <c r="F325" s="4" t="str">
        <f>IF(INPUT_CAD!F325="","",INPUT_CAD!F325)</f>
        <v/>
      </c>
      <c r="G325" s="4" t="str">
        <f>IF(INPUT_CAD!G325="","",INPUT_CAD!G325)</f>
        <v/>
      </c>
      <c r="I325" s="4" t="str">
        <f t="shared" si="45"/>
        <v/>
      </c>
      <c r="J325" s="4" t="str">
        <f t="shared" si="46"/>
        <v/>
      </c>
      <c r="K325" s="4" t="str">
        <f t="shared" si="47"/>
        <v/>
      </c>
      <c r="L325" s="4" t="str">
        <f>IFERROR(VLOOKUP(ROUND(K325,0),correction_tag!$A$7:$C$253,3),"x")</f>
        <v>x</v>
      </c>
      <c r="N325" s="4">
        <f t="shared" si="39"/>
        <v>1</v>
      </c>
      <c r="O325" s="4">
        <f>IF(N324=0,O324+INPUT_CAD!$B$4,INPUT_CAD!$B$4)</f>
        <v>2</v>
      </c>
      <c r="Q325" s="4" t="str">
        <f t="shared" si="40"/>
        <v/>
      </c>
      <c r="R325" s="4" t="str">
        <f t="shared" si="41"/>
        <v/>
      </c>
      <c r="S325" s="4" t="str">
        <f t="shared" si="42"/>
        <v/>
      </c>
      <c r="T325" s="4" t="str">
        <f>IFERROR(Q325*Setup!$C$26+R325*Setup!$D$26+S325*Setup!$E$26,"")</f>
        <v/>
      </c>
      <c r="U325" s="4" t="str">
        <f t="shared" si="44"/>
        <v/>
      </c>
      <c r="V325" s="4">
        <f t="shared" si="43"/>
        <v>90</v>
      </c>
    </row>
    <row r="326" spans="1:22" hidden="1" x14ac:dyDescent="0.25">
      <c r="A326" s="4" t="str">
        <f>IF(INPUT_CAD!A326="","",INPUT_CAD!A326)</f>
        <v/>
      </c>
      <c r="B326" s="4" t="str">
        <f>IF(INPUT_CAD!B326="","",INPUT_CAD!B326)</f>
        <v/>
      </c>
      <c r="C326" s="4" t="str">
        <f>IF(INPUT_CAD!C326="","",INPUT_CAD!C326)</f>
        <v/>
      </c>
      <c r="D326" s="4" t="str">
        <f>IF(INPUT_CAD!D326="","",INPUT_CAD!D326)</f>
        <v/>
      </c>
      <c r="E326" s="4" t="str">
        <f>IF(INPUT_CAD!E326="","",INPUT_CAD!E326)</f>
        <v/>
      </c>
      <c r="F326" s="4" t="str">
        <f>IF(INPUT_CAD!F326="","",INPUT_CAD!F326)</f>
        <v/>
      </c>
      <c r="G326" s="4" t="str">
        <f>IF(INPUT_CAD!G326="","",INPUT_CAD!G326)</f>
        <v/>
      </c>
      <c r="I326" s="4" t="str">
        <f t="shared" si="45"/>
        <v/>
      </c>
      <c r="J326" s="4" t="str">
        <f t="shared" si="46"/>
        <v/>
      </c>
      <c r="K326" s="4" t="str">
        <f t="shared" si="47"/>
        <v/>
      </c>
      <c r="L326" s="4" t="str">
        <f>IFERROR(VLOOKUP(ROUND(K326,0),correction_tag!$A$7:$C$253,3),"x")</f>
        <v>x</v>
      </c>
      <c r="N326" s="4">
        <f t="shared" si="39"/>
        <v>1</v>
      </c>
      <c r="O326" s="4">
        <f>IF(N325=0,O325+INPUT_CAD!$B$4,INPUT_CAD!$B$4)</f>
        <v>2</v>
      </c>
      <c r="Q326" s="4" t="str">
        <f t="shared" si="40"/>
        <v/>
      </c>
      <c r="R326" s="4" t="str">
        <f t="shared" si="41"/>
        <v/>
      </c>
      <c r="S326" s="4" t="str">
        <f t="shared" si="42"/>
        <v/>
      </c>
      <c r="T326" s="4" t="str">
        <f>IFERROR(Q326*Setup!$C$26+R326*Setup!$D$26+S326*Setup!$E$26,"")</f>
        <v/>
      </c>
      <c r="U326" s="4" t="str">
        <f t="shared" si="44"/>
        <v/>
      </c>
      <c r="V326" s="4">
        <f t="shared" si="43"/>
        <v>90</v>
      </c>
    </row>
    <row r="327" spans="1:22" hidden="1" x14ac:dyDescent="0.25">
      <c r="A327" s="4" t="str">
        <f>IF(INPUT_CAD!A327="","",INPUT_CAD!A327)</f>
        <v/>
      </c>
      <c r="B327" s="4" t="str">
        <f>IF(INPUT_CAD!B327="","",INPUT_CAD!B327)</f>
        <v/>
      </c>
      <c r="C327" s="4" t="str">
        <f>IF(INPUT_CAD!C327="","",INPUT_CAD!C327)</f>
        <v/>
      </c>
      <c r="D327" s="4" t="str">
        <f>IF(INPUT_CAD!D327="","",INPUT_CAD!D327)</f>
        <v/>
      </c>
      <c r="E327" s="4" t="str">
        <f>IF(INPUT_CAD!E327="","",INPUT_CAD!E327)</f>
        <v/>
      </c>
      <c r="F327" s="4" t="str">
        <f>IF(INPUT_CAD!F327="","",INPUT_CAD!F327)</f>
        <v/>
      </c>
      <c r="G327" s="4" t="str">
        <f>IF(INPUT_CAD!G327="","",INPUT_CAD!G327)</f>
        <v/>
      </c>
      <c r="I327" s="4" t="str">
        <f t="shared" si="45"/>
        <v/>
      </c>
      <c r="J327" s="4" t="str">
        <f t="shared" si="46"/>
        <v/>
      </c>
      <c r="K327" s="4" t="str">
        <f t="shared" si="47"/>
        <v/>
      </c>
      <c r="L327" s="4" t="str">
        <f>IFERROR(VLOOKUP(ROUND(K327,0),correction_tag!$A$7:$C$253,3),"x")</f>
        <v>x</v>
      </c>
      <c r="N327" s="4">
        <f t="shared" si="39"/>
        <v>1</v>
      </c>
      <c r="O327" s="4">
        <f>IF(N326=0,O326+INPUT_CAD!$B$4,INPUT_CAD!$B$4)</f>
        <v>2</v>
      </c>
      <c r="Q327" s="4" t="str">
        <f t="shared" si="40"/>
        <v/>
      </c>
      <c r="R327" s="4" t="str">
        <f t="shared" si="41"/>
        <v/>
      </c>
      <c r="S327" s="4" t="str">
        <f t="shared" si="42"/>
        <v/>
      </c>
      <c r="T327" s="4" t="str">
        <f>IFERROR(Q327*Setup!$C$26+R327*Setup!$D$26+S327*Setup!$E$26,"")</f>
        <v/>
      </c>
      <c r="U327" s="4" t="str">
        <f t="shared" si="44"/>
        <v/>
      </c>
      <c r="V327" s="4">
        <f t="shared" si="43"/>
        <v>90</v>
      </c>
    </row>
    <row r="328" spans="1:22" hidden="1" x14ac:dyDescent="0.25">
      <c r="A328" s="4" t="str">
        <f>IF(INPUT_CAD!A328="","",INPUT_CAD!A328)</f>
        <v/>
      </c>
      <c r="B328" s="4" t="str">
        <f>IF(INPUT_CAD!B328="","",INPUT_CAD!B328)</f>
        <v/>
      </c>
      <c r="C328" s="4" t="str">
        <f>IF(INPUT_CAD!C328="","",INPUT_CAD!C328)</f>
        <v/>
      </c>
      <c r="D328" s="4" t="str">
        <f>IF(INPUT_CAD!D328="","",INPUT_CAD!D328)</f>
        <v/>
      </c>
      <c r="E328" s="4" t="str">
        <f>IF(INPUT_CAD!E328="","",INPUT_CAD!E328)</f>
        <v/>
      </c>
      <c r="F328" s="4" t="str">
        <f>IF(INPUT_CAD!F328="","",INPUT_CAD!F328)</f>
        <v/>
      </c>
      <c r="G328" s="4" t="str">
        <f>IF(INPUT_CAD!G328="","",INPUT_CAD!G328)</f>
        <v/>
      </c>
      <c r="I328" s="4" t="str">
        <f t="shared" si="45"/>
        <v/>
      </c>
      <c r="J328" s="4" t="str">
        <f t="shared" si="46"/>
        <v/>
      </c>
      <c r="K328" s="4" t="str">
        <f t="shared" si="47"/>
        <v/>
      </c>
      <c r="L328" s="4" t="str">
        <f>IFERROR(VLOOKUP(ROUND(K328,0),correction_tag!$A$7:$C$253,3),"x")</f>
        <v>x</v>
      </c>
      <c r="N328" s="4">
        <f t="shared" si="39"/>
        <v>1</v>
      </c>
      <c r="O328" s="4">
        <f>IF(N327=0,O327+INPUT_CAD!$B$4,INPUT_CAD!$B$4)</f>
        <v>2</v>
      </c>
      <c r="Q328" s="4" t="str">
        <f t="shared" si="40"/>
        <v/>
      </c>
      <c r="R328" s="4" t="str">
        <f t="shared" si="41"/>
        <v/>
      </c>
      <c r="S328" s="4" t="str">
        <f t="shared" si="42"/>
        <v/>
      </c>
      <c r="T328" s="4" t="str">
        <f>IFERROR(Q328*Setup!$C$26+R328*Setup!$D$26+S328*Setup!$E$26,"")</f>
        <v/>
      </c>
      <c r="U328" s="4" t="str">
        <f t="shared" si="44"/>
        <v/>
      </c>
      <c r="V328" s="4">
        <f t="shared" si="43"/>
        <v>90</v>
      </c>
    </row>
    <row r="329" spans="1:22" hidden="1" x14ac:dyDescent="0.25">
      <c r="A329" s="4" t="str">
        <f>IF(INPUT_CAD!A329="","",INPUT_CAD!A329)</f>
        <v/>
      </c>
      <c r="B329" s="4" t="str">
        <f>IF(INPUT_CAD!B329="","",INPUT_CAD!B329)</f>
        <v/>
      </c>
      <c r="C329" s="4" t="str">
        <f>IF(INPUT_CAD!C329="","",INPUT_CAD!C329)</f>
        <v/>
      </c>
      <c r="D329" s="4" t="str">
        <f>IF(INPUT_CAD!D329="","",INPUT_CAD!D329)</f>
        <v/>
      </c>
      <c r="E329" s="4" t="str">
        <f>IF(INPUT_CAD!E329="","",INPUT_CAD!E329)</f>
        <v/>
      </c>
      <c r="F329" s="4" t="str">
        <f>IF(INPUT_CAD!F329="","",INPUT_CAD!F329)</f>
        <v/>
      </c>
      <c r="G329" s="4" t="str">
        <f>IF(INPUT_CAD!G329="","",INPUT_CAD!G329)</f>
        <v/>
      </c>
      <c r="I329" s="4" t="str">
        <f t="shared" si="45"/>
        <v/>
      </c>
      <c r="J329" s="4" t="str">
        <f t="shared" si="46"/>
        <v/>
      </c>
      <c r="K329" s="4" t="str">
        <f t="shared" si="47"/>
        <v/>
      </c>
      <c r="L329" s="4" t="str">
        <f>IFERROR(VLOOKUP(ROUND(K329,0),correction_tag!$A$7:$C$253,3),"x")</f>
        <v>x</v>
      </c>
      <c r="N329" s="4">
        <f t="shared" si="39"/>
        <v>1</v>
      </c>
      <c r="O329" s="4">
        <f>IF(N328=0,O328+INPUT_CAD!$B$4,INPUT_CAD!$B$4)</f>
        <v>2</v>
      </c>
      <c r="Q329" s="4" t="str">
        <f t="shared" si="40"/>
        <v/>
      </c>
      <c r="R329" s="4" t="str">
        <f t="shared" si="41"/>
        <v/>
      </c>
      <c r="S329" s="4" t="str">
        <f t="shared" si="42"/>
        <v/>
      </c>
      <c r="T329" s="4" t="str">
        <f>IFERROR(Q329*Setup!$C$26+R329*Setup!$D$26+S329*Setup!$E$26,"")</f>
        <v/>
      </c>
      <c r="U329" s="4" t="str">
        <f t="shared" si="44"/>
        <v/>
      </c>
      <c r="V329" s="4">
        <f t="shared" si="43"/>
        <v>90</v>
      </c>
    </row>
    <row r="330" spans="1:22" hidden="1" x14ac:dyDescent="0.25">
      <c r="A330" s="4" t="str">
        <f>IF(INPUT_CAD!A330="","",INPUT_CAD!A330)</f>
        <v/>
      </c>
      <c r="B330" s="4" t="str">
        <f>IF(INPUT_CAD!B330="","",INPUT_CAD!B330)</f>
        <v/>
      </c>
      <c r="C330" s="4" t="str">
        <f>IF(INPUT_CAD!C330="","",INPUT_CAD!C330)</f>
        <v/>
      </c>
      <c r="D330" s="4" t="str">
        <f>IF(INPUT_CAD!D330="","",INPUT_CAD!D330)</f>
        <v/>
      </c>
      <c r="E330" s="4" t="str">
        <f>IF(INPUT_CAD!E330="","",INPUT_CAD!E330)</f>
        <v/>
      </c>
      <c r="F330" s="4" t="str">
        <f>IF(INPUT_CAD!F330="","",INPUT_CAD!F330)</f>
        <v/>
      </c>
      <c r="G330" s="4" t="str">
        <f>IF(INPUT_CAD!G330="","",INPUT_CAD!G330)</f>
        <v/>
      </c>
      <c r="I330" s="4" t="str">
        <f t="shared" si="45"/>
        <v/>
      </c>
      <c r="J330" s="4" t="str">
        <f t="shared" si="46"/>
        <v/>
      </c>
      <c r="K330" s="4" t="str">
        <f t="shared" si="47"/>
        <v/>
      </c>
      <c r="L330" s="4" t="str">
        <f>IFERROR(VLOOKUP(ROUND(K330,0),correction_tag!$A$7:$C$253,3),"x")</f>
        <v>x</v>
      </c>
      <c r="N330" s="4">
        <f t="shared" si="39"/>
        <v>1</v>
      </c>
      <c r="O330" s="4">
        <f>IF(N329=0,O329+INPUT_CAD!$B$4,INPUT_CAD!$B$4)</f>
        <v>2</v>
      </c>
      <c r="Q330" s="4" t="str">
        <f t="shared" si="40"/>
        <v/>
      </c>
      <c r="R330" s="4" t="str">
        <f t="shared" si="41"/>
        <v/>
      </c>
      <c r="S330" s="4" t="str">
        <f t="shared" si="42"/>
        <v/>
      </c>
      <c r="T330" s="4" t="str">
        <f>IFERROR(Q330*Setup!$C$26+R330*Setup!$D$26+S330*Setup!$E$26,"")</f>
        <v/>
      </c>
      <c r="U330" s="4" t="str">
        <f t="shared" si="44"/>
        <v/>
      </c>
      <c r="V330" s="4">
        <f t="shared" si="43"/>
        <v>90</v>
      </c>
    </row>
    <row r="331" spans="1:22" hidden="1" x14ac:dyDescent="0.25">
      <c r="A331" s="4" t="str">
        <f>IF(INPUT_CAD!A331="","",INPUT_CAD!A331)</f>
        <v/>
      </c>
      <c r="B331" s="4" t="str">
        <f>IF(INPUT_CAD!B331="","",INPUT_CAD!B331)</f>
        <v/>
      </c>
      <c r="C331" s="4" t="str">
        <f>IF(INPUT_CAD!C331="","",INPUT_CAD!C331)</f>
        <v/>
      </c>
      <c r="D331" s="4" t="str">
        <f>IF(INPUT_CAD!D331="","",INPUT_CAD!D331)</f>
        <v/>
      </c>
      <c r="E331" s="4" t="str">
        <f>IF(INPUT_CAD!E331="","",INPUT_CAD!E331)</f>
        <v/>
      </c>
      <c r="F331" s="4" t="str">
        <f>IF(INPUT_CAD!F331="","",INPUT_CAD!F331)</f>
        <v/>
      </c>
      <c r="G331" s="4" t="str">
        <f>IF(INPUT_CAD!G331="","",INPUT_CAD!G331)</f>
        <v/>
      </c>
      <c r="I331" s="4" t="str">
        <f t="shared" si="45"/>
        <v/>
      </c>
      <c r="J331" s="4" t="str">
        <f t="shared" si="46"/>
        <v/>
      </c>
      <c r="K331" s="4" t="str">
        <f t="shared" si="47"/>
        <v/>
      </c>
      <c r="L331" s="4" t="str">
        <f>IFERROR(VLOOKUP(ROUND(K331,0),correction_tag!$A$7:$C$253,3),"x")</f>
        <v>x</v>
      </c>
      <c r="N331" s="4">
        <f t="shared" ref="N331:N394" si="48">IF(AND(K331&lt;&gt;0,K331&lt;&gt;"x"), 1,0)</f>
        <v>1</v>
      </c>
      <c r="O331" s="4">
        <f>IF(N330=0,O330+INPUT_CAD!$B$4,INPUT_CAD!$B$4)</f>
        <v>2</v>
      </c>
      <c r="Q331" s="4" t="str">
        <f t="shared" ref="Q331:Q394" si="49">IFERROR(F330*G331-G330*F331,"")</f>
        <v/>
      </c>
      <c r="R331" s="4" t="str">
        <f t="shared" ref="R331:R394" si="50">IFERROR(G330*E331-E330*G331,"")</f>
        <v/>
      </c>
      <c r="S331" s="4" t="str">
        <f t="shared" ref="S331:S394" si="51">IFERROR(E330*F331-F330*E331,"")</f>
        <v/>
      </c>
      <c r="T331" s="4" t="str">
        <f>IFERROR(Q331*Setup!$C$26+R331*Setup!$D$26+S331*Setup!$E$26,"")</f>
        <v/>
      </c>
      <c r="U331" s="4" t="str">
        <f t="shared" si="44"/>
        <v/>
      </c>
      <c r="V331" s="4">
        <f t="shared" ref="V331:V394" si="52">IFERROR(DEGREES(ACOS(T331/(U330*U331))),90)</f>
        <v>90</v>
      </c>
    </row>
    <row r="332" spans="1:22" hidden="1" x14ac:dyDescent="0.25">
      <c r="A332" s="4" t="str">
        <f>IF(INPUT_CAD!A332="","",INPUT_CAD!A332)</f>
        <v/>
      </c>
      <c r="B332" s="4" t="str">
        <f>IF(INPUT_CAD!B332="","",INPUT_CAD!B332)</f>
        <v/>
      </c>
      <c r="C332" s="4" t="str">
        <f>IF(INPUT_CAD!C332="","",INPUT_CAD!C332)</f>
        <v/>
      </c>
      <c r="D332" s="4" t="str">
        <f>IF(INPUT_CAD!D332="","",INPUT_CAD!D332)</f>
        <v/>
      </c>
      <c r="E332" s="4" t="str">
        <f>IF(INPUT_CAD!E332="","",INPUT_CAD!E332)</f>
        <v/>
      </c>
      <c r="F332" s="4" t="str">
        <f>IF(INPUT_CAD!F332="","",INPUT_CAD!F332)</f>
        <v/>
      </c>
      <c r="G332" s="4" t="str">
        <f>IF(INPUT_CAD!G332="","",INPUT_CAD!G332)</f>
        <v/>
      </c>
      <c r="I332" s="4" t="str">
        <f t="shared" si="45"/>
        <v/>
      </c>
      <c r="J332" s="4" t="str">
        <f t="shared" si="46"/>
        <v/>
      </c>
      <c r="K332" s="4" t="str">
        <f t="shared" si="47"/>
        <v/>
      </c>
      <c r="L332" s="4" t="str">
        <f>IFERROR(VLOOKUP(ROUND(K332,0),correction_tag!$A$7:$C$253,3),"x")</f>
        <v>x</v>
      </c>
      <c r="N332" s="4">
        <f t="shared" si="48"/>
        <v>1</v>
      </c>
      <c r="O332" s="4">
        <f>IF(N331=0,O331+INPUT_CAD!$B$4,INPUT_CAD!$B$4)</f>
        <v>2</v>
      </c>
      <c r="Q332" s="4" t="str">
        <f t="shared" si="49"/>
        <v/>
      </c>
      <c r="R332" s="4" t="str">
        <f t="shared" si="50"/>
        <v/>
      </c>
      <c r="S332" s="4" t="str">
        <f t="shared" si="51"/>
        <v/>
      </c>
      <c r="T332" s="4" t="str">
        <f>IFERROR(Q332*Setup!$C$26+R332*Setup!$D$26+S332*Setup!$E$26,"")</f>
        <v/>
      </c>
      <c r="U332" s="4" t="str">
        <f t="shared" ref="U332:U395" si="53">IFERROR(SQRT(Q332^2+R332^2+S332^2),"")</f>
        <v/>
      </c>
      <c r="V332" s="4">
        <f t="shared" si="52"/>
        <v>90</v>
      </c>
    </row>
    <row r="333" spans="1:22" hidden="1" x14ac:dyDescent="0.25">
      <c r="A333" s="4" t="str">
        <f>IF(INPUT_CAD!A333="","",INPUT_CAD!A333)</f>
        <v/>
      </c>
      <c r="B333" s="4" t="str">
        <f>IF(INPUT_CAD!B333="","",INPUT_CAD!B333)</f>
        <v/>
      </c>
      <c r="C333" s="4" t="str">
        <f>IF(INPUT_CAD!C333="","",INPUT_CAD!C333)</f>
        <v/>
      </c>
      <c r="D333" s="4" t="str">
        <f>IF(INPUT_CAD!D333="","",INPUT_CAD!D333)</f>
        <v/>
      </c>
      <c r="E333" s="4" t="str">
        <f>IF(INPUT_CAD!E333="","",INPUT_CAD!E333)</f>
        <v/>
      </c>
      <c r="F333" s="4" t="str">
        <f>IF(INPUT_CAD!F333="","",INPUT_CAD!F333)</f>
        <v/>
      </c>
      <c r="G333" s="4" t="str">
        <f>IF(INPUT_CAD!G333="","",INPUT_CAD!G333)</f>
        <v/>
      </c>
      <c r="I333" s="4" t="str">
        <f t="shared" si="45"/>
        <v/>
      </c>
      <c r="J333" s="4" t="str">
        <f t="shared" si="46"/>
        <v/>
      </c>
      <c r="K333" s="4" t="str">
        <f t="shared" si="47"/>
        <v/>
      </c>
      <c r="L333" s="4" t="str">
        <f>IFERROR(VLOOKUP(ROUND(K333,0),correction_tag!$A$7:$C$253,3),"x")</f>
        <v>x</v>
      </c>
      <c r="N333" s="4">
        <f t="shared" si="48"/>
        <v>1</v>
      </c>
      <c r="O333" s="4">
        <f>IF(N332=0,O332+INPUT_CAD!$B$4,INPUT_CAD!$B$4)</f>
        <v>2</v>
      </c>
      <c r="Q333" s="4" t="str">
        <f t="shared" si="49"/>
        <v/>
      </c>
      <c r="R333" s="4" t="str">
        <f t="shared" si="50"/>
        <v/>
      </c>
      <c r="S333" s="4" t="str">
        <f t="shared" si="51"/>
        <v/>
      </c>
      <c r="T333" s="4" t="str">
        <f>IFERROR(Q333*Setup!$C$26+R333*Setup!$D$26+S333*Setup!$E$26,"")</f>
        <v/>
      </c>
      <c r="U333" s="4" t="str">
        <f t="shared" si="53"/>
        <v/>
      </c>
      <c r="V333" s="4">
        <f t="shared" si="52"/>
        <v>90</v>
      </c>
    </row>
    <row r="334" spans="1:22" hidden="1" x14ac:dyDescent="0.25">
      <c r="A334" s="4" t="str">
        <f>IF(INPUT_CAD!A334="","",INPUT_CAD!A334)</f>
        <v/>
      </c>
      <c r="B334" s="4" t="str">
        <f>IF(INPUT_CAD!B334="","",INPUT_CAD!B334)</f>
        <v/>
      </c>
      <c r="C334" s="4" t="str">
        <f>IF(INPUT_CAD!C334="","",INPUT_CAD!C334)</f>
        <v/>
      </c>
      <c r="D334" s="4" t="str">
        <f>IF(INPUT_CAD!D334="","",INPUT_CAD!D334)</f>
        <v/>
      </c>
      <c r="E334" s="4" t="str">
        <f>IF(INPUT_CAD!E334="","",INPUT_CAD!E334)</f>
        <v/>
      </c>
      <c r="F334" s="4" t="str">
        <f>IF(INPUT_CAD!F334="","",INPUT_CAD!F334)</f>
        <v/>
      </c>
      <c r="G334" s="4" t="str">
        <f>IF(INPUT_CAD!G334="","",INPUT_CAD!G334)</f>
        <v/>
      </c>
      <c r="I334" s="4" t="str">
        <f t="shared" si="45"/>
        <v/>
      </c>
      <c r="J334" s="4" t="str">
        <f t="shared" si="46"/>
        <v/>
      </c>
      <c r="K334" s="4" t="str">
        <f t="shared" si="47"/>
        <v/>
      </c>
      <c r="L334" s="4" t="str">
        <f>IFERROR(VLOOKUP(ROUND(K334,0),correction_tag!$A$7:$C$253,3),"x")</f>
        <v>x</v>
      </c>
      <c r="N334" s="4">
        <f t="shared" si="48"/>
        <v>1</v>
      </c>
      <c r="O334" s="4">
        <f>IF(N333=0,O333+INPUT_CAD!$B$4,INPUT_CAD!$B$4)</f>
        <v>2</v>
      </c>
      <c r="Q334" s="4" t="str">
        <f t="shared" si="49"/>
        <v/>
      </c>
      <c r="R334" s="4" t="str">
        <f t="shared" si="50"/>
        <v/>
      </c>
      <c r="S334" s="4" t="str">
        <f t="shared" si="51"/>
        <v/>
      </c>
      <c r="T334" s="4" t="str">
        <f>IFERROR(Q334*Setup!$C$26+R334*Setup!$D$26+S334*Setup!$E$26,"")</f>
        <v/>
      </c>
      <c r="U334" s="4" t="str">
        <f t="shared" si="53"/>
        <v/>
      </c>
      <c r="V334" s="4">
        <f t="shared" si="52"/>
        <v>90</v>
      </c>
    </row>
    <row r="335" spans="1:22" hidden="1" x14ac:dyDescent="0.25">
      <c r="A335" s="4" t="str">
        <f>IF(INPUT_CAD!A335="","",INPUT_CAD!A335)</f>
        <v/>
      </c>
      <c r="B335" s="4" t="str">
        <f>IF(INPUT_CAD!B335="","",INPUT_CAD!B335)</f>
        <v/>
      </c>
      <c r="C335" s="4" t="str">
        <f>IF(INPUT_CAD!C335="","",INPUT_CAD!C335)</f>
        <v/>
      </c>
      <c r="D335" s="4" t="str">
        <f>IF(INPUT_CAD!D335="","",INPUT_CAD!D335)</f>
        <v/>
      </c>
      <c r="E335" s="4" t="str">
        <f>IF(INPUT_CAD!E335="","",INPUT_CAD!E335)</f>
        <v/>
      </c>
      <c r="F335" s="4" t="str">
        <f>IF(INPUT_CAD!F335="","",INPUT_CAD!F335)</f>
        <v/>
      </c>
      <c r="G335" s="4" t="str">
        <f>IF(INPUT_CAD!G335="","",INPUT_CAD!G335)</f>
        <v/>
      </c>
      <c r="I335" s="4" t="str">
        <f t="shared" si="45"/>
        <v/>
      </c>
      <c r="J335" s="4" t="str">
        <f t="shared" si="46"/>
        <v/>
      </c>
      <c r="K335" s="4" t="str">
        <f t="shared" si="47"/>
        <v/>
      </c>
      <c r="L335" s="4" t="str">
        <f>IFERROR(VLOOKUP(ROUND(K335,0),correction_tag!$A$7:$C$253,3),"x")</f>
        <v>x</v>
      </c>
      <c r="N335" s="4">
        <f t="shared" si="48"/>
        <v>1</v>
      </c>
      <c r="O335" s="4">
        <f>IF(N334=0,O334+INPUT_CAD!$B$4,INPUT_CAD!$B$4)</f>
        <v>2</v>
      </c>
      <c r="Q335" s="4" t="str">
        <f t="shared" si="49"/>
        <v/>
      </c>
      <c r="R335" s="4" t="str">
        <f t="shared" si="50"/>
        <v/>
      </c>
      <c r="S335" s="4" t="str">
        <f t="shared" si="51"/>
        <v/>
      </c>
      <c r="T335" s="4" t="str">
        <f>IFERROR(Q335*Setup!$C$26+R335*Setup!$D$26+S335*Setup!$E$26,"")</f>
        <v/>
      </c>
      <c r="U335" s="4" t="str">
        <f t="shared" si="53"/>
        <v/>
      </c>
      <c r="V335" s="4">
        <f t="shared" si="52"/>
        <v>90</v>
      </c>
    </row>
    <row r="336" spans="1:22" hidden="1" x14ac:dyDescent="0.25">
      <c r="A336" s="4" t="str">
        <f>IF(INPUT_CAD!A336="","",INPUT_CAD!A336)</f>
        <v/>
      </c>
      <c r="B336" s="4" t="str">
        <f>IF(INPUT_CAD!B336="","",INPUT_CAD!B336)</f>
        <v/>
      </c>
      <c r="C336" s="4" t="str">
        <f>IF(INPUT_CAD!C336="","",INPUT_CAD!C336)</f>
        <v/>
      </c>
      <c r="D336" s="4" t="str">
        <f>IF(INPUT_CAD!D336="","",INPUT_CAD!D336)</f>
        <v/>
      </c>
      <c r="E336" s="4" t="str">
        <f>IF(INPUT_CAD!E336="","",INPUT_CAD!E336)</f>
        <v/>
      </c>
      <c r="F336" s="4" t="str">
        <f>IF(INPUT_CAD!F336="","",INPUT_CAD!F336)</f>
        <v/>
      </c>
      <c r="G336" s="4" t="str">
        <f>IF(INPUT_CAD!G336="","",INPUT_CAD!G336)</f>
        <v/>
      </c>
      <c r="I336" s="4" t="str">
        <f t="shared" si="45"/>
        <v/>
      </c>
      <c r="J336" s="4" t="str">
        <f t="shared" si="46"/>
        <v/>
      </c>
      <c r="K336" s="4" t="str">
        <f t="shared" si="47"/>
        <v/>
      </c>
      <c r="L336" s="4" t="str">
        <f>IFERROR(VLOOKUP(ROUND(K336,0),correction_tag!$A$7:$C$253,3),"x")</f>
        <v>x</v>
      </c>
      <c r="N336" s="4">
        <f t="shared" si="48"/>
        <v>1</v>
      </c>
      <c r="O336" s="4">
        <f>IF(N335=0,O335+INPUT_CAD!$B$4,INPUT_CAD!$B$4)</f>
        <v>2</v>
      </c>
      <c r="Q336" s="4" t="str">
        <f t="shared" si="49"/>
        <v/>
      </c>
      <c r="R336" s="4" t="str">
        <f t="shared" si="50"/>
        <v/>
      </c>
      <c r="S336" s="4" t="str">
        <f t="shared" si="51"/>
        <v/>
      </c>
      <c r="T336" s="4" t="str">
        <f>IFERROR(Q336*Setup!$C$26+R336*Setup!$D$26+S336*Setup!$E$26,"")</f>
        <v/>
      </c>
      <c r="U336" s="4" t="str">
        <f t="shared" si="53"/>
        <v/>
      </c>
      <c r="V336" s="4">
        <f t="shared" si="52"/>
        <v>90</v>
      </c>
    </row>
    <row r="337" spans="1:22" hidden="1" x14ac:dyDescent="0.25">
      <c r="A337" s="4" t="str">
        <f>IF(INPUT_CAD!A337="","",INPUT_CAD!A337)</f>
        <v/>
      </c>
      <c r="B337" s="4" t="str">
        <f>IF(INPUT_CAD!B337="","",INPUT_CAD!B337)</f>
        <v/>
      </c>
      <c r="C337" s="4" t="str">
        <f>IF(INPUT_CAD!C337="","",INPUT_CAD!C337)</f>
        <v/>
      </c>
      <c r="D337" s="4" t="str">
        <f>IF(INPUT_CAD!D337="","",INPUT_CAD!D337)</f>
        <v/>
      </c>
      <c r="E337" s="4" t="str">
        <f>IF(INPUT_CAD!E337="","",INPUT_CAD!E337)</f>
        <v/>
      </c>
      <c r="F337" s="4" t="str">
        <f>IF(INPUT_CAD!F337="","",INPUT_CAD!F337)</f>
        <v/>
      </c>
      <c r="G337" s="4" t="str">
        <f>IF(INPUT_CAD!G337="","",INPUT_CAD!G337)</f>
        <v/>
      </c>
      <c r="I337" s="4" t="str">
        <f t="shared" si="45"/>
        <v/>
      </c>
      <c r="J337" s="4" t="str">
        <f t="shared" si="46"/>
        <v/>
      </c>
      <c r="K337" s="4" t="str">
        <f t="shared" si="47"/>
        <v/>
      </c>
      <c r="L337" s="4" t="str">
        <f>IFERROR(VLOOKUP(ROUND(K337,0),correction_tag!$A$7:$C$253,3),"x")</f>
        <v>x</v>
      </c>
      <c r="N337" s="4">
        <f t="shared" si="48"/>
        <v>1</v>
      </c>
      <c r="O337" s="4">
        <f>IF(N336=0,O336+INPUT_CAD!$B$4,INPUT_CAD!$B$4)</f>
        <v>2</v>
      </c>
      <c r="Q337" s="4" t="str">
        <f t="shared" si="49"/>
        <v/>
      </c>
      <c r="R337" s="4" t="str">
        <f t="shared" si="50"/>
        <v/>
      </c>
      <c r="S337" s="4" t="str">
        <f t="shared" si="51"/>
        <v/>
      </c>
      <c r="T337" s="4" t="str">
        <f>IFERROR(Q337*Setup!$C$26+R337*Setup!$D$26+S337*Setup!$E$26,"")</f>
        <v/>
      </c>
      <c r="U337" s="4" t="str">
        <f t="shared" si="53"/>
        <v/>
      </c>
      <c r="V337" s="4">
        <f t="shared" si="52"/>
        <v>90</v>
      </c>
    </row>
    <row r="338" spans="1:22" hidden="1" x14ac:dyDescent="0.25">
      <c r="A338" s="4" t="str">
        <f>IF(INPUT_CAD!A338="","",INPUT_CAD!A338)</f>
        <v/>
      </c>
      <c r="B338" s="4" t="str">
        <f>IF(INPUT_CAD!B338="","",INPUT_CAD!B338)</f>
        <v/>
      </c>
      <c r="C338" s="4" t="str">
        <f>IF(INPUT_CAD!C338="","",INPUT_CAD!C338)</f>
        <v/>
      </c>
      <c r="D338" s="4" t="str">
        <f>IF(INPUT_CAD!D338="","",INPUT_CAD!D338)</f>
        <v/>
      </c>
      <c r="E338" s="4" t="str">
        <f>IF(INPUT_CAD!E338="","",INPUT_CAD!E338)</f>
        <v/>
      </c>
      <c r="F338" s="4" t="str">
        <f>IF(INPUT_CAD!F338="","",INPUT_CAD!F338)</f>
        <v/>
      </c>
      <c r="G338" s="4" t="str">
        <f>IF(INPUT_CAD!G338="","",INPUT_CAD!G338)</f>
        <v/>
      </c>
      <c r="I338" s="4" t="str">
        <f t="shared" si="45"/>
        <v/>
      </c>
      <c r="J338" s="4" t="str">
        <f t="shared" si="46"/>
        <v/>
      </c>
      <c r="K338" s="4" t="str">
        <f t="shared" si="47"/>
        <v/>
      </c>
      <c r="L338" s="4" t="str">
        <f>IFERROR(VLOOKUP(ROUND(K338,0),correction_tag!$A$7:$C$253,3),"x")</f>
        <v>x</v>
      </c>
      <c r="N338" s="4">
        <f t="shared" si="48"/>
        <v>1</v>
      </c>
      <c r="O338" s="4">
        <f>IF(N337=0,O337+INPUT_CAD!$B$4,INPUT_CAD!$B$4)</f>
        <v>2</v>
      </c>
      <c r="Q338" s="4" t="str">
        <f t="shared" si="49"/>
        <v/>
      </c>
      <c r="R338" s="4" t="str">
        <f t="shared" si="50"/>
        <v/>
      </c>
      <c r="S338" s="4" t="str">
        <f t="shared" si="51"/>
        <v/>
      </c>
      <c r="T338" s="4" t="str">
        <f>IFERROR(Q338*Setup!$C$26+R338*Setup!$D$26+S338*Setup!$E$26,"")</f>
        <v/>
      </c>
      <c r="U338" s="4" t="str">
        <f t="shared" si="53"/>
        <v/>
      </c>
      <c r="V338" s="4">
        <f t="shared" si="52"/>
        <v>90</v>
      </c>
    </row>
    <row r="339" spans="1:22" hidden="1" x14ac:dyDescent="0.25">
      <c r="A339" s="4" t="str">
        <f>IF(INPUT_CAD!A339="","",INPUT_CAD!A339)</f>
        <v/>
      </c>
      <c r="B339" s="4" t="str">
        <f>IF(INPUT_CAD!B339="","",INPUT_CAD!B339)</f>
        <v/>
      </c>
      <c r="C339" s="4" t="str">
        <f>IF(INPUT_CAD!C339="","",INPUT_CAD!C339)</f>
        <v/>
      </c>
      <c r="D339" s="4" t="str">
        <f>IF(INPUT_CAD!D339="","",INPUT_CAD!D339)</f>
        <v/>
      </c>
      <c r="E339" s="4" t="str">
        <f>IF(INPUT_CAD!E339="","",INPUT_CAD!E339)</f>
        <v/>
      </c>
      <c r="F339" s="4" t="str">
        <f>IF(INPUT_CAD!F339="","",INPUT_CAD!F339)</f>
        <v/>
      </c>
      <c r="G339" s="4" t="str">
        <f>IF(INPUT_CAD!G339="","",INPUT_CAD!G339)</f>
        <v/>
      </c>
      <c r="I339" s="4" t="str">
        <f t="shared" si="45"/>
        <v/>
      </c>
      <c r="J339" s="4" t="str">
        <f t="shared" si="46"/>
        <v/>
      </c>
      <c r="K339" s="4" t="str">
        <f t="shared" si="47"/>
        <v/>
      </c>
      <c r="L339" s="4" t="str">
        <f>IFERROR(VLOOKUP(ROUND(K339,0),correction_tag!$A$7:$C$253,3),"x")</f>
        <v>x</v>
      </c>
      <c r="N339" s="4">
        <f t="shared" si="48"/>
        <v>1</v>
      </c>
      <c r="O339" s="4">
        <f>IF(N338=0,O338+INPUT_CAD!$B$4,INPUT_CAD!$B$4)</f>
        <v>2</v>
      </c>
      <c r="Q339" s="4" t="str">
        <f t="shared" si="49"/>
        <v/>
      </c>
      <c r="R339" s="4" t="str">
        <f t="shared" si="50"/>
        <v/>
      </c>
      <c r="S339" s="4" t="str">
        <f t="shared" si="51"/>
        <v/>
      </c>
      <c r="T339" s="4" t="str">
        <f>IFERROR(Q339*Setup!$C$26+R339*Setup!$D$26+S339*Setup!$E$26,"")</f>
        <v/>
      </c>
      <c r="U339" s="4" t="str">
        <f t="shared" si="53"/>
        <v/>
      </c>
      <c r="V339" s="4">
        <f t="shared" si="52"/>
        <v>90</v>
      </c>
    </row>
    <row r="340" spans="1:22" hidden="1" x14ac:dyDescent="0.25">
      <c r="A340" s="4" t="str">
        <f>IF(INPUT_CAD!A340="","",INPUT_CAD!A340)</f>
        <v/>
      </c>
      <c r="B340" s="4" t="str">
        <f>IF(INPUT_CAD!B340="","",INPUT_CAD!B340)</f>
        <v/>
      </c>
      <c r="C340" s="4" t="str">
        <f>IF(INPUT_CAD!C340="","",INPUT_CAD!C340)</f>
        <v/>
      </c>
      <c r="D340" s="4" t="str">
        <f>IF(INPUT_CAD!D340="","",INPUT_CAD!D340)</f>
        <v/>
      </c>
      <c r="E340" s="4" t="str">
        <f>IF(INPUT_CAD!E340="","",INPUT_CAD!E340)</f>
        <v/>
      </c>
      <c r="F340" s="4" t="str">
        <f>IF(INPUT_CAD!F340="","",INPUT_CAD!F340)</f>
        <v/>
      </c>
      <c r="G340" s="4" t="str">
        <f>IF(INPUT_CAD!G340="","",INPUT_CAD!G340)</f>
        <v/>
      </c>
      <c r="I340" s="4" t="str">
        <f t="shared" si="45"/>
        <v/>
      </c>
      <c r="J340" s="4" t="str">
        <f t="shared" si="46"/>
        <v/>
      </c>
      <c r="K340" s="4" t="str">
        <f t="shared" si="47"/>
        <v/>
      </c>
      <c r="L340" s="4" t="str">
        <f>IFERROR(VLOOKUP(ROUND(K340,0),correction_tag!$A$7:$C$253,3),"x")</f>
        <v>x</v>
      </c>
      <c r="N340" s="4">
        <f t="shared" si="48"/>
        <v>1</v>
      </c>
      <c r="O340" s="4">
        <f>IF(N339=0,O339+INPUT_CAD!$B$4,INPUT_CAD!$B$4)</f>
        <v>2</v>
      </c>
      <c r="Q340" s="4" t="str">
        <f t="shared" si="49"/>
        <v/>
      </c>
      <c r="R340" s="4" t="str">
        <f t="shared" si="50"/>
        <v/>
      </c>
      <c r="S340" s="4" t="str">
        <f t="shared" si="51"/>
        <v/>
      </c>
      <c r="T340" s="4" t="str">
        <f>IFERROR(Q340*Setup!$C$26+R340*Setup!$D$26+S340*Setup!$E$26,"")</f>
        <v/>
      </c>
      <c r="U340" s="4" t="str">
        <f t="shared" si="53"/>
        <v/>
      </c>
      <c r="V340" s="4">
        <f t="shared" si="52"/>
        <v>90</v>
      </c>
    </row>
    <row r="341" spans="1:22" hidden="1" x14ac:dyDescent="0.25">
      <c r="A341" s="4" t="str">
        <f>IF(INPUT_CAD!A341="","",INPUT_CAD!A341)</f>
        <v/>
      </c>
      <c r="B341" s="4" t="str">
        <f>IF(INPUT_CAD!B341="","",INPUT_CAD!B341)</f>
        <v/>
      </c>
      <c r="C341" s="4" t="str">
        <f>IF(INPUT_CAD!C341="","",INPUT_CAD!C341)</f>
        <v/>
      </c>
      <c r="D341" s="4" t="str">
        <f>IF(INPUT_CAD!D341="","",INPUT_CAD!D341)</f>
        <v/>
      </c>
      <c r="E341" s="4" t="str">
        <f>IF(INPUT_CAD!E341="","",INPUT_CAD!E341)</f>
        <v/>
      </c>
      <c r="F341" s="4" t="str">
        <f>IF(INPUT_CAD!F341="","",INPUT_CAD!F341)</f>
        <v/>
      </c>
      <c r="G341" s="4" t="str">
        <f>IF(INPUT_CAD!G341="","",INPUT_CAD!G341)</f>
        <v/>
      </c>
      <c r="I341" s="4" t="str">
        <f t="shared" si="45"/>
        <v/>
      </c>
      <c r="J341" s="4" t="str">
        <f t="shared" si="46"/>
        <v/>
      </c>
      <c r="K341" s="4" t="str">
        <f t="shared" si="47"/>
        <v/>
      </c>
      <c r="L341" s="4" t="str">
        <f>IFERROR(VLOOKUP(ROUND(K341,0),correction_tag!$A$7:$C$253,3),"x")</f>
        <v>x</v>
      </c>
      <c r="N341" s="4">
        <f t="shared" si="48"/>
        <v>1</v>
      </c>
      <c r="O341" s="4">
        <f>IF(N340=0,O340+INPUT_CAD!$B$4,INPUT_CAD!$B$4)</f>
        <v>2</v>
      </c>
      <c r="Q341" s="4" t="str">
        <f t="shared" si="49"/>
        <v/>
      </c>
      <c r="R341" s="4" t="str">
        <f t="shared" si="50"/>
        <v/>
      </c>
      <c r="S341" s="4" t="str">
        <f t="shared" si="51"/>
        <v/>
      </c>
      <c r="T341" s="4" t="str">
        <f>IFERROR(Q341*Setup!$C$26+R341*Setup!$D$26+S341*Setup!$E$26,"")</f>
        <v/>
      </c>
      <c r="U341" s="4" t="str">
        <f t="shared" si="53"/>
        <v/>
      </c>
      <c r="V341" s="4">
        <f t="shared" si="52"/>
        <v>90</v>
      </c>
    </row>
    <row r="342" spans="1:22" hidden="1" x14ac:dyDescent="0.25">
      <c r="A342" s="4" t="str">
        <f>IF(INPUT_CAD!A342="","",INPUT_CAD!A342)</f>
        <v/>
      </c>
      <c r="B342" s="4" t="str">
        <f>IF(INPUT_CAD!B342="","",INPUT_CAD!B342)</f>
        <v/>
      </c>
      <c r="C342" s="4" t="str">
        <f>IF(INPUT_CAD!C342="","",INPUT_CAD!C342)</f>
        <v/>
      </c>
      <c r="D342" s="4" t="str">
        <f>IF(INPUT_CAD!D342="","",INPUT_CAD!D342)</f>
        <v/>
      </c>
      <c r="E342" s="4" t="str">
        <f>IF(INPUT_CAD!E342="","",INPUT_CAD!E342)</f>
        <v/>
      </c>
      <c r="F342" s="4" t="str">
        <f>IF(INPUT_CAD!F342="","",INPUT_CAD!F342)</f>
        <v/>
      </c>
      <c r="G342" s="4" t="str">
        <f>IF(INPUT_CAD!G342="","",INPUT_CAD!G342)</f>
        <v/>
      </c>
      <c r="I342" s="4" t="str">
        <f t="shared" ref="I342:I405" si="54">IFERROR(E341*E342+F341*F342+G341*G342,"")</f>
        <v/>
      </c>
      <c r="J342" s="4" t="str">
        <f t="shared" ref="J342:J405" si="55">IFERROR(SQRT(E342^2+F342^2+G342^2),"")</f>
        <v/>
      </c>
      <c r="K342" s="4" t="str">
        <f t="shared" ref="K342:K405" si="56">IFERROR(DEGREES(ACOS(I342/(J341*J342))),"")</f>
        <v/>
      </c>
      <c r="L342" s="4" t="str">
        <f>IFERROR(VLOOKUP(ROUND(K342,0),correction_tag!$A$7:$C$253,3),"x")</f>
        <v>x</v>
      </c>
      <c r="N342" s="4">
        <f t="shared" si="48"/>
        <v>1</v>
      </c>
      <c r="O342" s="4">
        <f>IF(N341=0,O341+INPUT_CAD!$B$4,INPUT_CAD!$B$4)</f>
        <v>2</v>
      </c>
      <c r="Q342" s="4" t="str">
        <f t="shared" si="49"/>
        <v/>
      </c>
      <c r="R342" s="4" t="str">
        <f t="shared" si="50"/>
        <v/>
      </c>
      <c r="S342" s="4" t="str">
        <f t="shared" si="51"/>
        <v/>
      </c>
      <c r="T342" s="4" t="str">
        <f>IFERROR(Q342*Setup!$C$26+R342*Setup!$D$26+S342*Setup!$E$26,"")</f>
        <v/>
      </c>
      <c r="U342" s="4" t="str">
        <f t="shared" si="53"/>
        <v/>
      </c>
      <c r="V342" s="4">
        <f t="shared" si="52"/>
        <v>90</v>
      </c>
    </row>
    <row r="343" spans="1:22" hidden="1" x14ac:dyDescent="0.25">
      <c r="A343" s="4" t="str">
        <f>IF(INPUT_CAD!A343="","",INPUT_CAD!A343)</f>
        <v/>
      </c>
      <c r="B343" s="4" t="str">
        <f>IF(INPUT_CAD!B343="","",INPUT_CAD!B343)</f>
        <v/>
      </c>
      <c r="C343" s="4" t="str">
        <f>IF(INPUT_CAD!C343="","",INPUT_CAD!C343)</f>
        <v/>
      </c>
      <c r="D343" s="4" t="str">
        <f>IF(INPUT_CAD!D343="","",INPUT_CAD!D343)</f>
        <v/>
      </c>
      <c r="E343" s="4" t="str">
        <f>IF(INPUT_CAD!E343="","",INPUT_CAD!E343)</f>
        <v/>
      </c>
      <c r="F343" s="4" t="str">
        <f>IF(INPUT_CAD!F343="","",INPUT_CAD!F343)</f>
        <v/>
      </c>
      <c r="G343" s="4" t="str">
        <f>IF(INPUT_CAD!G343="","",INPUT_CAD!G343)</f>
        <v/>
      </c>
      <c r="I343" s="4" t="str">
        <f t="shared" si="54"/>
        <v/>
      </c>
      <c r="J343" s="4" t="str">
        <f t="shared" si="55"/>
        <v/>
      </c>
      <c r="K343" s="4" t="str">
        <f t="shared" si="56"/>
        <v/>
      </c>
      <c r="L343" s="4" t="str">
        <f>IFERROR(VLOOKUP(ROUND(K343,0),correction_tag!$A$7:$C$253,3),"x")</f>
        <v>x</v>
      </c>
      <c r="N343" s="4">
        <f t="shared" si="48"/>
        <v>1</v>
      </c>
      <c r="O343" s="4">
        <f>IF(N342=0,O342+INPUT_CAD!$B$4,INPUT_CAD!$B$4)</f>
        <v>2</v>
      </c>
      <c r="Q343" s="4" t="str">
        <f t="shared" si="49"/>
        <v/>
      </c>
      <c r="R343" s="4" t="str">
        <f t="shared" si="50"/>
        <v/>
      </c>
      <c r="S343" s="4" t="str">
        <f t="shared" si="51"/>
        <v/>
      </c>
      <c r="T343" s="4" t="str">
        <f>IFERROR(Q343*Setup!$C$26+R343*Setup!$D$26+S343*Setup!$E$26,"")</f>
        <v/>
      </c>
      <c r="U343" s="4" t="str">
        <f t="shared" si="53"/>
        <v/>
      </c>
      <c r="V343" s="4">
        <f t="shared" si="52"/>
        <v>90</v>
      </c>
    </row>
    <row r="344" spans="1:22" hidden="1" x14ac:dyDescent="0.25">
      <c r="A344" s="4" t="str">
        <f>IF(INPUT_CAD!A344="","",INPUT_CAD!A344)</f>
        <v/>
      </c>
      <c r="B344" s="4" t="str">
        <f>IF(INPUT_CAD!B344="","",INPUT_CAD!B344)</f>
        <v/>
      </c>
      <c r="C344" s="4" t="str">
        <f>IF(INPUT_CAD!C344="","",INPUT_CAD!C344)</f>
        <v/>
      </c>
      <c r="D344" s="4" t="str">
        <f>IF(INPUT_CAD!D344="","",INPUT_CAD!D344)</f>
        <v/>
      </c>
      <c r="E344" s="4" t="str">
        <f>IF(INPUT_CAD!E344="","",INPUT_CAD!E344)</f>
        <v/>
      </c>
      <c r="F344" s="4" t="str">
        <f>IF(INPUT_CAD!F344="","",INPUT_CAD!F344)</f>
        <v/>
      </c>
      <c r="G344" s="4" t="str">
        <f>IF(INPUT_CAD!G344="","",INPUT_CAD!G344)</f>
        <v/>
      </c>
      <c r="I344" s="4" t="str">
        <f t="shared" si="54"/>
        <v/>
      </c>
      <c r="J344" s="4" t="str">
        <f t="shared" si="55"/>
        <v/>
      </c>
      <c r="K344" s="4" t="str">
        <f t="shared" si="56"/>
        <v/>
      </c>
      <c r="L344" s="4" t="str">
        <f>IFERROR(VLOOKUP(ROUND(K344,0),correction_tag!$A$7:$C$253,3),"x")</f>
        <v>x</v>
      </c>
      <c r="N344" s="4">
        <f t="shared" si="48"/>
        <v>1</v>
      </c>
      <c r="O344" s="4">
        <f>IF(N343=0,O343+INPUT_CAD!$B$4,INPUT_CAD!$B$4)</f>
        <v>2</v>
      </c>
      <c r="Q344" s="4" t="str">
        <f t="shared" si="49"/>
        <v/>
      </c>
      <c r="R344" s="4" t="str">
        <f t="shared" si="50"/>
        <v/>
      </c>
      <c r="S344" s="4" t="str">
        <f t="shared" si="51"/>
        <v/>
      </c>
      <c r="T344" s="4" t="str">
        <f>IFERROR(Q344*Setup!$C$26+R344*Setup!$D$26+S344*Setup!$E$26,"")</f>
        <v/>
      </c>
      <c r="U344" s="4" t="str">
        <f t="shared" si="53"/>
        <v/>
      </c>
      <c r="V344" s="4">
        <f t="shared" si="52"/>
        <v>90</v>
      </c>
    </row>
    <row r="345" spans="1:22" hidden="1" x14ac:dyDescent="0.25">
      <c r="A345" s="4" t="str">
        <f>IF(INPUT_CAD!A345="","",INPUT_CAD!A345)</f>
        <v/>
      </c>
      <c r="B345" s="4" t="str">
        <f>IF(INPUT_CAD!B345="","",INPUT_CAD!B345)</f>
        <v/>
      </c>
      <c r="C345" s="4" t="str">
        <f>IF(INPUT_CAD!C345="","",INPUT_CAD!C345)</f>
        <v/>
      </c>
      <c r="D345" s="4" t="str">
        <f>IF(INPUT_CAD!D345="","",INPUT_CAD!D345)</f>
        <v/>
      </c>
      <c r="E345" s="4" t="str">
        <f>IF(INPUT_CAD!E345="","",INPUT_CAD!E345)</f>
        <v/>
      </c>
      <c r="F345" s="4" t="str">
        <f>IF(INPUT_CAD!F345="","",INPUT_CAD!F345)</f>
        <v/>
      </c>
      <c r="G345" s="4" t="str">
        <f>IF(INPUT_CAD!G345="","",INPUT_CAD!G345)</f>
        <v/>
      </c>
      <c r="I345" s="4" t="str">
        <f t="shared" si="54"/>
        <v/>
      </c>
      <c r="J345" s="4" t="str">
        <f t="shared" si="55"/>
        <v/>
      </c>
      <c r="K345" s="4" t="str">
        <f t="shared" si="56"/>
        <v/>
      </c>
      <c r="L345" s="4" t="str">
        <f>IFERROR(VLOOKUP(ROUND(K345,0),correction_tag!$A$7:$C$253,3),"x")</f>
        <v>x</v>
      </c>
      <c r="N345" s="4">
        <f t="shared" si="48"/>
        <v>1</v>
      </c>
      <c r="O345" s="4">
        <f>IF(N344=0,O344+INPUT_CAD!$B$4,INPUT_CAD!$B$4)</f>
        <v>2</v>
      </c>
      <c r="Q345" s="4" t="str">
        <f t="shared" si="49"/>
        <v/>
      </c>
      <c r="R345" s="4" t="str">
        <f t="shared" si="50"/>
        <v/>
      </c>
      <c r="S345" s="4" t="str">
        <f t="shared" si="51"/>
        <v/>
      </c>
      <c r="T345" s="4" t="str">
        <f>IFERROR(Q345*Setup!$C$26+R345*Setup!$D$26+S345*Setup!$E$26,"")</f>
        <v/>
      </c>
      <c r="U345" s="4" t="str">
        <f t="shared" si="53"/>
        <v/>
      </c>
      <c r="V345" s="4">
        <f t="shared" si="52"/>
        <v>90</v>
      </c>
    </row>
    <row r="346" spans="1:22" hidden="1" x14ac:dyDescent="0.25">
      <c r="A346" s="4" t="str">
        <f>IF(INPUT_CAD!A346="","",INPUT_CAD!A346)</f>
        <v/>
      </c>
      <c r="B346" s="4" t="str">
        <f>IF(INPUT_CAD!B346="","",INPUT_CAD!B346)</f>
        <v/>
      </c>
      <c r="C346" s="4" t="str">
        <f>IF(INPUT_CAD!C346="","",INPUT_CAD!C346)</f>
        <v/>
      </c>
      <c r="D346" s="4" t="str">
        <f>IF(INPUT_CAD!D346="","",INPUT_CAD!D346)</f>
        <v/>
      </c>
      <c r="E346" s="4" t="str">
        <f>IF(INPUT_CAD!E346="","",INPUT_CAD!E346)</f>
        <v/>
      </c>
      <c r="F346" s="4" t="str">
        <f>IF(INPUT_CAD!F346="","",INPUT_CAD!F346)</f>
        <v/>
      </c>
      <c r="G346" s="4" t="str">
        <f>IF(INPUT_CAD!G346="","",INPUT_CAD!G346)</f>
        <v/>
      </c>
      <c r="I346" s="4" t="str">
        <f t="shared" si="54"/>
        <v/>
      </c>
      <c r="J346" s="4" t="str">
        <f t="shared" si="55"/>
        <v/>
      </c>
      <c r="K346" s="4" t="str">
        <f t="shared" si="56"/>
        <v/>
      </c>
      <c r="L346" s="4" t="str">
        <f>IFERROR(VLOOKUP(ROUND(K346,0),correction_tag!$A$7:$C$253,3),"x")</f>
        <v>x</v>
      </c>
      <c r="N346" s="4">
        <f t="shared" si="48"/>
        <v>1</v>
      </c>
      <c r="O346" s="4">
        <f>IF(N345=0,O345+INPUT_CAD!$B$4,INPUT_CAD!$B$4)</f>
        <v>2</v>
      </c>
      <c r="Q346" s="4" t="str">
        <f t="shared" si="49"/>
        <v/>
      </c>
      <c r="R346" s="4" t="str">
        <f t="shared" si="50"/>
        <v/>
      </c>
      <c r="S346" s="4" t="str">
        <f t="shared" si="51"/>
        <v/>
      </c>
      <c r="T346" s="4" t="str">
        <f>IFERROR(Q346*Setup!$C$26+R346*Setup!$D$26+S346*Setup!$E$26,"")</f>
        <v/>
      </c>
      <c r="U346" s="4" t="str">
        <f t="shared" si="53"/>
        <v/>
      </c>
      <c r="V346" s="4">
        <f t="shared" si="52"/>
        <v>90</v>
      </c>
    </row>
    <row r="347" spans="1:22" hidden="1" x14ac:dyDescent="0.25">
      <c r="A347" s="4" t="str">
        <f>IF(INPUT_CAD!A347="","",INPUT_CAD!A347)</f>
        <v/>
      </c>
      <c r="B347" s="4" t="str">
        <f>IF(INPUT_CAD!B347="","",INPUT_CAD!B347)</f>
        <v/>
      </c>
      <c r="C347" s="4" t="str">
        <f>IF(INPUT_CAD!C347="","",INPUT_CAD!C347)</f>
        <v/>
      </c>
      <c r="D347" s="4" t="str">
        <f>IF(INPUT_CAD!D347="","",INPUT_CAD!D347)</f>
        <v/>
      </c>
      <c r="E347" s="4" t="str">
        <f>IF(INPUT_CAD!E347="","",INPUT_CAD!E347)</f>
        <v/>
      </c>
      <c r="F347" s="4" t="str">
        <f>IF(INPUT_CAD!F347="","",INPUT_CAD!F347)</f>
        <v/>
      </c>
      <c r="G347" s="4" t="str">
        <f>IF(INPUT_CAD!G347="","",INPUT_CAD!G347)</f>
        <v/>
      </c>
      <c r="I347" s="4" t="str">
        <f t="shared" si="54"/>
        <v/>
      </c>
      <c r="J347" s="4" t="str">
        <f t="shared" si="55"/>
        <v/>
      </c>
      <c r="K347" s="4" t="str">
        <f t="shared" si="56"/>
        <v/>
      </c>
      <c r="L347" s="4" t="str">
        <f>IFERROR(VLOOKUP(ROUND(K347,0),correction_tag!$A$7:$C$253,3),"x")</f>
        <v>x</v>
      </c>
      <c r="N347" s="4">
        <f t="shared" si="48"/>
        <v>1</v>
      </c>
      <c r="O347" s="4">
        <f>IF(N346=0,O346+INPUT_CAD!$B$4,INPUT_CAD!$B$4)</f>
        <v>2</v>
      </c>
      <c r="Q347" s="4" t="str">
        <f t="shared" si="49"/>
        <v/>
      </c>
      <c r="R347" s="4" t="str">
        <f t="shared" si="50"/>
        <v/>
      </c>
      <c r="S347" s="4" t="str">
        <f t="shared" si="51"/>
        <v/>
      </c>
      <c r="T347" s="4" t="str">
        <f>IFERROR(Q347*Setup!$C$26+R347*Setup!$D$26+S347*Setup!$E$26,"")</f>
        <v/>
      </c>
      <c r="U347" s="4" t="str">
        <f t="shared" si="53"/>
        <v/>
      </c>
      <c r="V347" s="4">
        <f t="shared" si="52"/>
        <v>90</v>
      </c>
    </row>
    <row r="348" spans="1:22" hidden="1" x14ac:dyDescent="0.25">
      <c r="A348" s="4" t="str">
        <f>IF(INPUT_CAD!A348="","",INPUT_CAD!A348)</f>
        <v/>
      </c>
      <c r="B348" s="4" t="str">
        <f>IF(INPUT_CAD!B348="","",INPUT_CAD!B348)</f>
        <v/>
      </c>
      <c r="C348" s="4" t="str">
        <f>IF(INPUT_CAD!C348="","",INPUT_CAD!C348)</f>
        <v/>
      </c>
      <c r="D348" s="4" t="str">
        <f>IF(INPUT_CAD!D348="","",INPUT_CAD!D348)</f>
        <v/>
      </c>
      <c r="E348" s="4" t="str">
        <f>IF(INPUT_CAD!E348="","",INPUT_CAD!E348)</f>
        <v/>
      </c>
      <c r="F348" s="4" t="str">
        <f>IF(INPUT_CAD!F348="","",INPUT_CAD!F348)</f>
        <v/>
      </c>
      <c r="G348" s="4" t="str">
        <f>IF(INPUT_CAD!G348="","",INPUT_CAD!G348)</f>
        <v/>
      </c>
      <c r="I348" s="4" t="str">
        <f t="shared" si="54"/>
        <v/>
      </c>
      <c r="J348" s="4" t="str">
        <f t="shared" si="55"/>
        <v/>
      </c>
      <c r="K348" s="4" t="str">
        <f t="shared" si="56"/>
        <v/>
      </c>
      <c r="L348" s="4" t="str">
        <f>IFERROR(VLOOKUP(ROUND(K348,0),correction_tag!$A$7:$C$253,3),"x")</f>
        <v>x</v>
      </c>
      <c r="N348" s="4">
        <f t="shared" si="48"/>
        <v>1</v>
      </c>
      <c r="O348" s="4">
        <f>IF(N347=0,O347+INPUT_CAD!$B$4,INPUT_CAD!$B$4)</f>
        <v>2</v>
      </c>
      <c r="Q348" s="4" t="str">
        <f t="shared" si="49"/>
        <v/>
      </c>
      <c r="R348" s="4" t="str">
        <f t="shared" si="50"/>
        <v/>
      </c>
      <c r="S348" s="4" t="str">
        <f t="shared" si="51"/>
        <v/>
      </c>
      <c r="T348" s="4" t="str">
        <f>IFERROR(Q348*Setup!$C$26+R348*Setup!$D$26+S348*Setup!$E$26,"")</f>
        <v/>
      </c>
      <c r="U348" s="4" t="str">
        <f t="shared" si="53"/>
        <v/>
      </c>
      <c r="V348" s="4">
        <f t="shared" si="52"/>
        <v>90</v>
      </c>
    </row>
    <row r="349" spans="1:22" hidden="1" x14ac:dyDescent="0.25">
      <c r="A349" s="4" t="str">
        <f>IF(INPUT_CAD!A349="","",INPUT_CAD!A349)</f>
        <v/>
      </c>
      <c r="B349" s="4" t="str">
        <f>IF(INPUT_CAD!B349="","",INPUT_CAD!B349)</f>
        <v/>
      </c>
      <c r="C349" s="4" t="str">
        <f>IF(INPUT_CAD!C349="","",INPUT_CAD!C349)</f>
        <v/>
      </c>
      <c r="D349" s="4" t="str">
        <f>IF(INPUT_CAD!D349="","",INPUT_CAD!D349)</f>
        <v/>
      </c>
      <c r="E349" s="4" t="str">
        <f>IF(INPUT_CAD!E349="","",INPUT_CAD!E349)</f>
        <v/>
      </c>
      <c r="F349" s="4" t="str">
        <f>IF(INPUT_CAD!F349="","",INPUT_CAD!F349)</f>
        <v/>
      </c>
      <c r="G349" s="4" t="str">
        <f>IF(INPUT_CAD!G349="","",INPUT_CAD!G349)</f>
        <v/>
      </c>
      <c r="I349" s="4" t="str">
        <f t="shared" si="54"/>
        <v/>
      </c>
      <c r="J349" s="4" t="str">
        <f t="shared" si="55"/>
        <v/>
      </c>
      <c r="K349" s="4" t="str">
        <f t="shared" si="56"/>
        <v/>
      </c>
      <c r="L349" s="4" t="str">
        <f>IFERROR(VLOOKUP(ROUND(K349,0),correction_tag!$A$7:$C$253,3),"x")</f>
        <v>x</v>
      </c>
      <c r="N349" s="4">
        <f t="shared" si="48"/>
        <v>1</v>
      </c>
      <c r="O349" s="4">
        <f>IF(N348=0,O348+INPUT_CAD!$B$4,INPUT_CAD!$B$4)</f>
        <v>2</v>
      </c>
      <c r="Q349" s="4" t="str">
        <f t="shared" si="49"/>
        <v/>
      </c>
      <c r="R349" s="4" t="str">
        <f t="shared" si="50"/>
        <v/>
      </c>
      <c r="S349" s="4" t="str">
        <f t="shared" si="51"/>
        <v/>
      </c>
      <c r="T349" s="4" t="str">
        <f>IFERROR(Q349*Setup!$C$26+R349*Setup!$D$26+S349*Setup!$E$26,"")</f>
        <v/>
      </c>
      <c r="U349" s="4" t="str">
        <f t="shared" si="53"/>
        <v/>
      </c>
      <c r="V349" s="4">
        <f t="shared" si="52"/>
        <v>90</v>
      </c>
    </row>
    <row r="350" spans="1:22" hidden="1" x14ac:dyDescent="0.25">
      <c r="A350" s="4" t="str">
        <f>IF(INPUT_CAD!A350="","",INPUT_CAD!A350)</f>
        <v/>
      </c>
      <c r="B350" s="4" t="str">
        <f>IF(INPUT_CAD!B350="","",INPUT_CAD!B350)</f>
        <v/>
      </c>
      <c r="C350" s="4" t="str">
        <f>IF(INPUT_CAD!C350="","",INPUT_CAD!C350)</f>
        <v/>
      </c>
      <c r="D350" s="4" t="str">
        <f>IF(INPUT_CAD!D350="","",INPUT_CAD!D350)</f>
        <v/>
      </c>
      <c r="E350" s="4" t="str">
        <f>IF(INPUT_CAD!E350="","",INPUT_CAD!E350)</f>
        <v/>
      </c>
      <c r="F350" s="4" t="str">
        <f>IF(INPUT_CAD!F350="","",INPUT_CAD!F350)</f>
        <v/>
      </c>
      <c r="G350" s="4" t="str">
        <f>IF(INPUT_CAD!G350="","",INPUT_CAD!G350)</f>
        <v/>
      </c>
      <c r="I350" s="4" t="str">
        <f t="shared" si="54"/>
        <v/>
      </c>
      <c r="J350" s="4" t="str">
        <f t="shared" si="55"/>
        <v/>
      </c>
      <c r="K350" s="4" t="str">
        <f t="shared" si="56"/>
        <v/>
      </c>
      <c r="L350" s="4" t="str">
        <f>IFERROR(VLOOKUP(ROUND(K350,0),correction_tag!$A$7:$C$253,3),"x")</f>
        <v>x</v>
      </c>
      <c r="N350" s="4">
        <f t="shared" si="48"/>
        <v>1</v>
      </c>
      <c r="O350" s="4">
        <f>IF(N349=0,O349+INPUT_CAD!$B$4,INPUT_CAD!$B$4)</f>
        <v>2</v>
      </c>
      <c r="Q350" s="4" t="str">
        <f t="shared" si="49"/>
        <v/>
      </c>
      <c r="R350" s="4" t="str">
        <f t="shared" si="50"/>
        <v/>
      </c>
      <c r="S350" s="4" t="str">
        <f t="shared" si="51"/>
        <v/>
      </c>
      <c r="T350" s="4" t="str">
        <f>IFERROR(Q350*Setup!$C$26+R350*Setup!$D$26+S350*Setup!$E$26,"")</f>
        <v/>
      </c>
      <c r="U350" s="4" t="str">
        <f t="shared" si="53"/>
        <v/>
      </c>
      <c r="V350" s="4">
        <f t="shared" si="52"/>
        <v>90</v>
      </c>
    </row>
    <row r="351" spans="1:22" hidden="1" x14ac:dyDescent="0.25">
      <c r="A351" s="4" t="str">
        <f>IF(INPUT_CAD!A351="","",INPUT_CAD!A351)</f>
        <v/>
      </c>
      <c r="B351" s="4" t="str">
        <f>IF(INPUT_CAD!B351="","",INPUT_CAD!B351)</f>
        <v/>
      </c>
      <c r="C351" s="4" t="str">
        <f>IF(INPUT_CAD!C351="","",INPUT_CAD!C351)</f>
        <v/>
      </c>
      <c r="D351" s="4" t="str">
        <f>IF(INPUT_CAD!D351="","",INPUT_CAD!D351)</f>
        <v/>
      </c>
      <c r="E351" s="4" t="str">
        <f>IF(INPUT_CAD!E351="","",INPUT_CAD!E351)</f>
        <v/>
      </c>
      <c r="F351" s="4" t="str">
        <f>IF(INPUT_CAD!F351="","",INPUT_CAD!F351)</f>
        <v/>
      </c>
      <c r="G351" s="4" t="str">
        <f>IF(INPUT_CAD!G351="","",INPUT_CAD!G351)</f>
        <v/>
      </c>
      <c r="I351" s="4" t="str">
        <f t="shared" si="54"/>
        <v/>
      </c>
      <c r="J351" s="4" t="str">
        <f t="shared" si="55"/>
        <v/>
      </c>
      <c r="K351" s="4" t="str">
        <f t="shared" si="56"/>
        <v/>
      </c>
      <c r="L351" s="4" t="str">
        <f>IFERROR(VLOOKUP(ROUND(K351,0),correction_tag!$A$7:$C$253,3),"x")</f>
        <v>x</v>
      </c>
      <c r="N351" s="4">
        <f t="shared" si="48"/>
        <v>1</v>
      </c>
      <c r="O351" s="4">
        <f>IF(N350=0,O350+INPUT_CAD!$B$4,INPUT_CAD!$B$4)</f>
        <v>2</v>
      </c>
      <c r="Q351" s="4" t="str">
        <f t="shared" si="49"/>
        <v/>
      </c>
      <c r="R351" s="4" t="str">
        <f t="shared" si="50"/>
        <v/>
      </c>
      <c r="S351" s="4" t="str">
        <f t="shared" si="51"/>
        <v/>
      </c>
      <c r="T351" s="4" t="str">
        <f>IFERROR(Q351*Setup!$C$26+R351*Setup!$D$26+S351*Setup!$E$26,"")</f>
        <v/>
      </c>
      <c r="U351" s="4" t="str">
        <f t="shared" si="53"/>
        <v/>
      </c>
      <c r="V351" s="4">
        <f t="shared" si="52"/>
        <v>90</v>
      </c>
    </row>
    <row r="352" spans="1:22" hidden="1" x14ac:dyDescent="0.25">
      <c r="A352" s="4" t="str">
        <f>IF(INPUT_CAD!A352="","",INPUT_CAD!A352)</f>
        <v/>
      </c>
      <c r="B352" s="4" t="str">
        <f>IF(INPUT_CAD!B352="","",INPUT_CAD!B352)</f>
        <v/>
      </c>
      <c r="C352" s="4" t="str">
        <f>IF(INPUT_CAD!C352="","",INPUT_CAD!C352)</f>
        <v/>
      </c>
      <c r="D352" s="4" t="str">
        <f>IF(INPUT_CAD!D352="","",INPUT_CAD!D352)</f>
        <v/>
      </c>
      <c r="E352" s="4" t="str">
        <f>IF(INPUT_CAD!E352="","",INPUT_CAD!E352)</f>
        <v/>
      </c>
      <c r="F352" s="4" t="str">
        <f>IF(INPUT_CAD!F352="","",INPUT_CAD!F352)</f>
        <v/>
      </c>
      <c r="G352" s="4" t="str">
        <f>IF(INPUT_CAD!G352="","",INPUT_CAD!G352)</f>
        <v/>
      </c>
      <c r="I352" s="4" t="str">
        <f t="shared" si="54"/>
        <v/>
      </c>
      <c r="J352" s="4" t="str">
        <f t="shared" si="55"/>
        <v/>
      </c>
      <c r="K352" s="4" t="str">
        <f t="shared" si="56"/>
        <v/>
      </c>
      <c r="L352" s="4" t="str">
        <f>IFERROR(VLOOKUP(ROUND(K352,0),correction_tag!$A$7:$C$253,3),"x")</f>
        <v>x</v>
      </c>
      <c r="N352" s="4">
        <f t="shared" si="48"/>
        <v>1</v>
      </c>
      <c r="O352" s="4">
        <f>IF(N351=0,O351+INPUT_CAD!$B$4,INPUT_CAD!$B$4)</f>
        <v>2</v>
      </c>
      <c r="Q352" s="4" t="str">
        <f t="shared" si="49"/>
        <v/>
      </c>
      <c r="R352" s="4" t="str">
        <f t="shared" si="50"/>
        <v/>
      </c>
      <c r="S352" s="4" t="str">
        <f t="shared" si="51"/>
        <v/>
      </c>
      <c r="T352" s="4" t="str">
        <f>IFERROR(Q352*Setup!$C$26+R352*Setup!$D$26+S352*Setup!$E$26,"")</f>
        <v/>
      </c>
      <c r="U352" s="4" t="str">
        <f t="shared" si="53"/>
        <v/>
      </c>
      <c r="V352" s="4">
        <f t="shared" si="52"/>
        <v>90</v>
      </c>
    </row>
    <row r="353" spans="1:22" hidden="1" x14ac:dyDescent="0.25">
      <c r="A353" s="4" t="str">
        <f>IF(INPUT_CAD!A353="","",INPUT_CAD!A353)</f>
        <v/>
      </c>
      <c r="B353" s="4" t="str">
        <f>IF(INPUT_CAD!B353="","",INPUT_CAD!B353)</f>
        <v/>
      </c>
      <c r="C353" s="4" t="str">
        <f>IF(INPUT_CAD!C353="","",INPUT_CAD!C353)</f>
        <v/>
      </c>
      <c r="D353" s="4" t="str">
        <f>IF(INPUT_CAD!D353="","",INPUT_CAD!D353)</f>
        <v/>
      </c>
      <c r="E353" s="4" t="str">
        <f>IF(INPUT_CAD!E353="","",INPUT_CAD!E353)</f>
        <v/>
      </c>
      <c r="F353" s="4" t="str">
        <f>IF(INPUT_CAD!F353="","",INPUT_CAD!F353)</f>
        <v/>
      </c>
      <c r="G353" s="4" t="str">
        <f>IF(INPUT_CAD!G353="","",INPUT_CAD!G353)</f>
        <v/>
      </c>
      <c r="I353" s="4" t="str">
        <f t="shared" si="54"/>
        <v/>
      </c>
      <c r="J353" s="4" t="str">
        <f t="shared" si="55"/>
        <v/>
      </c>
      <c r="K353" s="4" t="str">
        <f t="shared" si="56"/>
        <v/>
      </c>
      <c r="L353" s="4" t="str">
        <f>IFERROR(VLOOKUP(ROUND(K353,0),correction_tag!$A$7:$C$253,3),"x")</f>
        <v>x</v>
      </c>
      <c r="N353" s="4">
        <f t="shared" si="48"/>
        <v>1</v>
      </c>
      <c r="O353" s="4">
        <f>IF(N352=0,O352+INPUT_CAD!$B$4,INPUT_CAD!$B$4)</f>
        <v>2</v>
      </c>
      <c r="Q353" s="4" t="str">
        <f t="shared" si="49"/>
        <v/>
      </c>
      <c r="R353" s="4" t="str">
        <f t="shared" si="50"/>
        <v/>
      </c>
      <c r="S353" s="4" t="str">
        <f t="shared" si="51"/>
        <v/>
      </c>
      <c r="T353" s="4" t="str">
        <f>IFERROR(Q353*Setup!$C$26+R353*Setup!$D$26+S353*Setup!$E$26,"")</f>
        <v/>
      </c>
      <c r="U353" s="4" t="str">
        <f t="shared" si="53"/>
        <v/>
      </c>
      <c r="V353" s="4">
        <f t="shared" si="52"/>
        <v>90</v>
      </c>
    </row>
    <row r="354" spans="1:22" hidden="1" x14ac:dyDescent="0.25">
      <c r="A354" s="4" t="str">
        <f>IF(INPUT_CAD!A354="","",INPUT_CAD!A354)</f>
        <v/>
      </c>
      <c r="B354" s="4" t="str">
        <f>IF(INPUT_CAD!B354="","",INPUT_CAD!B354)</f>
        <v/>
      </c>
      <c r="C354" s="4" t="str">
        <f>IF(INPUT_CAD!C354="","",INPUT_CAD!C354)</f>
        <v/>
      </c>
      <c r="D354" s="4" t="str">
        <f>IF(INPUT_CAD!D354="","",INPUT_CAD!D354)</f>
        <v/>
      </c>
      <c r="E354" s="4" t="str">
        <f>IF(INPUT_CAD!E354="","",INPUT_CAD!E354)</f>
        <v/>
      </c>
      <c r="F354" s="4" t="str">
        <f>IF(INPUT_CAD!F354="","",INPUT_CAD!F354)</f>
        <v/>
      </c>
      <c r="G354" s="4" t="str">
        <f>IF(INPUT_CAD!G354="","",INPUT_CAD!G354)</f>
        <v/>
      </c>
      <c r="I354" s="4" t="str">
        <f t="shared" si="54"/>
        <v/>
      </c>
      <c r="J354" s="4" t="str">
        <f t="shared" si="55"/>
        <v/>
      </c>
      <c r="K354" s="4" t="str">
        <f t="shared" si="56"/>
        <v/>
      </c>
      <c r="L354" s="4" t="str">
        <f>IFERROR(VLOOKUP(ROUND(K354,0),correction_tag!$A$7:$C$253,3),"x")</f>
        <v>x</v>
      </c>
      <c r="N354" s="4">
        <f t="shared" si="48"/>
        <v>1</v>
      </c>
      <c r="O354" s="4">
        <f>IF(N353=0,O353+INPUT_CAD!$B$4,INPUT_CAD!$B$4)</f>
        <v>2</v>
      </c>
      <c r="Q354" s="4" t="str">
        <f t="shared" si="49"/>
        <v/>
      </c>
      <c r="R354" s="4" t="str">
        <f t="shared" si="50"/>
        <v/>
      </c>
      <c r="S354" s="4" t="str">
        <f t="shared" si="51"/>
        <v/>
      </c>
      <c r="T354" s="4" t="str">
        <f>IFERROR(Q354*Setup!$C$26+R354*Setup!$D$26+S354*Setup!$E$26,"")</f>
        <v/>
      </c>
      <c r="U354" s="4" t="str">
        <f t="shared" si="53"/>
        <v/>
      </c>
      <c r="V354" s="4">
        <f t="shared" si="52"/>
        <v>90</v>
      </c>
    </row>
    <row r="355" spans="1:22" hidden="1" x14ac:dyDescent="0.25">
      <c r="A355" s="4" t="str">
        <f>IF(INPUT_CAD!A355="","",INPUT_CAD!A355)</f>
        <v/>
      </c>
      <c r="B355" s="4" t="str">
        <f>IF(INPUT_CAD!B355="","",INPUT_CAD!B355)</f>
        <v/>
      </c>
      <c r="C355" s="4" t="str">
        <f>IF(INPUT_CAD!C355="","",INPUT_CAD!C355)</f>
        <v/>
      </c>
      <c r="D355" s="4" t="str">
        <f>IF(INPUT_CAD!D355="","",INPUT_CAD!D355)</f>
        <v/>
      </c>
      <c r="E355" s="4" t="str">
        <f>IF(INPUT_CAD!E355="","",INPUT_CAD!E355)</f>
        <v/>
      </c>
      <c r="F355" s="4" t="str">
        <f>IF(INPUT_CAD!F355="","",INPUT_CAD!F355)</f>
        <v/>
      </c>
      <c r="G355" s="4" t="str">
        <f>IF(INPUT_CAD!G355="","",INPUT_CAD!G355)</f>
        <v/>
      </c>
      <c r="I355" s="4" t="str">
        <f t="shared" si="54"/>
        <v/>
      </c>
      <c r="J355" s="4" t="str">
        <f t="shared" si="55"/>
        <v/>
      </c>
      <c r="K355" s="4" t="str">
        <f t="shared" si="56"/>
        <v/>
      </c>
      <c r="L355" s="4" t="str">
        <f>IFERROR(VLOOKUP(ROUND(K355,0),correction_tag!$A$7:$C$253,3),"x")</f>
        <v>x</v>
      </c>
      <c r="N355" s="4">
        <f t="shared" si="48"/>
        <v>1</v>
      </c>
      <c r="O355" s="4">
        <f>IF(N354=0,O354+INPUT_CAD!$B$4,INPUT_CAD!$B$4)</f>
        <v>2</v>
      </c>
      <c r="Q355" s="4" t="str">
        <f t="shared" si="49"/>
        <v/>
      </c>
      <c r="R355" s="4" t="str">
        <f t="shared" si="50"/>
        <v/>
      </c>
      <c r="S355" s="4" t="str">
        <f t="shared" si="51"/>
        <v/>
      </c>
      <c r="T355" s="4" t="str">
        <f>IFERROR(Q355*Setup!$C$26+R355*Setup!$D$26+S355*Setup!$E$26,"")</f>
        <v/>
      </c>
      <c r="U355" s="4" t="str">
        <f t="shared" si="53"/>
        <v/>
      </c>
      <c r="V355" s="4">
        <f t="shared" si="52"/>
        <v>90</v>
      </c>
    </row>
    <row r="356" spans="1:22" hidden="1" x14ac:dyDescent="0.25">
      <c r="A356" s="4" t="str">
        <f>IF(INPUT_CAD!A356="","",INPUT_CAD!A356)</f>
        <v/>
      </c>
      <c r="B356" s="4" t="str">
        <f>IF(INPUT_CAD!B356="","",INPUT_CAD!B356)</f>
        <v/>
      </c>
      <c r="C356" s="4" t="str">
        <f>IF(INPUT_CAD!C356="","",INPUT_CAD!C356)</f>
        <v/>
      </c>
      <c r="D356" s="4" t="str">
        <f>IF(INPUT_CAD!D356="","",INPUT_CAD!D356)</f>
        <v/>
      </c>
      <c r="E356" s="4" t="str">
        <f>IF(INPUT_CAD!E356="","",INPUT_CAD!E356)</f>
        <v/>
      </c>
      <c r="F356" s="4" t="str">
        <f>IF(INPUT_CAD!F356="","",INPUT_CAD!F356)</f>
        <v/>
      </c>
      <c r="G356" s="4" t="str">
        <f>IF(INPUT_CAD!G356="","",INPUT_CAD!G356)</f>
        <v/>
      </c>
      <c r="I356" s="4" t="str">
        <f t="shared" si="54"/>
        <v/>
      </c>
      <c r="J356" s="4" t="str">
        <f t="shared" si="55"/>
        <v/>
      </c>
      <c r="K356" s="4" t="str">
        <f t="shared" si="56"/>
        <v/>
      </c>
      <c r="L356" s="4" t="str">
        <f>IFERROR(VLOOKUP(ROUND(K356,0),correction_tag!$A$7:$C$253,3),"x")</f>
        <v>x</v>
      </c>
      <c r="N356" s="4">
        <f t="shared" si="48"/>
        <v>1</v>
      </c>
      <c r="O356" s="4">
        <f>IF(N355=0,O355+INPUT_CAD!$B$4,INPUT_CAD!$B$4)</f>
        <v>2</v>
      </c>
      <c r="Q356" s="4" t="str">
        <f t="shared" si="49"/>
        <v/>
      </c>
      <c r="R356" s="4" t="str">
        <f t="shared" si="50"/>
        <v/>
      </c>
      <c r="S356" s="4" t="str">
        <f t="shared" si="51"/>
        <v/>
      </c>
      <c r="T356" s="4" t="str">
        <f>IFERROR(Q356*Setup!$C$26+R356*Setup!$D$26+S356*Setup!$E$26,"")</f>
        <v/>
      </c>
      <c r="U356" s="4" t="str">
        <f t="shared" si="53"/>
        <v/>
      </c>
      <c r="V356" s="4">
        <f t="shared" si="52"/>
        <v>90</v>
      </c>
    </row>
    <row r="357" spans="1:22" hidden="1" x14ac:dyDescent="0.25">
      <c r="A357" s="4" t="str">
        <f>IF(INPUT_CAD!A357="","",INPUT_CAD!A357)</f>
        <v/>
      </c>
      <c r="B357" s="4" t="str">
        <f>IF(INPUT_CAD!B357="","",INPUT_CAD!B357)</f>
        <v/>
      </c>
      <c r="C357" s="4" t="str">
        <f>IF(INPUT_CAD!C357="","",INPUT_CAD!C357)</f>
        <v/>
      </c>
      <c r="D357" s="4" t="str">
        <f>IF(INPUT_CAD!D357="","",INPUT_CAD!D357)</f>
        <v/>
      </c>
      <c r="E357" s="4" t="str">
        <f>IF(INPUT_CAD!E357="","",INPUT_CAD!E357)</f>
        <v/>
      </c>
      <c r="F357" s="4" t="str">
        <f>IF(INPUT_CAD!F357="","",INPUT_CAD!F357)</f>
        <v/>
      </c>
      <c r="G357" s="4" t="str">
        <f>IF(INPUT_CAD!G357="","",INPUT_CAD!G357)</f>
        <v/>
      </c>
      <c r="I357" s="4" t="str">
        <f t="shared" si="54"/>
        <v/>
      </c>
      <c r="J357" s="4" t="str">
        <f t="shared" si="55"/>
        <v/>
      </c>
      <c r="K357" s="4" t="str">
        <f t="shared" si="56"/>
        <v/>
      </c>
      <c r="L357" s="4" t="str">
        <f>IFERROR(VLOOKUP(ROUND(K357,0),correction_tag!$A$7:$C$253,3),"x")</f>
        <v>x</v>
      </c>
      <c r="N357" s="4">
        <f t="shared" si="48"/>
        <v>1</v>
      </c>
      <c r="O357" s="4">
        <f>IF(N356=0,O356+INPUT_CAD!$B$4,INPUT_CAD!$B$4)</f>
        <v>2</v>
      </c>
      <c r="Q357" s="4" t="str">
        <f t="shared" si="49"/>
        <v/>
      </c>
      <c r="R357" s="4" t="str">
        <f t="shared" si="50"/>
        <v/>
      </c>
      <c r="S357" s="4" t="str">
        <f t="shared" si="51"/>
        <v/>
      </c>
      <c r="T357" s="4" t="str">
        <f>IFERROR(Q357*Setup!$C$26+R357*Setup!$D$26+S357*Setup!$E$26,"")</f>
        <v/>
      </c>
      <c r="U357" s="4" t="str">
        <f t="shared" si="53"/>
        <v/>
      </c>
      <c r="V357" s="4">
        <f t="shared" si="52"/>
        <v>90</v>
      </c>
    </row>
    <row r="358" spans="1:22" hidden="1" x14ac:dyDescent="0.25">
      <c r="A358" s="4" t="str">
        <f>IF(INPUT_CAD!A358="","",INPUT_CAD!A358)</f>
        <v/>
      </c>
      <c r="B358" s="4" t="str">
        <f>IF(INPUT_CAD!B358="","",INPUT_CAD!B358)</f>
        <v/>
      </c>
      <c r="C358" s="4" t="str">
        <f>IF(INPUT_CAD!C358="","",INPUT_CAD!C358)</f>
        <v/>
      </c>
      <c r="D358" s="4" t="str">
        <f>IF(INPUT_CAD!D358="","",INPUT_CAD!D358)</f>
        <v/>
      </c>
      <c r="E358" s="4" t="str">
        <f>IF(INPUT_CAD!E358="","",INPUT_CAD!E358)</f>
        <v/>
      </c>
      <c r="F358" s="4" t="str">
        <f>IF(INPUT_CAD!F358="","",INPUT_CAD!F358)</f>
        <v/>
      </c>
      <c r="G358" s="4" t="str">
        <f>IF(INPUT_CAD!G358="","",INPUT_CAD!G358)</f>
        <v/>
      </c>
      <c r="I358" s="4" t="str">
        <f t="shared" si="54"/>
        <v/>
      </c>
      <c r="J358" s="4" t="str">
        <f t="shared" si="55"/>
        <v/>
      </c>
      <c r="K358" s="4" t="str">
        <f t="shared" si="56"/>
        <v/>
      </c>
      <c r="L358" s="4" t="str">
        <f>IFERROR(VLOOKUP(ROUND(K358,0),correction_tag!$A$7:$C$253,3),"x")</f>
        <v>x</v>
      </c>
      <c r="N358" s="4">
        <f t="shared" si="48"/>
        <v>1</v>
      </c>
      <c r="O358" s="4">
        <f>IF(N357=0,O357+INPUT_CAD!$B$4,INPUT_CAD!$B$4)</f>
        <v>2</v>
      </c>
      <c r="Q358" s="4" t="str">
        <f t="shared" si="49"/>
        <v/>
      </c>
      <c r="R358" s="4" t="str">
        <f t="shared" si="50"/>
        <v/>
      </c>
      <c r="S358" s="4" t="str">
        <f t="shared" si="51"/>
        <v/>
      </c>
      <c r="T358" s="4" t="str">
        <f>IFERROR(Q358*Setup!$C$26+R358*Setup!$D$26+S358*Setup!$E$26,"")</f>
        <v/>
      </c>
      <c r="U358" s="4" t="str">
        <f t="shared" si="53"/>
        <v/>
      </c>
      <c r="V358" s="4">
        <f t="shared" si="52"/>
        <v>90</v>
      </c>
    </row>
    <row r="359" spans="1:22" hidden="1" x14ac:dyDescent="0.25">
      <c r="A359" s="4" t="str">
        <f>IF(INPUT_CAD!A359="","",INPUT_CAD!A359)</f>
        <v/>
      </c>
      <c r="B359" s="4" t="str">
        <f>IF(INPUT_CAD!B359="","",INPUT_CAD!B359)</f>
        <v/>
      </c>
      <c r="C359" s="4" t="str">
        <f>IF(INPUT_CAD!C359="","",INPUT_CAD!C359)</f>
        <v/>
      </c>
      <c r="D359" s="4" t="str">
        <f>IF(INPUT_CAD!D359="","",INPUT_CAD!D359)</f>
        <v/>
      </c>
      <c r="E359" s="4" t="str">
        <f>IF(INPUT_CAD!E359="","",INPUT_CAD!E359)</f>
        <v/>
      </c>
      <c r="F359" s="4" t="str">
        <f>IF(INPUT_CAD!F359="","",INPUT_CAD!F359)</f>
        <v/>
      </c>
      <c r="G359" s="4" t="str">
        <f>IF(INPUT_CAD!G359="","",INPUT_CAD!G359)</f>
        <v/>
      </c>
      <c r="I359" s="4" t="str">
        <f t="shared" si="54"/>
        <v/>
      </c>
      <c r="J359" s="4" t="str">
        <f t="shared" si="55"/>
        <v/>
      </c>
      <c r="K359" s="4" t="str">
        <f t="shared" si="56"/>
        <v/>
      </c>
      <c r="L359" s="4" t="str">
        <f>IFERROR(VLOOKUP(ROUND(K359,0),correction_tag!$A$7:$C$253,3),"x")</f>
        <v>x</v>
      </c>
      <c r="N359" s="4">
        <f t="shared" si="48"/>
        <v>1</v>
      </c>
      <c r="O359" s="4">
        <f>IF(N358=0,O358+INPUT_CAD!$B$4,INPUT_CAD!$B$4)</f>
        <v>2</v>
      </c>
      <c r="Q359" s="4" t="str">
        <f t="shared" si="49"/>
        <v/>
      </c>
      <c r="R359" s="4" t="str">
        <f t="shared" si="50"/>
        <v/>
      </c>
      <c r="S359" s="4" t="str">
        <f t="shared" si="51"/>
        <v/>
      </c>
      <c r="T359" s="4" t="str">
        <f>IFERROR(Q359*Setup!$C$26+R359*Setup!$D$26+S359*Setup!$E$26,"")</f>
        <v/>
      </c>
      <c r="U359" s="4" t="str">
        <f t="shared" si="53"/>
        <v/>
      </c>
      <c r="V359" s="4">
        <f t="shared" si="52"/>
        <v>90</v>
      </c>
    </row>
    <row r="360" spans="1:22" hidden="1" x14ac:dyDescent="0.25">
      <c r="A360" s="4" t="str">
        <f>IF(INPUT_CAD!A360="","",INPUT_CAD!A360)</f>
        <v/>
      </c>
      <c r="B360" s="4" t="str">
        <f>IF(INPUT_CAD!B360="","",INPUT_CAD!B360)</f>
        <v/>
      </c>
      <c r="C360" s="4" t="str">
        <f>IF(INPUT_CAD!C360="","",INPUT_CAD!C360)</f>
        <v/>
      </c>
      <c r="D360" s="4" t="str">
        <f>IF(INPUT_CAD!D360="","",INPUT_CAD!D360)</f>
        <v/>
      </c>
      <c r="E360" s="4" t="str">
        <f>IF(INPUT_CAD!E360="","",INPUT_CAD!E360)</f>
        <v/>
      </c>
      <c r="F360" s="4" t="str">
        <f>IF(INPUT_CAD!F360="","",INPUT_CAD!F360)</f>
        <v/>
      </c>
      <c r="G360" s="4" t="str">
        <f>IF(INPUT_CAD!G360="","",INPUT_CAD!G360)</f>
        <v/>
      </c>
      <c r="I360" s="4" t="str">
        <f t="shared" si="54"/>
        <v/>
      </c>
      <c r="J360" s="4" t="str">
        <f t="shared" si="55"/>
        <v/>
      </c>
      <c r="K360" s="4" t="str">
        <f t="shared" si="56"/>
        <v/>
      </c>
      <c r="L360" s="4" t="str">
        <f>IFERROR(VLOOKUP(ROUND(K360,0),correction_tag!$A$7:$C$253,3),"x")</f>
        <v>x</v>
      </c>
      <c r="N360" s="4">
        <f t="shared" si="48"/>
        <v>1</v>
      </c>
      <c r="O360" s="4">
        <f>IF(N359=0,O359+INPUT_CAD!$B$4,INPUT_CAD!$B$4)</f>
        <v>2</v>
      </c>
      <c r="Q360" s="4" t="str">
        <f t="shared" si="49"/>
        <v/>
      </c>
      <c r="R360" s="4" t="str">
        <f t="shared" si="50"/>
        <v/>
      </c>
      <c r="S360" s="4" t="str">
        <f t="shared" si="51"/>
        <v/>
      </c>
      <c r="T360" s="4" t="str">
        <f>IFERROR(Q360*Setup!$C$26+R360*Setup!$D$26+S360*Setup!$E$26,"")</f>
        <v/>
      </c>
      <c r="U360" s="4" t="str">
        <f t="shared" si="53"/>
        <v/>
      </c>
      <c r="V360" s="4">
        <f t="shared" si="52"/>
        <v>90</v>
      </c>
    </row>
    <row r="361" spans="1:22" hidden="1" x14ac:dyDescent="0.25">
      <c r="A361" s="4" t="str">
        <f>IF(INPUT_CAD!A361="","",INPUT_CAD!A361)</f>
        <v/>
      </c>
      <c r="B361" s="4" t="str">
        <f>IF(INPUT_CAD!B361="","",INPUT_CAD!B361)</f>
        <v/>
      </c>
      <c r="C361" s="4" t="str">
        <f>IF(INPUT_CAD!C361="","",INPUT_CAD!C361)</f>
        <v/>
      </c>
      <c r="D361" s="4" t="str">
        <f>IF(INPUT_CAD!D361="","",INPUT_CAD!D361)</f>
        <v/>
      </c>
      <c r="E361" s="4" t="str">
        <f>IF(INPUT_CAD!E361="","",INPUT_CAD!E361)</f>
        <v/>
      </c>
      <c r="F361" s="4" t="str">
        <f>IF(INPUT_CAD!F361="","",INPUT_CAD!F361)</f>
        <v/>
      </c>
      <c r="G361" s="4" t="str">
        <f>IF(INPUT_CAD!G361="","",INPUT_CAD!G361)</f>
        <v/>
      </c>
      <c r="I361" s="4" t="str">
        <f t="shared" si="54"/>
        <v/>
      </c>
      <c r="J361" s="4" t="str">
        <f t="shared" si="55"/>
        <v/>
      </c>
      <c r="K361" s="4" t="str">
        <f t="shared" si="56"/>
        <v/>
      </c>
      <c r="L361" s="4" t="str">
        <f>IFERROR(VLOOKUP(ROUND(K361,0),correction_tag!$A$7:$C$253,3),"x")</f>
        <v>x</v>
      </c>
      <c r="N361" s="4">
        <f t="shared" si="48"/>
        <v>1</v>
      </c>
      <c r="O361" s="4">
        <f>IF(N360=0,O360+INPUT_CAD!$B$4,INPUT_CAD!$B$4)</f>
        <v>2</v>
      </c>
      <c r="Q361" s="4" t="str">
        <f t="shared" si="49"/>
        <v/>
      </c>
      <c r="R361" s="4" t="str">
        <f t="shared" si="50"/>
        <v/>
      </c>
      <c r="S361" s="4" t="str">
        <f t="shared" si="51"/>
        <v/>
      </c>
      <c r="T361" s="4" t="str">
        <f>IFERROR(Q361*Setup!$C$26+R361*Setup!$D$26+S361*Setup!$E$26,"")</f>
        <v/>
      </c>
      <c r="U361" s="4" t="str">
        <f t="shared" si="53"/>
        <v/>
      </c>
      <c r="V361" s="4">
        <f t="shared" si="52"/>
        <v>90</v>
      </c>
    </row>
    <row r="362" spans="1:22" hidden="1" x14ac:dyDescent="0.25">
      <c r="A362" s="4" t="str">
        <f>IF(INPUT_CAD!A362="","",INPUT_CAD!A362)</f>
        <v/>
      </c>
      <c r="B362" s="4" t="str">
        <f>IF(INPUT_CAD!B362="","",INPUT_CAD!B362)</f>
        <v/>
      </c>
      <c r="C362" s="4" t="str">
        <f>IF(INPUT_CAD!C362="","",INPUT_CAD!C362)</f>
        <v/>
      </c>
      <c r="D362" s="4" t="str">
        <f>IF(INPUT_CAD!D362="","",INPUT_CAD!D362)</f>
        <v/>
      </c>
      <c r="E362" s="4" t="str">
        <f>IF(INPUT_CAD!E362="","",INPUT_CAD!E362)</f>
        <v/>
      </c>
      <c r="F362" s="4" t="str">
        <f>IF(INPUT_CAD!F362="","",INPUT_CAD!F362)</f>
        <v/>
      </c>
      <c r="G362" s="4" t="str">
        <f>IF(INPUT_CAD!G362="","",INPUT_CAD!G362)</f>
        <v/>
      </c>
      <c r="I362" s="4" t="str">
        <f t="shared" si="54"/>
        <v/>
      </c>
      <c r="J362" s="4" t="str">
        <f t="shared" si="55"/>
        <v/>
      </c>
      <c r="K362" s="4" t="str">
        <f t="shared" si="56"/>
        <v/>
      </c>
      <c r="L362" s="4" t="str">
        <f>IFERROR(VLOOKUP(ROUND(K362,0),correction_tag!$A$7:$C$253,3),"x")</f>
        <v>x</v>
      </c>
      <c r="N362" s="4">
        <f t="shared" si="48"/>
        <v>1</v>
      </c>
      <c r="O362" s="4">
        <f>IF(N361=0,O361+INPUT_CAD!$B$4,INPUT_CAD!$B$4)</f>
        <v>2</v>
      </c>
      <c r="Q362" s="4" t="str">
        <f t="shared" si="49"/>
        <v/>
      </c>
      <c r="R362" s="4" t="str">
        <f t="shared" si="50"/>
        <v/>
      </c>
      <c r="S362" s="4" t="str">
        <f t="shared" si="51"/>
        <v/>
      </c>
      <c r="T362" s="4" t="str">
        <f>IFERROR(Q362*Setup!$C$26+R362*Setup!$D$26+S362*Setup!$E$26,"")</f>
        <v/>
      </c>
      <c r="U362" s="4" t="str">
        <f t="shared" si="53"/>
        <v/>
      </c>
      <c r="V362" s="4">
        <f t="shared" si="52"/>
        <v>90</v>
      </c>
    </row>
    <row r="363" spans="1:22" hidden="1" x14ac:dyDescent="0.25">
      <c r="A363" s="4" t="str">
        <f>IF(INPUT_CAD!A363="","",INPUT_CAD!A363)</f>
        <v/>
      </c>
      <c r="B363" s="4" t="str">
        <f>IF(INPUT_CAD!B363="","",INPUT_CAD!B363)</f>
        <v/>
      </c>
      <c r="C363" s="4" t="str">
        <f>IF(INPUT_CAD!C363="","",INPUT_CAD!C363)</f>
        <v/>
      </c>
      <c r="D363" s="4" t="str">
        <f>IF(INPUT_CAD!D363="","",INPUT_CAD!D363)</f>
        <v/>
      </c>
      <c r="E363" s="4" t="str">
        <f>IF(INPUT_CAD!E363="","",INPUT_CAD!E363)</f>
        <v/>
      </c>
      <c r="F363" s="4" t="str">
        <f>IF(INPUT_CAD!F363="","",INPUT_CAD!F363)</f>
        <v/>
      </c>
      <c r="G363" s="4" t="str">
        <f>IF(INPUT_CAD!G363="","",INPUT_CAD!G363)</f>
        <v/>
      </c>
      <c r="I363" s="4" t="str">
        <f t="shared" si="54"/>
        <v/>
      </c>
      <c r="J363" s="4" t="str">
        <f t="shared" si="55"/>
        <v/>
      </c>
      <c r="K363" s="4" t="str">
        <f t="shared" si="56"/>
        <v/>
      </c>
      <c r="L363" s="4" t="str">
        <f>IFERROR(VLOOKUP(ROUND(K363,0),correction_tag!$A$7:$C$253,3),"x")</f>
        <v>x</v>
      </c>
      <c r="N363" s="4">
        <f t="shared" si="48"/>
        <v>1</v>
      </c>
      <c r="O363" s="4">
        <f>IF(N362=0,O362+INPUT_CAD!$B$4,INPUT_CAD!$B$4)</f>
        <v>2</v>
      </c>
      <c r="Q363" s="4" t="str">
        <f t="shared" si="49"/>
        <v/>
      </c>
      <c r="R363" s="4" t="str">
        <f t="shared" si="50"/>
        <v/>
      </c>
      <c r="S363" s="4" t="str">
        <f t="shared" si="51"/>
        <v/>
      </c>
      <c r="T363" s="4" t="str">
        <f>IFERROR(Q363*Setup!$C$26+R363*Setup!$D$26+S363*Setup!$E$26,"")</f>
        <v/>
      </c>
      <c r="U363" s="4" t="str">
        <f t="shared" si="53"/>
        <v/>
      </c>
      <c r="V363" s="4">
        <f t="shared" si="52"/>
        <v>90</v>
      </c>
    </row>
    <row r="364" spans="1:22" hidden="1" x14ac:dyDescent="0.25">
      <c r="A364" s="4" t="str">
        <f>IF(INPUT_CAD!A364="","",INPUT_CAD!A364)</f>
        <v/>
      </c>
      <c r="B364" s="4" t="str">
        <f>IF(INPUT_CAD!B364="","",INPUT_CAD!B364)</f>
        <v/>
      </c>
      <c r="C364" s="4" t="str">
        <f>IF(INPUT_CAD!C364="","",INPUT_CAD!C364)</f>
        <v/>
      </c>
      <c r="D364" s="4" t="str">
        <f>IF(INPUT_CAD!D364="","",INPUT_CAD!D364)</f>
        <v/>
      </c>
      <c r="E364" s="4" t="str">
        <f>IF(INPUT_CAD!E364="","",INPUT_CAD!E364)</f>
        <v/>
      </c>
      <c r="F364" s="4" t="str">
        <f>IF(INPUT_CAD!F364="","",INPUT_CAD!F364)</f>
        <v/>
      </c>
      <c r="G364" s="4" t="str">
        <f>IF(INPUT_CAD!G364="","",INPUT_CAD!G364)</f>
        <v/>
      </c>
      <c r="I364" s="4" t="str">
        <f t="shared" si="54"/>
        <v/>
      </c>
      <c r="J364" s="4" t="str">
        <f t="shared" si="55"/>
        <v/>
      </c>
      <c r="K364" s="4" t="str">
        <f t="shared" si="56"/>
        <v/>
      </c>
      <c r="L364" s="4" t="str">
        <f>IFERROR(VLOOKUP(ROUND(K364,0),correction_tag!$A$7:$C$253,3),"x")</f>
        <v>x</v>
      </c>
      <c r="N364" s="4">
        <f t="shared" si="48"/>
        <v>1</v>
      </c>
      <c r="O364" s="4">
        <f>IF(N363=0,O363+INPUT_CAD!$B$4,INPUT_CAD!$B$4)</f>
        <v>2</v>
      </c>
      <c r="Q364" s="4" t="str">
        <f t="shared" si="49"/>
        <v/>
      </c>
      <c r="R364" s="4" t="str">
        <f t="shared" si="50"/>
        <v/>
      </c>
      <c r="S364" s="4" t="str">
        <f t="shared" si="51"/>
        <v/>
      </c>
      <c r="T364" s="4" t="str">
        <f>IFERROR(Q364*Setup!$C$26+R364*Setup!$D$26+S364*Setup!$E$26,"")</f>
        <v/>
      </c>
      <c r="U364" s="4" t="str">
        <f t="shared" si="53"/>
        <v/>
      </c>
      <c r="V364" s="4">
        <f t="shared" si="52"/>
        <v>90</v>
      </c>
    </row>
    <row r="365" spans="1:22" hidden="1" x14ac:dyDescent="0.25">
      <c r="A365" s="4" t="str">
        <f>IF(INPUT_CAD!A365="","",INPUT_CAD!A365)</f>
        <v/>
      </c>
      <c r="B365" s="4" t="str">
        <f>IF(INPUT_CAD!B365="","",INPUT_CAD!B365)</f>
        <v/>
      </c>
      <c r="C365" s="4" t="str">
        <f>IF(INPUT_CAD!C365="","",INPUT_CAD!C365)</f>
        <v/>
      </c>
      <c r="D365" s="4" t="str">
        <f>IF(INPUT_CAD!D365="","",INPUT_CAD!D365)</f>
        <v/>
      </c>
      <c r="E365" s="4" t="str">
        <f>IF(INPUT_CAD!E365="","",INPUT_CAD!E365)</f>
        <v/>
      </c>
      <c r="F365" s="4" t="str">
        <f>IF(INPUT_CAD!F365="","",INPUT_CAD!F365)</f>
        <v/>
      </c>
      <c r="G365" s="4" t="str">
        <f>IF(INPUT_CAD!G365="","",INPUT_CAD!G365)</f>
        <v/>
      </c>
      <c r="I365" s="4" t="str">
        <f t="shared" si="54"/>
        <v/>
      </c>
      <c r="J365" s="4" t="str">
        <f t="shared" si="55"/>
        <v/>
      </c>
      <c r="K365" s="4" t="str">
        <f t="shared" si="56"/>
        <v/>
      </c>
      <c r="L365" s="4" t="str">
        <f>IFERROR(VLOOKUP(ROUND(K365,0),correction_tag!$A$7:$C$253,3),"x")</f>
        <v>x</v>
      </c>
      <c r="N365" s="4">
        <f t="shared" si="48"/>
        <v>1</v>
      </c>
      <c r="O365" s="4">
        <f>IF(N364=0,O364+INPUT_CAD!$B$4,INPUT_CAD!$B$4)</f>
        <v>2</v>
      </c>
      <c r="Q365" s="4" t="str">
        <f t="shared" si="49"/>
        <v/>
      </c>
      <c r="R365" s="4" t="str">
        <f t="shared" si="50"/>
        <v/>
      </c>
      <c r="S365" s="4" t="str">
        <f t="shared" si="51"/>
        <v/>
      </c>
      <c r="T365" s="4" t="str">
        <f>IFERROR(Q365*Setup!$C$26+R365*Setup!$D$26+S365*Setup!$E$26,"")</f>
        <v/>
      </c>
      <c r="U365" s="4" t="str">
        <f t="shared" si="53"/>
        <v/>
      </c>
      <c r="V365" s="4">
        <f t="shared" si="52"/>
        <v>90</v>
      </c>
    </row>
    <row r="366" spans="1:22" hidden="1" x14ac:dyDescent="0.25">
      <c r="A366" s="4" t="str">
        <f>IF(INPUT_CAD!A366="","",INPUT_CAD!A366)</f>
        <v/>
      </c>
      <c r="B366" s="4" t="str">
        <f>IF(INPUT_CAD!B366="","",INPUT_CAD!B366)</f>
        <v/>
      </c>
      <c r="C366" s="4" t="str">
        <f>IF(INPUT_CAD!C366="","",INPUT_CAD!C366)</f>
        <v/>
      </c>
      <c r="D366" s="4" t="str">
        <f>IF(INPUT_CAD!D366="","",INPUT_CAD!D366)</f>
        <v/>
      </c>
      <c r="E366" s="4" t="str">
        <f>IF(INPUT_CAD!E366="","",INPUT_CAD!E366)</f>
        <v/>
      </c>
      <c r="F366" s="4" t="str">
        <f>IF(INPUT_CAD!F366="","",INPUT_CAD!F366)</f>
        <v/>
      </c>
      <c r="G366" s="4" t="str">
        <f>IF(INPUT_CAD!G366="","",INPUT_CAD!G366)</f>
        <v/>
      </c>
      <c r="I366" s="4" t="str">
        <f t="shared" si="54"/>
        <v/>
      </c>
      <c r="J366" s="4" t="str">
        <f t="shared" si="55"/>
        <v/>
      </c>
      <c r="K366" s="4" t="str">
        <f t="shared" si="56"/>
        <v/>
      </c>
      <c r="L366" s="4" t="str">
        <f>IFERROR(VLOOKUP(ROUND(K366,0),correction_tag!$A$7:$C$253,3),"x")</f>
        <v>x</v>
      </c>
      <c r="N366" s="4">
        <f t="shared" si="48"/>
        <v>1</v>
      </c>
      <c r="O366" s="4">
        <f>IF(N365=0,O365+INPUT_CAD!$B$4,INPUT_CAD!$B$4)</f>
        <v>2</v>
      </c>
      <c r="Q366" s="4" t="str">
        <f t="shared" si="49"/>
        <v/>
      </c>
      <c r="R366" s="4" t="str">
        <f t="shared" si="50"/>
        <v/>
      </c>
      <c r="S366" s="4" t="str">
        <f t="shared" si="51"/>
        <v/>
      </c>
      <c r="T366" s="4" t="str">
        <f>IFERROR(Q366*Setup!$C$26+R366*Setup!$D$26+S366*Setup!$E$26,"")</f>
        <v/>
      </c>
      <c r="U366" s="4" t="str">
        <f t="shared" si="53"/>
        <v/>
      </c>
      <c r="V366" s="4">
        <f t="shared" si="52"/>
        <v>90</v>
      </c>
    </row>
    <row r="367" spans="1:22" hidden="1" x14ac:dyDescent="0.25">
      <c r="A367" s="4" t="str">
        <f>IF(INPUT_CAD!A367="","",INPUT_CAD!A367)</f>
        <v/>
      </c>
      <c r="B367" s="4" t="str">
        <f>IF(INPUT_CAD!B367="","",INPUT_CAD!B367)</f>
        <v/>
      </c>
      <c r="C367" s="4" t="str">
        <f>IF(INPUT_CAD!C367="","",INPUT_CAD!C367)</f>
        <v/>
      </c>
      <c r="D367" s="4" t="str">
        <f>IF(INPUT_CAD!D367="","",INPUT_CAD!D367)</f>
        <v/>
      </c>
      <c r="E367" s="4" t="str">
        <f>IF(INPUT_CAD!E367="","",INPUT_CAD!E367)</f>
        <v/>
      </c>
      <c r="F367" s="4" t="str">
        <f>IF(INPUT_CAD!F367="","",INPUT_CAD!F367)</f>
        <v/>
      </c>
      <c r="G367" s="4" t="str">
        <f>IF(INPUT_CAD!G367="","",INPUT_CAD!G367)</f>
        <v/>
      </c>
      <c r="I367" s="4" t="str">
        <f t="shared" si="54"/>
        <v/>
      </c>
      <c r="J367" s="4" t="str">
        <f t="shared" si="55"/>
        <v/>
      </c>
      <c r="K367" s="4" t="str">
        <f t="shared" si="56"/>
        <v/>
      </c>
      <c r="L367" s="4" t="str">
        <f>IFERROR(VLOOKUP(ROUND(K367,0),correction_tag!$A$7:$C$253,3),"x")</f>
        <v>x</v>
      </c>
      <c r="N367" s="4">
        <f t="shared" si="48"/>
        <v>1</v>
      </c>
      <c r="O367" s="4">
        <f>IF(N366=0,O366+INPUT_CAD!$B$4,INPUT_CAD!$B$4)</f>
        <v>2</v>
      </c>
      <c r="Q367" s="4" t="str">
        <f t="shared" si="49"/>
        <v/>
      </c>
      <c r="R367" s="4" t="str">
        <f t="shared" si="50"/>
        <v/>
      </c>
      <c r="S367" s="4" t="str">
        <f t="shared" si="51"/>
        <v/>
      </c>
      <c r="T367" s="4" t="str">
        <f>IFERROR(Q367*Setup!$C$26+R367*Setup!$D$26+S367*Setup!$E$26,"")</f>
        <v/>
      </c>
      <c r="U367" s="4" t="str">
        <f t="shared" si="53"/>
        <v/>
      </c>
      <c r="V367" s="4">
        <f t="shared" si="52"/>
        <v>90</v>
      </c>
    </row>
    <row r="368" spans="1:22" hidden="1" x14ac:dyDescent="0.25">
      <c r="A368" s="4" t="str">
        <f>IF(INPUT_CAD!A368="","",INPUT_CAD!A368)</f>
        <v/>
      </c>
      <c r="B368" s="4" t="str">
        <f>IF(INPUT_CAD!B368="","",INPUT_CAD!B368)</f>
        <v/>
      </c>
      <c r="C368" s="4" t="str">
        <f>IF(INPUT_CAD!C368="","",INPUT_CAD!C368)</f>
        <v/>
      </c>
      <c r="D368" s="4" t="str">
        <f>IF(INPUT_CAD!D368="","",INPUT_CAD!D368)</f>
        <v/>
      </c>
      <c r="E368" s="4" t="str">
        <f>IF(INPUT_CAD!E368="","",INPUT_CAD!E368)</f>
        <v/>
      </c>
      <c r="F368" s="4" t="str">
        <f>IF(INPUT_CAD!F368="","",INPUT_CAD!F368)</f>
        <v/>
      </c>
      <c r="G368" s="4" t="str">
        <f>IF(INPUT_CAD!G368="","",INPUT_CAD!G368)</f>
        <v/>
      </c>
      <c r="I368" s="4" t="str">
        <f t="shared" si="54"/>
        <v/>
      </c>
      <c r="J368" s="4" t="str">
        <f t="shared" si="55"/>
        <v/>
      </c>
      <c r="K368" s="4" t="str">
        <f t="shared" si="56"/>
        <v/>
      </c>
      <c r="L368" s="4" t="str">
        <f>IFERROR(VLOOKUP(ROUND(K368,0),correction_tag!$A$7:$C$253,3),"x")</f>
        <v>x</v>
      </c>
      <c r="N368" s="4">
        <f t="shared" si="48"/>
        <v>1</v>
      </c>
      <c r="O368" s="4">
        <f>IF(N367=0,O367+INPUT_CAD!$B$4,INPUT_CAD!$B$4)</f>
        <v>2</v>
      </c>
      <c r="Q368" s="4" t="str">
        <f t="shared" si="49"/>
        <v/>
      </c>
      <c r="R368" s="4" t="str">
        <f t="shared" si="50"/>
        <v/>
      </c>
      <c r="S368" s="4" t="str">
        <f t="shared" si="51"/>
        <v/>
      </c>
      <c r="T368" s="4" t="str">
        <f>IFERROR(Q368*Setup!$C$26+R368*Setup!$D$26+S368*Setup!$E$26,"")</f>
        <v/>
      </c>
      <c r="U368" s="4" t="str">
        <f t="shared" si="53"/>
        <v/>
      </c>
      <c r="V368" s="4">
        <f t="shared" si="52"/>
        <v>90</v>
      </c>
    </row>
    <row r="369" spans="1:22" hidden="1" x14ac:dyDescent="0.25">
      <c r="A369" s="4" t="str">
        <f>IF(INPUT_CAD!A369="","",INPUT_CAD!A369)</f>
        <v/>
      </c>
      <c r="B369" s="4" t="str">
        <f>IF(INPUT_CAD!B369="","",INPUT_CAD!B369)</f>
        <v/>
      </c>
      <c r="C369" s="4" t="str">
        <f>IF(INPUT_CAD!C369="","",INPUT_CAD!C369)</f>
        <v/>
      </c>
      <c r="D369" s="4" t="str">
        <f>IF(INPUT_CAD!D369="","",INPUT_CAD!D369)</f>
        <v/>
      </c>
      <c r="E369" s="4" t="str">
        <f>IF(INPUT_CAD!E369="","",INPUT_CAD!E369)</f>
        <v/>
      </c>
      <c r="F369" s="4" t="str">
        <f>IF(INPUT_CAD!F369="","",INPUT_CAD!F369)</f>
        <v/>
      </c>
      <c r="G369" s="4" t="str">
        <f>IF(INPUT_CAD!G369="","",INPUT_CAD!G369)</f>
        <v/>
      </c>
      <c r="I369" s="4" t="str">
        <f t="shared" si="54"/>
        <v/>
      </c>
      <c r="J369" s="4" t="str">
        <f t="shared" si="55"/>
        <v/>
      </c>
      <c r="K369" s="4" t="str">
        <f t="shared" si="56"/>
        <v/>
      </c>
      <c r="L369" s="4" t="str">
        <f>IFERROR(VLOOKUP(ROUND(K369,0),correction_tag!$A$7:$C$253,3),"x")</f>
        <v>x</v>
      </c>
      <c r="N369" s="4">
        <f t="shared" si="48"/>
        <v>1</v>
      </c>
      <c r="O369" s="4">
        <f>IF(N368=0,O368+INPUT_CAD!$B$4,INPUT_CAD!$B$4)</f>
        <v>2</v>
      </c>
      <c r="Q369" s="4" t="str">
        <f t="shared" si="49"/>
        <v/>
      </c>
      <c r="R369" s="4" t="str">
        <f t="shared" si="50"/>
        <v/>
      </c>
      <c r="S369" s="4" t="str">
        <f t="shared" si="51"/>
        <v/>
      </c>
      <c r="T369" s="4" t="str">
        <f>IFERROR(Q369*Setup!$C$26+R369*Setup!$D$26+S369*Setup!$E$26,"")</f>
        <v/>
      </c>
      <c r="U369" s="4" t="str">
        <f t="shared" si="53"/>
        <v/>
      </c>
      <c r="V369" s="4">
        <f t="shared" si="52"/>
        <v>90</v>
      </c>
    </row>
    <row r="370" spans="1:22" hidden="1" x14ac:dyDescent="0.25">
      <c r="A370" s="4" t="str">
        <f>IF(INPUT_CAD!A370="","",INPUT_CAD!A370)</f>
        <v/>
      </c>
      <c r="B370" s="4" t="str">
        <f>IF(INPUT_CAD!B370="","",INPUT_CAD!B370)</f>
        <v/>
      </c>
      <c r="C370" s="4" t="str">
        <f>IF(INPUT_CAD!C370="","",INPUT_CAD!C370)</f>
        <v/>
      </c>
      <c r="D370" s="4" t="str">
        <f>IF(INPUT_CAD!D370="","",INPUT_CAD!D370)</f>
        <v/>
      </c>
      <c r="E370" s="4" t="str">
        <f>IF(INPUT_CAD!E370="","",INPUT_CAD!E370)</f>
        <v/>
      </c>
      <c r="F370" s="4" t="str">
        <f>IF(INPUT_CAD!F370="","",INPUT_CAD!F370)</f>
        <v/>
      </c>
      <c r="G370" s="4" t="str">
        <f>IF(INPUT_CAD!G370="","",INPUT_CAD!G370)</f>
        <v/>
      </c>
      <c r="I370" s="4" t="str">
        <f t="shared" si="54"/>
        <v/>
      </c>
      <c r="J370" s="4" t="str">
        <f t="shared" si="55"/>
        <v/>
      </c>
      <c r="K370" s="4" t="str">
        <f t="shared" si="56"/>
        <v/>
      </c>
      <c r="L370" s="4" t="str">
        <f>IFERROR(VLOOKUP(ROUND(K370,0),correction_tag!$A$7:$C$253,3),"x")</f>
        <v>x</v>
      </c>
      <c r="N370" s="4">
        <f t="shared" si="48"/>
        <v>1</v>
      </c>
      <c r="O370" s="4">
        <f>IF(N369=0,O369+INPUT_CAD!$B$4,INPUT_CAD!$B$4)</f>
        <v>2</v>
      </c>
      <c r="Q370" s="4" t="str">
        <f t="shared" si="49"/>
        <v/>
      </c>
      <c r="R370" s="4" t="str">
        <f t="shared" si="50"/>
        <v/>
      </c>
      <c r="S370" s="4" t="str">
        <f t="shared" si="51"/>
        <v/>
      </c>
      <c r="T370" s="4" t="str">
        <f>IFERROR(Q370*Setup!$C$26+R370*Setup!$D$26+S370*Setup!$E$26,"")</f>
        <v/>
      </c>
      <c r="U370" s="4" t="str">
        <f t="shared" si="53"/>
        <v/>
      </c>
      <c r="V370" s="4">
        <f t="shared" si="52"/>
        <v>90</v>
      </c>
    </row>
    <row r="371" spans="1:22" hidden="1" x14ac:dyDescent="0.25">
      <c r="A371" s="4" t="str">
        <f>IF(INPUT_CAD!A371="","",INPUT_CAD!A371)</f>
        <v/>
      </c>
      <c r="B371" s="4" t="str">
        <f>IF(INPUT_CAD!B371="","",INPUT_CAD!B371)</f>
        <v/>
      </c>
      <c r="C371" s="4" t="str">
        <f>IF(INPUT_CAD!C371="","",INPUT_CAD!C371)</f>
        <v/>
      </c>
      <c r="D371" s="4" t="str">
        <f>IF(INPUT_CAD!D371="","",INPUT_CAD!D371)</f>
        <v/>
      </c>
      <c r="E371" s="4" t="str">
        <f>IF(INPUT_CAD!E371="","",INPUT_CAD!E371)</f>
        <v/>
      </c>
      <c r="F371" s="4" t="str">
        <f>IF(INPUT_CAD!F371="","",INPUT_CAD!F371)</f>
        <v/>
      </c>
      <c r="G371" s="4" t="str">
        <f>IF(INPUT_CAD!G371="","",INPUT_CAD!G371)</f>
        <v/>
      </c>
      <c r="I371" s="4" t="str">
        <f t="shared" si="54"/>
        <v/>
      </c>
      <c r="J371" s="4" t="str">
        <f t="shared" si="55"/>
        <v/>
      </c>
      <c r="K371" s="4" t="str">
        <f t="shared" si="56"/>
        <v/>
      </c>
      <c r="L371" s="4" t="str">
        <f>IFERROR(VLOOKUP(ROUND(K371,0),correction_tag!$A$7:$C$253,3),"x")</f>
        <v>x</v>
      </c>
      <c r="N371" s="4">
        <f t="shared" si="48"/>
        <v>1</v>
      </c>
      <c r="O371" s="4">
        <f>IF(N370=0,O370+INPUT_CAD!$B$4,INPUT_CAD!$B$4)</f>
        <v>2</v>
      </c>
      <c r="Q371" s="4" t="str">
        <f t="shared" si="49"/>
        <v/>
      </c>
      <c r="R371" s="4" t="str">
        <f t="shared" si="50"/>
        <v/>
      </c>
      <c r="S371" s="4" t="str">
        <f t="shared" si="51"/>
        <v/>
      </c>
      <c r="T371" s="4" t="str">
        <f>IFERROR(Q371*Setup!$C$26+R371*Setup!$D$26+S371*Setup!$E$26,"")</f>
        <v/>
      </c>
      <c r="U371" s="4" t="str">
        <f t="shared" si="53"/>
        <v/>
      </c>
      <c r="V371" s="4">
        <f t="shared" si="52"/>
        <v>90</v>
      </c>
    </row>
    <row r="372" spans="1:22" hidden="1" x14ac:dyDescent="0.25">
      <c r="A372" s="4" t="str">
        <f>IF(INPUT_CAD!A372="","",INPUT_CAD!A372)</f>
        <v/>
      </c>
      <c r="B372" s="4" t="str">
        <f>IF(INPUT_CAD!B372="","",INPUT_CAD!B372)</f>
        <v/>
      </c>
      <c r="C372" s="4" t="str">
        <f>IF(INPUT_CAD!C372="","",INPUT_CAD!C372)</f>
        <v/>
      </c>
      <c r="D372" s="4" t="str">
        <f>IF(INPUT_CAD!D372="","",INPUT_CAD!D372)</f>
        <v/>
      </c>
      <c r="E372" s="4" t="str">
        <f>IF(INPUT_CAD!E372="","",INPUT_CAD!E372)</f>
        <v/>
      </c>
      <c r="F372" s="4" t="str">
        <f>IF(INPUT_CAD!F372="","",INPUT_CAD!F372)</f>
        <v/>
      </c>
      <c r="G372" s="4" t="str">
        <f>IF(INPUT_CAD!G372="","",INPUT_CAD!G372)</f>
        <v/>
      </c>
      <c r="I372" s="4" t="str">
        <f t="shared" si="54"/>
        <v/>
      </c>
      <c r="J372" s="4" t="str">
        <f t="shared" si="55"/>
        <v/>
      </c>
      <c r="K372" s="4" t="str">
        <f t="shared" si="56"/>
        <v/>
      </c>
      <c r="L372" s="4" t="str">
        <f>IFERROR(VLOOKUP(ROUND(K372,0),correction_tag!$A$7:$C$253,3),"x")</f>
        <v>x</v>
      </c>
      <c r="N372" s="4">
        <f t="shared" si="48"/>
        <v>1</v>
      </c>
      <c r="O372" s="4">
        <f>IF(N371=0,O371+INPUT_CAD!$B$4,INPUT_CAD!$B$4)</f>
        <v>2</v>
      </c>
      <c r="Q372" s="4" t="str">
        <f t="shared" si="49"/>
        <v/>
      </c>
      <c r="R372" s="4" t="str">
        <f t="shared" si="50"/>
        <v/>
      </c>
      <c r="S372" s="4" t="str">
        <f t="shared" si="51"/>
        <v/>
      </c>
      <c r="T372" s="4" t="str">
        <f>IFERROR(Q372*Setup!$C$26+R372*Setup!$D$26+S372*Setup!$E$26,"")</f>
        <v/>
      </c>
      <c r="U372" s="4" t="str">
        <f t="shared" si="53"/>
        <v/>
      </c>
      <c r="V372" s="4">
        <f t="shared" si="52"/>
        <v>90</v>
      </c>
    </row>
    <row r="373" spans="1:22" hidden="1" x14ac:dyDescent="0.25">
      <c r="A373" s="4" t="str">
        <f>IF(INPUT_CAD!A373="","",INPUT_CAD!A373)</f>
        <v/>
      </c>
      <c r="B373" s="4" t="str">
        <f>IF(INPUT_CAD!B373="","",INPUT_CAD!B373)</f>
        <v/>
      </c>
      <c r="C373" s="4" t="str">
        <f>IF(INPUT_CAD!C373="","",INPUT_CAD!C373)</f>
        <v/>
      </c>
      <c r="D373" s="4" t="str">
        <f>IF(INPUT_CAD!D373="","",INPUT_CAD!D373)</f>
        <v/>
      </c>
      <c r="E373" s="4" t="str">
        <f>IF(INPUT_CAD!E373="","",INPUT_CAD!E373)</f>
        <v/>
      </c>
      <c r="F373" s="4" t="str">
        <f>IF(INPUT_CAD!F373="","",INPUT_CAD!F373)</f>
        <v/>
      </c>
      <c r="G373" s="4" t="str">
        <f>IF(INPUT_CAD!G373="","",INPUT_CAD!G373)</f>
        <v/>
      </c>
      <c r="I373" s="4" t="str">
        <f t="shared" si="54"/>
        <v/>
      </c>
      <c r="J373" s="4" t="str">
        <f t="shared" si="55"/>
        <v/>
      </c>
      <c r="K373" s="4" t="str">
        <f t="shared" si="56"/>
        <v/>
      </c>
      <c r="L373" s="4" t="str">
        <f>IFERROR(VLOOKUP(ROUND(K373,0),correction_tag!$A$7:$C$253,3),"x")</f>
        <v>x</v>
      </c>
      <c r="N373" s="4">
        <f t="shared" si="48"/>
        <v>1</v>
      </c>
      <c r="O373" s="4">
        <f>IF(N372=0,O372+INPUT_CAD!$B$4,INPUT_CAD!$B$4)</f>
        <v>2</v>
      </c>
      <c r="Q373" s="4" t="str">
        <f t="shared" si="49"/>
        <v/>
      </c>
      <c r="R373" s="4" t="str">
        <f t="shared" si="50"/>
        <v/>
      </c>
      <c r="S373" s="4" t="str">
        <f t="shared" si="51"/>
        <v/>
      </c>
      <c r="T373" s="4" t="str">
        <f>IFERROR(Q373*Setup!$C$26+R373*Setup!$D$26+S373*Setup!$E$26,"")</f>
        <v/>
      </c>
      <c r="U373" s="4" t="str">
        <f t="shared" si="53"/>
        <v/>
      </c>
      <c r="V373" s="4">
        <f t="shared" si="52"/>
        <v>90</v>
      </c>
    </row>
    <row r="374" spans="1:22" hidden="1" x14ac:dyDescent="0.25">
      <c r="A374" s="4" t="str">
        <f>IF(INPUT_CAD!A374="","",INPUT_CAD!A374)</f>
        <v/>
      </c>
      <c r="B374" s="4" t="str">
        <f>IF(INPUT_CAD!B374="","",INPUT_CAD!B374)</f>
        <v/>
      </c>
      <c r="C374" s="4" t="str">
        <f>IF(INPUT_CAD!C374="","",INPUT_CAD!C374)</f>
        <v/>
      </c>
      <c r="D374" s="4" t="str">
        <f>IF(INPUT_CAD!D374="","",INPUT_CAD!D374)</f>
        <v/>
      </c>
      <c r="E374" s="4" t="str">
        <f>IF(INPUT_CAD!E374="","",INPUT_CAD!E374)</f>
        <v/>
      </c>
      <c r="F374" s="4" t="str">
        <f>IF(INPUT_CAD!F374="","",INPUT_CAD!F374)</f>
        <v/>
      </c>
      <c r="G374" s="4" t="str">
        <f>IF(INPUT_CAD!G374="","",INPUT_CAD!G374)</f>
        <v/>
      </c>
      <c r="I374" s="4" t="str">
        <f t="shared" si="54"/>
        <v/>
      </c>
      <c r="J374" s="4" t="str">
        <f t="shared" si="55"/>
        <v/>
      </c>
      <c r="K374" s="4" t="str">
        <f t="shared" si="56"/>
        <v/>
      </c>
      <c r="L374" s="4" t="str">
        <f>IFERROR(VLOOKUP(ROUND(K374,0),correction_tag!$A$7:$C$253,3),"x")</f>
        <v>x</v>
      </c>
      <c r="N374" s="4">
        <f t="shared" si="48"/>
        <v>1</v>
      </c>
      <c r="O374" s="4">
        <f>IF(N373=0,O373+INPUT_CAD!$B$4,INPUT_CAD!$B$4)</f>
        <v>2</v>
      </c>
      <c r="Q374" s="4" t="str">
        <f t="shared" si="49"/>
        <v/>
      </c>
      <c r="R374" s="4" t="str">
        <f t="shared" si="50"/>
        <v/>
      </c>
      <c r="S374" s="4" t="str">
        <f t="shared" si="51"/>
        <v/>
      </c>
      <c r="T374" s="4" t="str">
        <f>IFERROR(Q374*Setup!$C$26+R374*Setup!$D$26+S374*Setup!$E$26,"")</f>
        <v/>
      </c>
      <c r="U374" s="4" t="str">
        <f t="shared" si="53"/>
        <v/>
      </c>
      <c r="V374" s="4">
        <f t="shared" si="52"/>
        <v>90</v>
      </c>
    </row>
    <row r="375" spans="1:22" hidden="1" x14ac:dyDescent="0.25">
      <c r="A375" s="4" t="str">
        <f>IF(INPUT_CAD!A375="","",INPUT_CAD!A375)</f>
        <v/>
      </c>
      <c r="B375" s="4" t="str">
        <f>IF(INPUT_CAD!B375="","",INPUT_CAD!B375)</f>
        <v/>
      </c>
      <c r="C375" s="4" t="str">
        <f>IF(INPUT_CAD!C375="","",INPUT_CAD!C375)</f>
        <v/>
      </c>
      <c r="D375" s="4" t="str">
        <f>IF(INPUT_CAD!D375="","",INPUT_CAD!D375)</f>
        <v/>
      </c>
      <c r="E375" s="4" t="str">
        <f>IF(INPUT_CAD!E375="","",INPUT_CAD!E375)</f>
        <v/>
      </c>
      <c r="F375" s="4" t="str">
        <f>IF(INPUT_CAD!F375="","",INPUT_CAD!F375)</f>
        <v/>
      </c>
      <c r="G375" s="4" t="str">
        <f>IF(INPUT_CAD!G375="","",INPUT_CAD!G375)</f>
        <v/>
      </c>
      <c r="I375" s="4" t="str">
        <f t="shared" si="54"/>
        <v/>
      </c>
      <c r="J375" s="4" t="str">
        <f t="shared" si="55"/>
        <v/>
      </c>
      <c r="K375" s="4" t="str">
        <f t="shared" si="56"/>
        <v/>
      </c>
      <c r="L375" s="4" t="str">
        <f>IFERROR(VLOOKUP(ROUND(K375,0),correction_tag!$A$7:$C$253,3),"x")</f>
        <v>x</v>
      </c>
      <c r="N375" s="4">
        <f t="shared" si="48"/>
        <v>1</v>
      </c>
      <c r="O375" s="4">
        <f>IF(N374=0,O374+INPUT_CAD!$B$4,INPUT_CAD!$B$4)</f>
        <v>2</v>
      </c>
      <c r="Q375" s="4" t="str">
        <f t="shared" si="49"/>
        <v/>
      </c>
      <c r="R375" s="4" t="str">
        <f t="shared" si="50"/>
        <v/>
      </c>
      <c r="S375" s="4" t="str">
        <f t="shared" si="51"/>
        <v/>
      </c>
      <c r="T375" s="4" t="str">
        <f>IFERROR(Q375*Setup!$C$26+R375*Setup!$D$26+S375*Setup!$E$26,"")</f>
        <v/>
      </c>
      <c r="U375" s="4" t="str">
        <f t="shared" si="53"/>
        <v/>
      </c>
      <c r="V375" s="4">
        <f t="shared" si="52"/>
        <v>90</v>
      </c>
    </row>
    <row r="376" spans="1:22" hidden="1" x14ac:dyDescent="0.25">
      <c r="A376" s="4" t="str">
        <f>IF(INPUT_CAD!A376="","",INPUT_CAD!A376)</f>
        <v/>
      </c>
      <c r="B376" s="4" t="str">
        <f>IF(INPUT_CAD!B376="","",INPUT_CAD!B376)</f>
        <v/>
      </c>
      <c r="C376" s="4" t="str">
        <f>IF(INPUT_CAD!C376="","",INPUT_CAD!C376)</f>
        <v/>
      </c>
      <c r="D376" s="4" t="str">
        <f>IF(INPUT_CAD!D376="","",INPUT_CAD!D376)</f>
        <v/>
      </c>
      <c r="E376" s="4" t="str">
        <f>IF(INPUT_CAD!E376="","",INPUT_CAD!E376)</f>
        <v/>
      </c>
      <c r="F376" s="4" t="str">
        <f>IF(INPUT_CAD!F376="","",INPUT_CAD!F376)</f>
        <v/>
      </c>
      <c r="G376" s="4" t="str">
        <f>IF(INPUT_CAD!G376="","",INPUT_CAD!G376)</f>
        <v/>
      </c>
      <c r="I376" s="4" t="str">
        <f t="shared" si="54"/>
        <v/>
      </c>
      <c r="J376" s="4" t="str">
        <f t="shared" si="55"/>
        <v/>
      </c>
      <c r="K376" s="4" t="str">
        <f t="shared" si="56"/>
        <v/>
      </c>
      <c r="L376" s="4" t="str">
        <f>IFERROR(VLOOKUP(ROUND(K376,0),correction_tag!$A$7:$C$253,3),"x")</f>
        <v>x</v>
      </c>
      <c r="N376" s="4">
        <f t="shared" si="48"/>
        <v>1</v>
      </c>
      <c r="O376" s="4">
        <f>IF(N375=0,O375+INPUT_CAD!$B$4,INPUT_CAD!$B$4)</f>
        <v>2</v>
      </c>
      <c r="Q376" s="4" t="str">
        <f t="shared" si="49"/>
        <v/>
      </c>
      <c r="R376" s="4" t="str">
        <f t="shared" si="50"/>
        <v/>
      </c>
      <c r="S376" s="4" t="str">
        <f t="shared" si="51"/>
        <v/>
      </c>
      <c r="T376" s="4" t="str">
        <f>IFERROR(Q376*Setup!$C$26+R376*Setup!$D$26+S376*Setup!$E$26,"")</f>
        <v/>
      </c>
      <c r="U376" s="4" t="str">
        <f t="shared" si="53"/>
        <v/>
      </c>
      <c r="V376" s="4">
        <f t="shared" si="52"/>
        <v>90</v>
      </c>
    </row>
    <row r="377" spans="1:22" hidden="1" x14ac:dyDescent="0.25">
      <c r="A377" s="4" t="str">
        <f>IF(INPUT_CAD!A377="","",INPUT_CAD!A377)</f>
        <v/>
      </c>
      <c r="B377" s="4" t="str">
        <f>IF(INPUT_CAD!B377="","",INPUT_CAD!B377)</f>
        <v/>
      </c>
      <c r="C377" s="4" t="str">
        <f>IF(INPUT_CAD!C377="","",INPUT_CAD!C377)</f>
        <v/>
      </c>
      <c r="D377" s="4" t="str">
        <f>IF(INPUT_CAD!D377="","",INPUT_CAD!D377)</f>
        <v/>
      </c>
      <c r="E377" s="4" t="str">
        <f>IF(INPUT_CAD!E377="","",INPUT_CAD!E377)</f>
        <v/>
      </c>
      <c r="F377" s="4" t="str">
        <f>IF(INPUT_CAD!F377="","",INPUT_CAD!F377)</f>
        <v/>
      </c>
      <c r="G377" s="4" t="str">
        <f>IF(INPUT_CAD!G377="","",INPUT_CAD!G377)</f>
        <v/>
      </c>
      <c r="I377" s="4" t="str">
        <f t="shared" si="54"/>
        <v/>
      </c>
      <c r="J377" s="4" t="str">
        <f t="shared" si="55"/>
        <v/>
      </c>
      <c r="K377" s="4" t="str">
        <f t="shared" si="56"/>
        <v/>
      </c>
      <c r="L377" s="4" t="str">
        <f>IFERROR(VLOOKUP(ROUND(K377,0),correction_tag!$A$7:$C$253,3),"x")</f>
        <v>x</v>
      </c>
      <c r="N377" s="4">
        <f t="shared" si="48"/>
        <v>1</v>
      </c>
      <c r="O377" s="4">
        <f>IF(N376=0,O376+INPUT_CAD!$B$4,INPUT_CAD!$B$4)</f>
        <v>2</v>
      </c>
      <c r="Q377" s="4" t="str">
        <f t="shared" si="49"/>
        <v/>
      </c>
      <c r="R377" s="4" t="str">
        <f t="shared" si="50"/>
        <v/>
      </c>
      <c r="S377" s="4" t="str">
        <f t="shared" si="51"/>
        <v/>
      </c>
      <c r="T377" s="4" t="str">
        <f>IFERROR(Q377*Setup!$C$26+R377*Setup!$D$26+S377*Setup!$E$26,"")</f>
        <v/>
      </c>
      <c r="U377" s="4" t="str">
        <f t="shared" si="53"/>
        <v/>
      </c>
      <c r="V377" s="4">
        <f t="shared" si="52"/>
        <v>90</v>
      </c>
    </row>
    <row r="378" spans="1:22" hidden="1" x14ac:dyDescent="0.25">
      <c r="A378" s="4" t="str">
        <f>IF(INPUT_CAD!A378="","",INPUT_CAD!A378)</f>
        <v/>
      </c>
      <c r="B378" s="4" t="str">
        <f>IF(INPUT_CAD!B378="","",INPUT_CAD!B378)</f>
        <v/>
      </c>
      <c r="C378" s="4" t="str">
        <f>IF(INPUT_CAD!C378="","",INPUT_CAD!C378)</f>
        <v/>
      </c>
      <c r="D378" s="4" t="str">
        <f>IF(INPUT_CAD!D378="","",INPUT_CAD!D378)</f>
        <v/>
      </c>
      <c r="E378" s="4" t="str">
        <f>IF(INPUT_CAD!E378="","",INPUT_CAD!E378)</f>
        <v/>
      </c>
      <c r="F378" s="4" t="str">
        <f>IF(INPUT_CAD!F378="","",INPUT_CAD!F378)</f>
        <v/>
      </c>
      <c r="G378" s="4" t="str">
        <f>IF(INPUT_CAD!G378="","",INPUT_CAD!G378)</f>
        <v/>
      </c>
      <c r="I378" s="4" t="str">
        <f t="shared" si="54"/>
        <v/>
      </c>
      <c r="J378" s="4" t="str">
        <f t="shared" si="55"/>
        <v/>
      </c>
      <c r="K378" s="4" t="str">
        <f t="shared" si="56"/>
        <v/>
      </c>
      <c r="L378" s="4" t="str">
        <f>IFERROR(VLOOKUP(ROUND(K378,0),correction_tag!$A$7:$C$253,3),"x")</f>
        <v>x</v>
      </c>
      <c r="N378" s="4">
        <f t="shared" si="48"/>
        <v>1</v>
      </c>
      <c r="O378" s="4">
        <f>IF(N377=0,O377+INPUT_CAD!$B$4,INPUT_CAD!$B$4)</f>
        <v>2</v>
      </c>
      <c r="Q378" s="4" t="str">
        <f t="shared" si="49"/>
        <v/>
      </c>
      <c r="R378" s="4" t="str">
        <f t="shared" si="50"/>
        <v/>
      </c>
      <c r="S378" s="4" t="str">
        <f t="shared" si="51"/>
        <v/>
      </c>
      <c r="T378" s="4" t="str">
        <f>IFERROR(Q378*Setup!$C$26+R378*Setup!$D$26+S378*Setup!$E$26,"")</f>
        <v/>
      </c>
      <c r="U378" s="4" t="str">
        <f t="shared" si="53"/>
        <v/>
      </c>
      <c r="V378" s="4">
        <f t="shared" si="52"/>
        <v>90</v>
      </c>
    </row>
    <row r="379" spans="1:22" hidden="1" x14ac:dyDescent="0.25">
      <c r="A379" s="4" t="str">
        <f>IF(INPUT_CAD!A379="","",INPUT_CAD!A379)</f>
        <v/>
      </c>
      <c r="B379" s="4" t="str">
        <f>IF(INPUT_CAD!B379="","",INPUT_CAD!B379)</f>
        <v/>
      </c>
      <c r="C379" s="4" t="str">
        <f>IF(INPUT_CAD!C379="","",INPUT_CAD!C379)</f>
        <v/>
      </c>
      <c r="D379" s="4" t="str">
        <f>IF(INPUT_CAD!D379="","",INPUT_CAD!D379)</f>
        <v/>
      </c>
      <c r="E379" s="4" t="str">
        <f>IF(INPUT_CAD!E379="","",INPUT_CAD!E379)</f>
        <v/>
      </c>
      <c r="F379" s="4" t="str">
        <f>IF(INPUT_CAD!F379="","",INPUT_CAD!F379)</f>
        <v/>
      </c>
      <c r="G379" s="4" t="str">
        <f>IF(INPUT_CAD!G379="","",INPUT_CAD!G379)</f>
        <v/>
      </c>
      <c r="I379" s="4" t="str">
        <f t="shared" si="54"/>
        <v/>
      </c>
      <c r="J379" s="4" t="str">
        <f t="shared" si="55"/>
        <v/>
      </c>
      <c r="K379" s="4" t="str">
        <f t="shared" si="56"/>
        <v/>
      </c>
      <c r="L379" s="4" t="str">
        <f>IFERROR(VLOOKUP(ROUND(K379,0),correction_tag!$A$7:$C$253,3),"x")</f>
        <v>x</v>
      </c>
      <c r="N379" s="4">
        <f t="shared" si="48"/>
        <v>1</v>
      </c>
      <c r="O379" s="4">
        <f>IF(N378=0,O378+INPUT_CAD!$B$4,INPUT_CAD!$B$4)</f>
        <v>2</v>
      </c>
      <c r="Q379" s="4" t="str">
        <f t="shared" si="49"/>
        <v/>
      </c>
      <c r="R379" s="4" t="str">
        <f t="shared" si="50"/>
        <v/>
      </c>
      <c r="S379" s="4" t="str">
        <f t="shared" si="51"/>
        <v/>
      </c>
      <c r="T379" s="4" t="str">
        <f>IFERROR(Q379*Setup!$C$26+R379*Setup!$D$26+S379*Setup!$E$26,"")</f>
        <v/>
      </c>
      <c r="U379" s="4" t="str">
        <f t="shared" si="53"/>
        <v/>
      </c>
      <c r="V379" s="4">
        <f t="shared" si="52"/>
        <v>90</v>
      </c>
    </row>
    <row r="380" spans="1:22" hidden="1" x14ac:dyDescent="0.25">
      <c r="A380" s="4" t="str">
        <f>IF(INPUT_CAD!A380="","",INPUT_CAD!A380)</f>
        <v/>
      </c>
      <c r="B380" s="4" t="str">
        <f>IF(INPUT_CAD!B380="","",INPUT_CAD!B380)</f>
        <v/>
      </c>
      <c r="C380" s="4" t="str">
        <f>IF(INPUT_CAD!C380="","",INPUT_CAD!C380)</f>
        <v/>
      </c>
      <c r="D380" s="4" t="str">
        <f>IF(INPUT_CAD!D380="","",INPUT_CAD!D380)</f>
        <v/>
      </c>
      <c r="E380" s="4" t="str">
        <f>IF(INPUT_CAD!E380="","",INPUT_CAD!E380)</f>
        <v/>
      </c>
      <c r="F380" s="4" t="str">
        <f>IF(INPUT_CAD!F380="","",INPUT_CAD!F380)</f>
        <v/>
      </c>
      <c r="G380" s="4" t="str">
        <f>IF(INPUT_CAD!G380="","",INPUT_CAD!G380)</f>
        <v/>
      </c>
      <c r="I380" s="4" t="str">
        <f t="shared" si="54"/>
        <v/>
      </c>
      <c r="J380" s="4" t="str">
        <f t="shared" si="55"/>
        <v/>
      </c>
      <c r="K380" s="4" t="str">
        <f t="shared" si="56"/>
        <v/>
      </c>
      <c r="L380" s="4" t="str">
        <f>IFERROR(VLOOKUP(ROUND(K380,0),correction_tag!$A$7:$C$253,3),"x")</f>
        <v>x</v>
      </c>
      <c r="N380" s="4">
        <f t="shared" si="48"/>
        <v>1</v>
      </c>
      <c r="O380" s="4">
        <f>IF(N379=0,O379+INPUT_CAD!$B$4,INPUT_CAD!$B$4)</f>
        <v>2</v>
      </c>
      <c r="Q380" s="4" t="str">
        <f t="shared" si="49"/>
        <v/>
      </c>
      <c r="R380" s="4" t="str">
        <f t="shared" si="50"/>
        <v/>
      </c>
      <c r="S380" s="4" t="str">
        <f t="shared" si="51"/>
        <v/>
      </c>
      <c r="T380" s="4" t="str">
        <f>IFERROR(Q380*Setup!$C$26+R380*Setup!$D$26+S380*Setup!$E$26,"")</f>
        <v/>
      </c>
      <c r="U380" s="4" t="str">
        <f t="shared" si="53"/>
        <v/>
      </c>
      <c r="V380" s="4">
        <f t="shared" si="52"/>
        <v>90</v>
      </c>
    </row>
    <row r="381" spans="1:22" hidden="1" x14ac:dyDescent="0.25">
      <c r="A381" s="4" t="str">
        <f>IF(INPUT_CAD!A381="","",INPUT_CAD!A381)</f>
        <v/>
      </c>
      <c r="B381" s="4" t="str">
        <f>IF(INPUT_CAD!B381="","",INPUT_CAD!B381)</f>
        <v/>
      </c>
      <c r="C381" s="4" t="str">
        <f>IF(INPUT_CAD!C381="","",INPUT_CAD!C381)</f>
        <v/>
      </c>
      <c r="D381" s="4" t="str">
        <f>IF(INPUT_CAD!D381="","",INPUT_CAD!D381)</f>
        <v/>
      </c>
      <c r="E381" s="4" t="str">
        <f>IF(INPUT_CAD!E381="","",INPUT_CAD!E381)</f>
        <v/>
      </c>
      <c r="F381" s="4" t="str">
        <f>IF(INPUT_CAD!F381="","",INPUT_CAD!F381)</f>
        <v/>
      </c>
      <c r="G381" s="4" t="str">
        <f>IF(INPUT_CAD!G381="","",INPUT_CAD!G381)</f>
        <v/>
      </c>
      <c r="I381" s="4" t="str">
        <f t="shared" si="54"/>
        <v/>
      </c>
      <c r="J381" s="4" t="str">
        <f t="shared" si="55"/>
        <v/>
      </c>
      <c r="K381" s="4" t="str">
        <f t="shared" si="56"/>
        <v/>
      </c>
      <c r="L381" s="4" t="str">
        <f>IFERROR(VLOOKUP(ROUND(K381,0),correction_tag!$A$7:$C$253,3),"x")</f>
        <v>x</v>
      </c>
      <c r="N381" s="4">
        <f t="shared" si="48"/>
        <v>1</v>
      </c>
      <c r="O381" s="4">
        <f>IF(N380=0,O380+INPUT_CAD!$B$4,INPUT_CAD!$B$4)</f>
        <v>2</v>
      </c>
      <c r="Q381" s="4" t="str">
        <f t="shared" si="49"/>
        <v/>
      </c>
      <c r="R381" s="4" t="str">
        <f t="shared" si="50"/>
        <v/>
      </c>
      <c r="S381" s="4" t="str">
        <f t="shared" si="51"/>
        <v/>
      </c>
      <c r="T381" s="4" t="str">
        <f>IFERROR(Q381*Setup!$C$26+R381*Setup!$D$26+S381*Setup!$E$26,"")</f>
        <v/>
      </c>
      <c r="U381" s="4" t="str">
        <f t="shared" si="53"/>
        <v/>
      </c>
      <c r="V381" s="4">
        <f t="shared" si="52"/>
        <v>90</v>
      </c>
    </row>
    <row r="382" spans="1:22" hidden="1" x14ac:dyDescent="0.25">
      <c r="A382" s="4" t="str">
        <f>IF(INPUT_CAD!A382="","",INPUT_CAD!A382)</f>
        <v/>
      </c>
      <c r="B382" s="4" t="str">
        <f>IF(INPUT_CAD!B382="","",INPUT_CAD!B382)</f>
        <v/>
      </c>
      <c r="C382" s="4" t="str">
        <f>IF(INPUT_CAD!C382="","",INPUT_CAD!C382)</f>
        <v/>
      </c>
      <c r="D382" s="4" t="str">
        <f>IF(INPUT_CAD!D382="","",INPUT_CAD!D382)</f>
        <v/>
      </c>
      <c r="E382" s="4" t="str">
        <f>IF(INPUT_CAD!E382="","",INPUT_CAD!E382)</f>
        <v/>
      </c>
      <c r="F382" s="4" t="str">
        <f>IF(INPUT_CAD!F382="","",INPUT_CAD!F382)</f>
        <v/>
      </c>
      <c r="G382" s="4" t="str">
        <f>IF(INPUT_CAD!G382="","",INPUT_CAD!G382)</f>
        <v/>
      </c>
      <c r="I382" s="4" t="str">
        <f t="shared" si="54"/>
        <v/>
      </c>
      <c r="J382" s="4" t="str">
        <f t="shared" si="55"/>
        <v/>
      </c>
      <c r="K382" s="4" t="str">
        <f t="shared" si="56"/>
        <v/>
      </c>
      <c r="L382" s="4" t="str">
        <f>IFERROR(VLOOKUP(ROUND(K382,0),correction_tag!$A$7:$C$253,3),"x")</f>
        <v>x</v>
      </c>
      <c r="N382" s="4">
        <f t="shared" si="48"/>
        <v>1</v>
      </c>
      <c r="O382" s="4">
        <f>IF(N381=0,O381+INPUT_CAD!$B$4,INPUT_CAD!$B$4)</f>
        <v>2</v>
      </c>
      <c r="Q382" s="4" t="str">
        <f t="shared" si="49"/>
        <v/>
      </c>
      <c r="R382" s="4" t="str">
        <f t="shared" si="50"/>
        <v/>
      </c>
      <c r="S382" s="4" t="str">
        <f t="shared" si="51"/>
        <v/>
      </c>
      <c r="T382" s="4" t="str">
        <f>IFERROR(Q382*Setup!$C$26+R382*Setup!$D$26+S382*Setup!$E$26,"")</f>
        <v/>
      </c>
      <c r="U382" s="4" t="str">
        <f t="shared" si="53"/>
        <v/>
      </c>
      <c r="V382" s="4">
        <f t="shared" si="52"/>
        <v>90</v>
      </c>
    </row>
    <row r="383" spans="1:22" hidden="1" x14ac:dyDescent="0.25">
      <c r="A383" s="4" t="str">
        <f>IF(INPUT_CAD!A383="","",INPUT_CAD!A383)</f>
        <v/>
      </c>
      <c r="B383" s="4" t="str">
        <f>IF(INPUT_CAD!B383="","",INPUT_CAD!B383)</f>
        <v/>
      </c>
      <c r="C383" s="4" t="str">
        <f>IF(INPUT_CAD!C383="","",INPUT_CAD!C383)</f>
        <v/>
      </c>
      <c r="D383" s="4" t="str">
        <f>IF(INPUT_CAD!D383="","",INPUT_CAD!D383)</f>
        <v/>
      </c>
      <c r="E383" s="4" t="str">
        <f>IF(INPUT_CAD!E383="","",INPUT_CAD!E383)</f>
        <v/>
      </c>
      <c r="F383" s="4" t="str">
        <f>IF(INPUT_CAD!F383="","",INPUT_CAD!F383)</f>
        <v/>
      </c>
      <c r="G383" s="4" t="str">
        <f>IF(INPUT_CAD!G383="","",INPUT_CAD!G383)</f>
        <v/>
      </c>
      <c r="I383" s="4" t="str">
        <f t="shared" si="54"/>
        <v/>
      </c>
      <c r="J383" s="4" t="str">
        <f t="shared" si="55"/>
        <v/>
      </c>
      <c r="K383" s="4" t="str">
        <f t="shared" si="56"/>
        <v/>
      </c>
      <c r="L383" s="4" t="str">
        <f>IFERROR(VLOOKUP(ROUND(K383,0),correction_tag!$A$7:$C$253,3),"x")</f>
        <v>x</v>
      </c>
      <c r="N383" s="4">
        <f t="shared" si="48"/>
        <v>1</v>
      </c>
      <c r="O383" s="4">
        <f>IF(N382=0,O382+INPUT_CAD!$B$4,INPUT_CAD!$B$4)</f>
        <v>2</v>
      </c>
      <c r="Q383" s="4" t="str">
        <f t="shared" si="49"/>
        <v/>
      </c>
      <c r="R383" s="4" t="str">
        <f t="shared" si="50"/>
        <v/>
      </c>
      <c r="S383" s="4" t="str">
        <f t="shared" si="51"/>
        <v/>
      </c>
      <c r="T383" s="4" t="str">
        <f>IFERROR(Q383*Setup!$C$26+R383*Setup!$D$26+S383*Setup!$E$26,"")</f>
        <v/>
      </c>
      <c r="U383" s="4" t="str">
        <f t="shared" si="53"/>
        <v/>
      </c>
      <c r="V383" s="4">
        <f t="shared" si="52"/>
        <v>90</v>
      </c>
    </row>
    <row r="384" spans="1:22" hidden="1" x14ac:dyDescent="0.25">
      <c r="A384" s="4" t="str">
        <f>IF(INPUT_CAD!A384="","",INPUT_CAD!A384)</f>
        <v/>
      </c>
      <c r="B384" s="4" t="str">
        <f>IF(INPUT_CAD!B384="","",INPUT_CAD!B384)</f>
        <v/>
      </c>
      <c r="C384" s="4" t="str">
        <f>IF(INPUT_CAD!C384="","",INPUT_CAD!C384)</f>
        <v/>
      </c>
      <c r="D384" s="4" t="str">
        <f>IF(INPUT_CAD!D384="","",INPUT_CAD!D384)</f>
        <v/>
      </c>
      <c r="E384" s="4" t="str">
        <f>IF(INPUT_CAD!E384="","",INPUT_CAD!E384)</f>
        <v/>
      </c>
      <c r="F384" s="4" t="str">
        <f>IF(INPUT_CAD!F384="","",INPUT_CAD!F384)</f>
        <v/>
      </c>
      <c r="G384" s="4" t="str">
        <f>IF(INPUT_CAD!G384="","",INPUT_CAD!G384)</f>
        <v/>
      </c>
      <c r="I384" s="4" t="str">
        <f t="shared" si="54"/>
        <v/>
      </c>
      <c r="J384" s="4" t="str">
        <f t="shared" si="55"/>
        <v/>
      </c>
      <c r="K384" s="4" t="str">
        <f t="shared" si="56"/>
        <v/>
      </c>
      <c r="L384" s="4" t="str">
        <f>IFERROR(VLOOKUP(ROUND(K384,0),correction_tag!$A$7:$C$253,3),"x")</f>
        <v>x</v>
      </c>
      <c r="N384" s="4">
        <f t="shared" si="48"/>
        <v>1</v>
      </c>
      <c r="O384" s="4">
        <f>IF(N383=0,O383+INPUT_CAD!$B$4,INPUT_CAD!$B$4)</f>
        <v>2</v>
      </c>
      <c r="Q384" s="4" t="str">
        <f t="shared" si="49"/>
        <v/>
      </c>
      <c r="R384" s="4" t="str">
        <f t="shared" si="50"/>
        <v/>
      </c>
      <c r="S384" s="4" t="str">
        <f t="shared" si="51"/>
        <v/>
      </c>
      <c r="T384" s="4" t="str">
        <f>IFERROR(Q384*Setup!$C$26+R384*Setup!$D$26+S384*Setup!$E$26,"")</f>
        <v/>
      </c>
      <c r="U384" s="4" t="str">
        <f t="shared" si="53"/>
        <v/>
      </c>
      <c r="V384" s="4">
        <f t="shared" si="52"/>
        <v>90</v>
      </c>
    </row>
    <row r="385" spans="1:22" hidden="1" x14ac:dyDescent="0.25">
      <c r="A385" s="4" t="str">
        <f>IF(INPUT_CAD!A385="","",INPUT_CAD!A385)</f>
        <v/>
      </c>
      <c r="B385" s="4" t="str">
        <f>IF(INPUT_CAD!B385="","",INPUT_CAD!B385)</f>
        <v/>
      </c>
      <c r="C385" s="4" t="str">
        <f>IF(INPUT_CAD!C385="","",INPUT_CAD!C385)</f>
        <v/>
      </c>
      <c r="D385" s="4" t="str">
        <f>IF(INPUT_CAD!D385="","",INPUT_CAD!D385)</f>
        <v/>
      </c>
      <c r="E385" s="4" t="str">
        <f>IF(INPUT_CAD!E385="","",INPUT_CAD!E385)</f>
        <v/>
      </c>
      <c r="F385" s="4" t="str">
        <f>IF(INPUT_CAD!F385="","",INPUT_CAD!F385)</f>
        <v/>
      </c>
      <c r="G385" s="4" t="str">
        <f>IF(INPUT_CAD!G385="","",INPUT_CAD!G385)</f>
        <v/>
      </c>
      <c r="I385" s="4" t="str">
        <f t="shared" si="54"/>
        <v/>
      </c>
      <c r="J385" s="4" t="str">
        <f t="shared" si="55"/>
        <v/>
      </c>
      <c r="K385" s="4" t="str">
        <f t="shared" si="56"/>
        <v/>
      </c>
      <c r="L385" s="4" t="str">
        <f>IFERROR(VLOOKUP(ROUND(K385,0),correction_tag!$A$7:$C$253,3),"x")</f>
        <v>x</v>
      </c>
      <c r="N385" s="4">
        <f t="shared" si="48"/>
        <v>1</v>
      </c>
      <c r="O385" s="4">
        <f>IF(N384=0,O384+INPUT_CAD!$B$4,INPUT_CAD!$B$4)</f>
        <v>2</v>
      </c>
      <c r="Q385" s="4" t="str">
        <f t="shared" si="49"/>
        <v/>
      </c>
      <c r="R385" s="4" t="str">
        <f t="shared" si="50"/>
        <v/>
      </c>
      <c r="S385" s="4" t="str">
        <f t="shared" si="51"/>
        <v/>
      </c>
      <c r="T385" s="4" t="str">
        <f>IFERROR(Q385*Setup!$C$26+R385*Setup!$D$26+S385*Setup!$E$26,"")</f>
        <v/>
      </c>
      <c r="U385" s="4" t="str">
        <f t="shared" si="53"/>
        <v/>
      </c>
      <c r="V385" s="4">
        <f t="shared" si="52"/>
        <v>90</v>
      </c>
    </row>
    <row r="386" spans="1:22" hidden="1" x14ac:dyDescent="0.25">
      <c r="A386" s="4" t="str">
        <f>IF(INPUT_CAD!A386="","",INPUT_CAD!A386)</f>
        <v/>
      </c>
      <c r="B386" s="4" t="str">
        <f>IF(INPUT_CAD!B386="","",INPUT_CAD!B386)</f>
        <v/>
      </c>
      <c r="C386" s="4" t="str">
        <f>IF(INPUT_CAD!C386="","",INPUT_CAD!C386)</f>
        <v/>
      </c>
      <c r="D386" s="4" t="str">
        <f>IF(INPUT_CAD!D386="","",INPUT_CAD!D386)</f>
        <v/>
      </c>
      <c r="E386" s="4" t="str">
        <f>IF(INPUT_CAD!E386="","",INPUT_CAD!E386)</f>
        <v/>
      </c>
      <c r="F386" s="4" t="str">
        <f>IF(INPUT_CAD!F386="","",INPUT_CAD!F386)</f>
        <v/>
      </c>
      <c r="G386" s="4" t="str">
        <f>IF(INPUT_CAD!G386="","",INPUT_CAD!G386)</f>
        <v/>
      </c>
      <c r="I386" s="4" t="str">
        <f t="shared" si="54"/>
        <v/>
      </c>
      <c r="J386" s="4" t="str">
        <f t="shared" si="55"/>
        <v/>
      </c>
      <c r="K386" s="4" t="str">
        <f t="shared" si="56"/>
        <v/>
      </c>
      <c r="L386" s="4" t="str">
        <f>IFERROR(VLOOKUP(ROUND(K386,0),correction_tag!$A$7:$C$253,3),"x")</f>
        <v>x</v>
      </c>
      <c r="N386" s="4">
        <f t="shared" si="48"/>
        <v>1</v>
      </c>
      <c r="O386" s="4">
        <f>IF(N385=0,O385+INPUT_CAD!$B$4,INPUT_CAD!$B$4)</f>
        <v>2</v>
      </c>
      <c r="Q386" s="4" t="str">
        <f t="shared" si="49"/>
        <v/>
      </c>
      <c r="R386" s="4" t="str">
        <f t="shared" si="50"/>
        <v/>
      </c>
      <c r="S386" s="4" t="str">
        <f t="shared" si="51"/>
        <v/>
      </c>
      <c r="T386" s="4" t="str">
        <f>IFERROR(Q386*Setup!$C$26+R386*Setup!$D$26+S386*Setup!$E$26,"")</f>
        <v/>
      </c>
      <c r="U386" s="4" t="str">
        <f t="shared" si="53"/>
        <v/>
      </c>
      <c r="V386" s="4">
        <f t="shared" si="52"/>
        <v>90</v>
      </c>
    </row>
    <row r="387" spans="1:22" hidden="1" x14ac:dyDescent="0.25">
      <c r="A387" s="4" t="str">
        <f>IF(INPUT_CAD!A387="","",INPUT_CAD!A387)</f>
        <v/>
      </c>
      <c r="B387" s="4" t="str">
        <f>IF(INPUT_CAD!B387="","",INPUT_CAD!B387)</f>
        <v/>
      </c>
      <c r="C387" s="4" t="str">
        <f>IF(INPUT_CAD!C387="","",INPUT_CAD!C387)</f>
        <v/>
      </c>
      <c r="D387" s="4" t="str">
        <f>IF(INPUT_CAD!D387="","",INPUT_CAD!D387)</f>
        <v/>
      </c>
      <c r="E387" s="4" t="str">
        <f>IF(INPUT_CAD!E387="","",INPUT_CAD!E387)</f>
        <v/>
      </c>
      <c r="F387" s="4" t="str">
        <f>IF(INPUT_CAD!F387="","",INPUT_CAD!F387)</f>
        <v/>
      </c>
      <c r="G387" s="4" t="str">
        <f>IF(INPUT_CAD!G387="","",INPUT_CAD!G387)</f>
        <v/>
      </c>
      <c r="I387" s="4" t="str">
        <f t="shared" si="54"/>
        <v/>
      </c>
      <c r="J387" s="4" t="str">
        <f t="shared" si="55"/>
        <v/>
      </c>
      <c r="K387" s="4" t="str">
        <f t="shared" si="56"/>
        <v/>
      </c>
      <c r="L387" s="4" t="str">
        <f>IFERROR(VLOOKUP(ROUND(K387,0),correction_tag!$A$7:$C$253,3),"x")</f>
        <v>x</v>
      </c>
      <c r="N387" s="4">
        <f t="shared" si="48"/>
        <v>1</v>
      </c>
      <c r="O387" s="4">
        <f>IF(N386=0,O386+INPUT_CAD!$B$4,INPUT_CAD!$B$4)</f>
        <v>2</v>
      </c>
      <c r="Q387" s="4" t="str">
        <f t="shared" si="49"/>
        <v/>
      </c>
      <c r="R387" s="4" t="str">
        <f t="shared" si="50"/>
        <v/>
      </c>
      <c r="S387" s="4" t="str">
        <f t="shared" si="51"/>
        <v/>
      </c>
      <c r="T387" s="4" t="str">
        <f>IFERROR(Q387*Setup!$C$26+R387*Setup!$D$26+S387*Setup!$E$26,"")</f>
        <v/>
      </c>
      <c r="U387" s="4" t="str">
        <f t="shared" si="53"/>
        <v/>
      </c>
      <c r="V387" s="4">
        <f t="shared" si="52"/>
        <v>90</v>
      </c>
    </row>
    <row r="388" spans="1:22" hidden="1" x14ac:dyDescent="0.25">
      <c r="A388" s="4" t="str">
        <f>IF(INPUT_CAD!A388="","",INPUT_CAD!A388)</f>
        <v/>
      </c>
      <c r="B388" s="4" t="str">
        <f>IF(INPUT_CAD!B388="","",INPUT_CAD!B388)</f>
        <v/>
      </c>
      <c r="C388" s="4" t="str">
        <f>IF(INPUT_CAD!C388="","",INPUT_CAD!C388)</f>
        <v/>
      </c>
      <c r="D388" s="4" t="str">
        <f>IF(INPUT_CAD!D388="","",INPUT_CAD!D388)</f>
        <v/>
      </c>
      <c r="E388" s="4" t="str">
        <f>IF(INPUT_CAD!E388="","",INPUT_CAD!E388)</f>
        <v/>
      </c>
      <c r="F388" s="4" t="str">
        <f>IF(INPUT_CAD!F388="","",INPUT_CAD!F388)</f>
        <v/>
      </c>
      <c r="G388" s="4" t="str">
        <f>IF(INPUT_CAD!G388="","",INPUT_CAD!G388)</f>
        <v/>
      </c>
      <c r="I388" s="4" t="str">
        <f t="shared" si="54"/>
        <v/>
      </c>
      <c r="J388" s="4" t="str">
        <f t="shared" si="55"/>
        <v/>
      </c>
      <c r="K388" s="4" t="str">
        <f t="shared" si="56"/>
        <v/>
      </c>
      <c r="L388" s="4" t="str">
        <f>IFERROR(VLOOKUP(ROUND(K388,0),correction_tag!$A$7:$C$253,3),"x")</f>
        <v>x</v>
      </c>
      <c r="N388" s="4">
        <f t="shared" si="48"/>
        <v>1</v>
      </c>
      <c r="O388" s="4">
        <f>IF(N387=0,O387+INPUT_CAD!$B$4,INPUT_CAD!$B$4)</f>
        <v>2</v>
      </c>
      <c r="Q388" s="4" t="str">
        <f t="shared" si="49"/>
        <v/>
      </c>
      <c r="R388" s="4" t="str">
        <f t="shared" si="50"/>
        <v/>
      </c>
      <c r="S388" s="4" t="str">
        <f t="shared" si="51"/>
        <v/>
      </c>
      <c r="T388" s="4" t="str">
        <f>IFERROR(Q388*Setup!$C$26+R388*Setup!$D$26+S388*Setup!$E$26,"")</f>
        <v/>
      </c>
      <c r="U388" s="4" t="str">
        <f t="shared" si="53"/>
        <v/>
      </c>
      <c r="V388" s="4">
        <f t="shared" si="52"/>
        <v>90</v>
      </c>
    </row>
    <row r="389" spans="1:22" hidden="1" x14ac:dyDescent="0.25">
      <c r="A389" s="4" t="str">
        <f>IF(INPUT_CAD!A389="","",INPUT_CAD!A389)</f>
        <v/>
      </c>
      <c r="B389" s="4" t="str">
        <f>IF(INPUT_CAD!B389="","",INPUT_CAD!B389)</f>
        <v/>
      </c>
      <c r="C389" s="4" t="str">
        <f>IF(INPUT_CAD!C389="","",INPUT_CAD!C389)</f>
        <v/>
      </c>
      <c r="D389" s="4" t="str">
        <f>IF(INPUT_CAD!D389="","",INPUT_CAD!D389)</f>
        <v/>
      </c>
      <c r="E389" s="4" t="str">
        <f>IF(INPUT_CAD!E389="","",INPUT_CAD!E389)</f>
        <v/>
      </c>
      <c r="F389" s="4" t="str">
        <f>IF(INPUT_CAD!F389="","",INPUT_CAD!F389)</f>
        <v/>
      </c>
      <c r="G389" s="4" t="str">
        <f>IF(INPUT_CAD!G389="","",INPUT_CAD!G389)</f>
        <v/>
      </c>
      <c r="I389" s="4" t="str">
        <f t="shared" si="54"/>
        <v/>
      </c>
      <c r="J389" s="4" t="str">
        <f t="shared" si="55"/>
        <v/>
      </c>
      <c r="K389" s="4" t="str">
        <f t="shared" si="56"/>
        <v/>
      </c>
      <c r="L389" s="4" t="str">
        <f>IFERROR(VLOOKUP(ROUND(K389,0),correction_tag!$A$7:$C$253,3),"x")</f>
        <v>x</v>
      </c>
      <c r="N389" s="4">
        <f t="shared" si="48"/>
        <v>1</v>
      </c>
      <c r="O389" s="4">
        <f>IF(N388=0,O388+INPUT_CAD!$B$4,INPUT_CAD!$B$4)</f>
        <v>2</v>
      </c>
      <c r="Q389" s="4" t="str">
        <f t="shared" si="49"/>
        <v/>
      </c>
      <c r="R389" s="4" t="str">
        <f t="shared" si="50"/>
        <v/>
      </c>
      <c r="S389" s="4" t="str">
        <f t="shared" si="51"/>
        <v/>
      </c>
      <c r="T389" s="4" t="str">
        <f>IFERROR(Q389*Setup!$C$26+R389*Setup!$D$26+S389*Setup!$E$26,"")</f>
        <v/>
      </c>
      <c r="U389" s="4" t="str">
        <f t="shared" si="53"/>
        <v/>
      </c>
      <c r="V389" s="4">
        <f t="shared" si="52"/>
        <v>90</v>
      </c>
    </row>
    <row r="390" spans="1:22" hidden="1" x14ac:dyDescent="0.25">
      <c r="A390" s="4" t="str">
        <f>IF(INPUT_CAD!A390="","",INPUT_CAD!A390)</f>
        <v/>
      </c>
      <c r="B390" s="4" t="str">
        <f>IF(INPUT_CAD!B390="","",INPUT_CAD!B390)</f>
        <v/>
      </c>
      <c r="C390" s="4" t="str">
        <f>IF(INPUT_CAD!C390="","",INPUT_CAD!C390)</f>
        <v/>
      </c>
      <c r="D390" s="4" t="str">
        <f>IF(INPUT_CAD!D390="","",INPUT_CAD!D390)</f>
        <v/>
      </c>
      <c r="E390" s="4" t="str">
        <f>IF(INPUT_CAD!E390="","",INPUT_CAD!E390)</f>
        <v/>
      </c>
      <c r="F390" s="4" t="str">
        <f>IF(INPUT_CAD!F390="","",INPUT_CAD!F390)</f>
        <v/>
      </c>
      <c r="G390" s="4" t="str">
        <f>IF(INPUT_CAD!G390="","",INPUT_CAD!G390)</f>
        <v/>
      </c>
      <c r="I390" s="4" t="str">
        <f t="shared" si="54"/>
        <v/>
      </c>
      <c r="J390" s="4" t="str">
        <f t="shared" si="55"/>
        <v/>
      </c>
      <c r="K390" s="4" t="str">
        <f t="shared" si="56"/>
        <v/>
      </c>
      <c r="L390" s="4" t="str">
        <f>IFERROR(VLOOKUP(ROUND(K390,0),correction_tag!$A$7:$C$253,3),"x")</f>
        <v>x</v>
      </c>
      <c r="N390" s="4">
        <f t="shared" si="48"/>
        <v>1</v>
      </c>
      <c r="O390" s="4">
        <f>IF(N389=0,O389+INPUT_CAD!$B$4,INPUT_CAD!$B$4)</f>
        <v>2</v>
      </c>
      <c r="Q390" s="4" t="str">
        <f t="shared" si="49"/>
        <v/>
      </c>
      <c r="R390" s="4" t="str">
        <f t="shared" si="50"/>
        <v/>
      </c>
      <c r="S390" s="4" t="str">
        <f t="shared" si="51"/>
        <v/>
      </c>
      <c r="T390" s="4" t="str">
        <f>IFERROR(Q390*Setup!$C$26+R390*Setup!$D$26+S390*Setup!$E$26,"")</f>
        <v/>
      </c>
      <c r="U390" s="4" t="str">
        <f t="shared" si="53"/>
        <v/>
      </c>
      <c r="V390" s="4">
        <f t="shared" si="52"/>
        <v>90</v>
      </c>
    </row>
    <row r="391" spans="1:22" hidden="1" x14ac:dyDescent="0.25">
      <c r="A391" s="4" t="str">
        <f>IF(INPUT_CAD!A391="","",INPUT_CAD!A391)</f>
        <v/>
      </c>
      <c r="B391" s="4" t="str">
        <f>IF(INPUT_CAD!B391="","",INPUT_CAD!B391)</f>
        <v/>
      </c>
      <c r="C391" s="4" t="str">
        <f>IF(INPUT_CAD!C391="","",INPUT_CAD!C391)</f>
        <v/>
      </c>
      <c r="D391" s="4" t="str">
        <f>IF(INPUT_CAD!D391="","",INPUT_CAD!D391)</f>
        <v/>
      </c>
      <c r="E391" s="4" t="str">
        <f>IF(INPUT_CAD!E391="","",INPUT_CAD!E391)</f>
        <v/>
      </c>
      <c r="F391" s="4" t="str">
        <f>IF(INPUT_CAD!F391="","",INPUT_CAD!F391)</f>
        <v/>
      </c>
      <c r="G391" s="4" t="str">
        <f>IF(INPUT_CAD!G391="","",INPUT_CAD!G391)</f>
        <v/>
      </c>
      <c r="I391" s="4" t="str">
        <f t="shared" si="54"/>
        <v/>
      </c>
      <c r="J391" s="4" t="str">
        <f t="shared" si="55"/>
        <v/>
      </c>
      <c r="K391" s="4" t="str">
        <f t="shared" si="56"/>
        <v/>
      </c>
      <c r="L391" s="4" t="str">
        <f>IFERROR(VLOOKUP(ROUND(K391,0),correction_tag!$A$7:$C$253,3),"x")</f>
        <v>x</v>
      </c>
      <c r="N391" s="4">
        <f t="shared" si="48"/>
        <v>1</v>
      </c>
      <c r="O391" s="4">
        <f>IF(N390=0,O390+INPUT_CAD!$B$4,INPUT_CAD!$B$4)</f>
        <v>2</v>
      </c>
      <c r="Q391" s="4" t="str">
        <f t="shared" si="49"/>
        <v/>
      </c>
      <c r="R391" s="4" t="str">
        <f t="shared" si="50"/>
        <v/>
      </c>
      <c r="S391" s="4" t="str">
        <f t="shared" si="51"/>
        <v/>
      </c>
      <c r="T391" s="4" t="str">
        <f>IFERROR(Q391*Setup!$C$26+R391*Setup!$D$26+S391*Setup!$E$26,"")</f>
        <v/>
      </c>
      <c r="U391" s="4" t="str">
        <f t="shared" si="53"/>
        <v/>
      </c>
      <c r="V391" s="4">
        <f t="shared" si="52"/>
        <v>90</v>
      </c>
    </row>
    <row r="392" spans="1:22" hidden="1" x14ac:dyDescent="0.25">
      <c r="A392" s="4" t="str">
        <f>IF(INPUT_CAD!A392="","",INPUT_CAD!A392)</f>
        <v/>
      </c>
      <c r="B392" s="4" t="str">
        <f>IF(INPUT_CAD!B392="","",INPUT_CAD!B392)</f>
        <v/>
      </c>
      <c r="C392" s="4" t="str">
        <f>IF(INPUT_CAD!C392="","",INPUT_CAD!C392)</f>
        <v/>
      </c>
      <c r="D392" s="4" t="str">
        <f>IF(INPUT_CAD!D392="","",INPUT_CAD!D392)</f>
        <v/>
      </c>
      <c r="E392" s="4" t="str">
        <f>IF(INPUT_CAD!E392="","",INPUT_CAD!E392)</f>
        <v/>
      </c>
      <c r="F392" s="4" t="str">
        <f>IF(INPUT_CAD!F392="","",INPUT_CAD!F392)</f>
        <v/>
      </c>
      <c r="G392" s="4" t="str">
        <f>IF(INPUT_CAD!G392="","",INPUT_CAD!G392)</f>
        <v/>
      </c>
      <c r="I392" s="4" t="str">
        <f t="shared" si="54"/>
        <v/>
      </c>
      <c r="J392" s="4" t="str">
        <f t="shared" si="55"/>
        <v/>
      </c>
      <c r="K392" s="4" t="str">
        <f t="shared" si="56"/>
        <v/>
      </c>
      <c r="L392" s="4" t="str">
        <f>IFERROR(VLOOKUP(ROUND(K392,0),correction_tag!$A$7:$C$253,3),"x")</f>
        <v>x</v>
      </c>
      <c r="N392" s="4">
        <f t="shared" si="48"/>
        <v>1</v>
      </c>
      <c r="O392" s="4">
        <f>IF(N391=0,O391+INPUT_CAD!$B$4,INPUT_CAD!$B$4)</f>
        <v>2</v>
      </c>
      <c r="Q392" s="4" t="str">
        <f t="shared" si="49"/>
        <v/>
      </c>
      <c r="R392" s="4" t="str">
        <f t="shared" si="50"/>
        <v/>
      </c>
      <c r="S392" s="4" t="str">
        <f t="shared" si="51"/>
        <v/>
      </c>
      <c r="T392" s="4" t="str">
        <f>IFERROR(Q392*Setup!$C$26+R392*Setup!$D$26+S392*Setup!$E$26,"")</f>
        <v/>
      </c>
      <c r="U392" s="4" t="str">
        <f t="shared" si="53"/>
        <v/>
      </c>
      <c r="V392" s="4">
        <f t="shared" si="52"/>
        <v>90</v>
      </c>
    </row>
    <row r="393" spans="1:22" hidden="1" x14ac:dyDescent="0.25">
      <c r="A393" s="4" t="str">
        <f>IF(INPUT_CAD!A393="","",INPUT_CAD!A393)</f>
        <v/>
      </c>
      <c r="B393" s="4" t="str">
        <f>IF(INPUT_CAD!B393="","",INPUT_CAD!B393)</f>
        <v/>
      </c>
      <c r="C393" s="4" t="str">
        <f>IF(INPUT_CAD!C393="","",INPUT_CAD!C393)</f>
        <v/>
      </c>
      <c r="D393" s="4" t="str">
        <f>IF(INPUT_CAD!D393="","",INPUT_CAD!D393)</f>
        <v/>
      </c>
      <c r="E393" s="4" t="str">
        <f>IF(INPUT_CAD!E393="","",INPUT_CAD!E393)</f>
        <v/>
      </c>
      <c r="F393" s="4" t="str">
        <f>IF(INPUT_CAD!F393="","",INPUT_CAD!F393)</f>
        <v/>
      </c>
      <c r="G393" s="4" t="str">
        <f>IF(INPUT_CAD!G393="","",INPUT_CAD!G393)</f>
        <v/>
      </c>
      <c r="I393" s="4" t="str">
        <f t="shared" si="54"/>
        <v/>
      </c>
      <c r="J393" s="4" t="str">
        <f t="shared" si="55"/>
        <v/>
      </c>
      <c r="K393" s="4" t="str">
        <f t="shared" si="56"/>
        <v/>
      </c>
      <c r="L393" s="4" t="str">
        <f>IFERROR(VLOOKUP(ROUND(K393,0),correction_tag!$A$7:$C$253,3),"x")</f>
        <v>x</v>
      </c>
      <c r="N393" s="4">
        <f t="shared" si="48"/>
        <v>1</v>
      </c>
      <c r="O393" s="4">
        <f>IF(N392=0,O392+INPUT_CAD!$B$4,INPUT_CAD!$B$4)</f>
        <v>2</v>
      </c>
      <c r="Q393" s="4" t="str">
        <f t="shared" si="49"/>
        <v/>
      </c>
      <c r="R393" s="4" t="str">
        <f t="shared" si="50"/>
        <v/>
      </c>
      <c r="S393" s="4" t="str">
        <f t="shared" si="51"/>
        <v/>
      </c>
      <c r="T393" s="4" t="str">
        <f>IFERROR(Q393*Setup!$C$26+R393*Setup!$D$26+S393*Setup!$E$26,"")</f>
        <v/>
      </c>
      <c r="U393" s="4" t="str">
        <f t="shared" si="53"/>
        <v/>
      </c>
      <c r="V393" s="4">
        <f t="shared" si="52"/>
        <v>90</v>
      </c>
    </row>
    <row r="394" spans="1:22" hidden="1" x14ac:dyDescent="0.25">
      <c r="A394" s="4" t="str">
        <f>IF(INPUT_CAD!A394="","",INPUT_CAD!A394)</f>
        <v/>
      </c>
      <c r="B394" s="4" t="str">
        <f>IF(INPUT_CAD!B394="","",INPUT_CAD!B394)</f>
        <v/>
      </c>
      <c r="C394" s="4" t="str">
        <f>IF(INPUT_CAD!C394="","",INPUT_CAD!C394)</f>
        <v/>
      </c>
      <c r="D394" s="4" t="str">
        <f>IF(INPUT_CAD!D394="","",INPUT_CAD!D394)</f>
        <v/>
      </c>
      <c r="E394" s="4" t="str">
        <f>IF(INPUT_CAD!E394="","",INPUT_CAD!E394)</f>
        <v/>
      </c>
      <c r="F394" s="4" t="str">
        <f>IF(INPUT_CAD!F394="","",INPUT_CAD!F394)</f>
        <v/>
      </c>
      <c r="G394" s="4" t="str">
        <f>IF(INPUT_CAD!G394="","",INPUT_CAD!G394)</f>
        <v/>
      </c>
      <c r="I394" s="4" t="str">
        <f t="shared" si="54"/>
        <v/>
      </c>
      <c r="J394" s="4" t="str">
        <f t="shared" si="55"/>
        <v/>
      </c>
      <c r="K394" s="4" t="str">
        <f t="shared" si="56"/>
        <v/>
      </c>
      <c r="L394" s="4" t="str">
        <f>IFERROR(VLOOKUP(ROUND(K394,0),correction_tag!$A$7:$C$253,3),"x")</f>
        <v>x</v>
      </c>
      <c r="N394" s="4">
        <f t="shared" si="48"/>
        <v>1</v>
      </c>
      <c r="O394" s="4">
        <f>IF(N393=0,O393+INPUT_CAD!$B$4,INPUT_CAD!$B$4)</f>
        <v>2</v>
      </c>
      <c r="Q394" s="4" t="str">
        <f t="shared" si="49"/>
        <v/>
      </c>
      <c r="R394" s="4" t="str">
        <f t="shared" si="50"/>
        <v/>
      </c>
      <c r="S394" s="4" t="str">
        <f t="shared" si="51"/>
        <v/>
      </c>
      <c r="T394" s="4" t="str">
        <f>IFERROR(Q394*Setup!$C$26+R394*Setup!$D$26+S394*Setup!$E$26,"")</f>
        <v/>
      </c>
      <c r="U394" s="4" t="str">
        <f t="shared" si="53"/>
        <v/>
      </c>
      <c r="V394" s="4">
        <f t="shared" si="52"/>
        <v>90</v>
      </c>
    </row>
    <row r="395" spans="1:22" hidden="1" x14ac:dyDescent="0.25">
      <c r="A395" s="4" t="str">
        <f>IF(INPUT_CAD!A395="","",INPUT_CAD!A395)</f>
        <v/>
      </c>
      <c r="B395" s="4" t="str">
        <f>IF(INPUT_CAD!B395="","",INPUT_CAD!B395)</f>
        <v/>
      </c>
      <c r="C395" s="4" t="str">
        <f>IF(INPUT_CAD!C395="","",INPUT_CAD!C395)</f>
        <v/>
      </c>
      <c r="D395" s="4" t="str">
        <f>IF(INPUT_CAD!D395="","",INPUT_CAD!D395)</f>
        <v/>
      </c>
      <c r="E395" s="4" t="str">
        <f>IF(INPUT_CAD!E395="","",INPUT_CAD!E395)</f>
        <v/>
      </c>
      <c r="F395" s="4" t="str">
        <f>IF(INPUT_CAD!F395="","",INPUT_CAD!F395)</f>
        <v/>
      </c>
      <c r="G395" s="4" t="str">
        <f>IF(INPUT_CAD!G395="","",INPUT_CAD!G395)</f>
        <v/>
      </c>
      <c r="I395" s="4" t="str">
        <f t="shared" si="54"/>
        <v/>
      </c>
      <c r="J395" s="4" t="str">
        <f t="shared" si="55"/>
        <v/>
      </c>
      <c r="K395" s="4" t="str">
        <f t="shared" si="56"/>
        <v/>
      </c>
      <c r="L395" s="4" t="str">
        <f>IFERROR(VLOOKUP(ROUND(K395,0),correction_tag!$A$7:$C$253,3),"x")</f>
        <v>x</v>
      </c>
      <c r="N395" s="4">
        <f t="shared" ref="N395:N458" si="57">IF(AND(K395&lt;&gt;0,K395&lt;&gt;"x"), 1,0)</f>
        <v>1</v>
      </c>
      <c r="O395" s="4">
        <f>IF(N394=0,O394+INPUT_CAD!$B$4,INPUT_CAD!$B$4)</f>
        <v>2</v>
      </c>
      <c r="Q395" s="4" t="str">
        <f t="shared" ref="Q395:Q458" si="58">IFERROR(F394*G395-G394*F395,"")</f>
        <v/>
      </c>
      <c r="R395" s="4" t="str">
        <f t="shared" ref="R395:R458" si="59">IFERROR(G394*E395-E394*G395,"")</f>
        <v/>
      </c>
      <c r="S395" s="4" t="str">
        <f t="shared" ref="S395:S458" si="60">IFERROR(E394*F395-F394*E395,"")</f>
        <v/>
      </c>
      <c r="T395" s="4" t="str">
        <f>IFERROR(Q395*Setup!$C$26+R395*Setup!$D$26+S395*Setup!$E$26,"")</f>
        <v/>
      </c>
      <c r="U395" s="4" t="str">
        <f t="shared" si="53"/>
        <v/>
      </c>
      <c r="V395" s="4">
        <f t="shared" ref="V395:V458" si="61">IFERROR(DEGREES(ACOS(T395/(U394*U395))),90)</f>
        <v>90</v>
      </c>
    </row>
    <row r="396" spans="1:22" hidden="1" x14ac:dyDescent="0.25">
      <c r="A396" s="4" t="str">
        <f>IF(INPUT_CAD!A396="","",INPUT_CAD!A396)</f>
        <v/>
      </c>
      <c r="B396" s="4" t="str">
        <f>IF(INPUT_CAD!B396="","",INPUT_CAD!B396)</f>
        <v/>
      </c>
      <c r="C396" s="4" t="str">
        <f>IF(INPUT_CAD!C396="","",INPUT_CAD!C396)</f>
        <v/>
      </c>
      <c r="D396" s="4" t="str">
        <f>IF(INPUT_CAD!D396="","",INPUT_CAD!D396)</f>
        <v/>
      </c>
      <c r="E396" s="4" t="str">
        <f>IF(INPUT_CAD!E396="","",INPUT_CAD!E396)</f>
        <v/>
      </c>
      <c r="F396" s="4" t="str">
        <f>IF(INPUT_CAD!F396="","",INPUT_CAD!F396)</f>
        <v/>
      </c>
      <c r="G396" s="4" t="str">
        <f>IF(INPUT_CAD!G396="","",INPUT_CAD!G396)</f>
        <v/>
      </c>
      <c r="I396" s="4" t="str">
        <f t="shared" si="54"/>
        <v/>
      </c>
      <c r="J396" s="4" t="str">
        <f t="shared" si="55"/>
        <v/>
      </c>
      <c r="K396" s="4" t="str">
        <f t="shared" si="56"/>
        <v/>
      </c>
      <c r="L396" s="4" t="str">
        <f>IFERROR(VLOOKUP(ROUND(K396,0),correction_tag!$A$7:$C$253,3),"x")</f>
        <v>x</v>
      </c>
      <c r="N396" s="4">
        <f t="shared" si="57"/>
        <v>1</v>
      </c>
      <c r="O396" s="4">
        <f>IF(N395=0,O395+INPUT_CAD!$B$4,INPUT_CAD!$B$4)</f>
        <v>2</v>
      </c>
      <c r="Q396" s="4" t="str">
        <f t="shared" si="58"/>
        <v/>
      </c>
      <c r="R396" s="4" t="str">
        <f t="shared" si="59"/>
        <v/>
      </c>
      <c r="S396" s="4" t="str">
        <f t="shared" si="60"/>
        <v/>
      </c>
      <c r="T396" s="4" t="str">
        <f>IFERROR(Q396*Setup!$C$26+R396*Setup!$D$26+S396*Setup!$E$26,"")</f>
        <v/>
      </c>
      <c r="U396" s="4" t="str">
        <f t="shared" ref="U396:U459" si="62">IFERROR(SQRT(Q396^2+R396^2+S396^2),"")</f>
        <v/>
      </c>
      <c r="V396" s="4">
        <f t="shared" si="61"/>
        <v>90</v>
      </c>
    </row>
    <row r="397" spans="1:22" hidden="1" x14ac:dyDescent="0.25">
      <c r="A397" s="4" t="str">
        <f>IF(INPUT_CAD!A397="","",INPUT_CAD!A397)</f>
        <v/>
      </c>
      <c r="B397" s="4" t="str">
        <f>IF(INPUT_CAD!B397="","",INPUT_CAD!B397)</f>
        <v/>
      </c>
      <c r="C397" s="4" t="str">
        <f>IF(INPUT_CAD!C397="","",INPUT_CAD!C397)</f>
        <v/>
      </c>
      <c r="D397" s="4" t="str">
        <f>IF(INPUT_CAD!D397="","",INPUT_CAD!D397)</f>
        <v/>
      </c>
      <c r="E397" s="4" t="str">
        <f>IF(INPUT_CAD!E397="","",INPUT_CAD!E397)</f>
        <v/>
      </c>
      <c r="F397" s="4" t="str">
        <f>IF(INPUT_CAD!F397="","",INPUT_CAD!F397)</f>
        <v/>
      </c>
      <c r="G397" s="4" t="str">
        <f>IF(INPUT_CAD!G397="","",INPUT_CAD!G397)</f>
        <v/>
      </c>
      <c r="I397" s="4" t="str">
        <f t="shared" si="54"/>
        <v/>
      </c>
      <c r="J397" s="4" t="str">
        <f t="shared" si="55"/>
        <v/>
      </c>
      <c r="K397" s="4" t="str">
        <f t="shared" si="56"/>
        <v/>
      </c>
      <c r="L397" s="4" t="str">
        <f>IFERROR(VLOOKUP(ROUND(K397,0),correction_tag!$A$7:$C$253,3),"x")</f>
        <v>x</v>
      </c>
      <c r="N397" s="4">
        <f t="shared" si="57"/>
        <v>1</v>
      </c>
      <c r="O397" s="4">
        <f>IF(N396=0,O396+INPUT_CAD!$B$4,INPUT_CAD!$B$4)</f>
        <v>2</v>
      </c>
      <c r="Q397" s="4" t="str">
        <f t="shared" si="58"/>
        <v/>
      </c>
      <c r="R397" s="4" t="str">
        <f t="shared" si="59"/>
        <v/>
      </c>
      <c r="S397" s="4" t="str">
        <f t="shared" si="60"/>
        <v/>
      </c>
      <c r="T397" s="4" t="str">
        <f>IFERROR(Q397*Setup!$C$26+R397*Setup!$D$26+S397*Setup!$E$26,"")</f>
        <v/>
      </c>
      <c r="U397" s="4" t="str">
        <f t="shared" si="62"/>
        <v/>
      </c>
      <c r="V397" s="4">
        <f t="shared" si="61"/>
        <v>90</v>
      </c>
    </row>
    <row r="398" spans="1:22" hidden="1" x14ac:dyDescent="0.25">
      <c r="A398" s="4" t="str">
        <f>IF(INPUT_CAD!A398="","",INPUT_CAD!A398)</f>
        <v/>
      </c>
      <c r="B398" s="4" t="str">
        <f>IF(INPUT_CAD!B398="","",INPUT_CAD!B398)</f>
        <v/>
      </c>
      <c r="C398" s="4" t="str">
        <f>IF(INPUT_CAD!C398="","",INPUT_CAD!C398)</f>
        <v/>
      </c>
      <c r="D398" s="4" t="str">
        <f>IF(INPUT_CAD!D398="","",INPUT_CAD!D398)</f>
        <v/>
      </c>
      <c r="E398" s="4" t="str">
        <f>IF(INPUT_CAD!E398="","",INPUT_CAD!E398)</f>
        <v/>
      </c>
      <c r="F398" s="4" t="str">
        <f>IF(INPUT_CAD!F398="","",INPUT_CAD!F398)</f>
        <v/>
      </c>
      <c r="G398" s="4" t="str">
        <f>IF(INPUT_CAD!G398="","",INPUT_CAD!G398)</f>
        <v/>
      </c>
      <c r="I398" s="4" t="str">
        <f t="shared" si="54"/>
        <v/>
      </c>
      <c r="J398" s="4" t="str">
        <f t="shared" si="55"/>
        <v/>
      </c>
      <c r="K398" s="4" t="str">
        <f t="shared" si="56"/>
        <v/>
      </c>
      <c r="L398" s="4" t="str">
        <f>IFERROR(VLOOKUP(ROUND(K398,0),correction_tag!$A$7:$C$253,3),"x")</f>
        <v>x</v>
      </c>
      <c r="N398" s="4">
        <f t="shared" si="57"/>
        <v>1</v>
      </c>
      <c r="O398" s="4">
        <f>IF(N397=0,O397+INPUT_CAD!$B$4,INPUT_CAD!$B$4)</f>
        <v>2</v>
      </c>
      <c r="Q398" s="4" t="str">
        <f t="shared" si="58"/>
        <v/>
      </c>
      <c r="R398" s="4" t="str">
        <f t="shared" si="59"/>
        <v/>
      </c>
      <c r="S398" s="4" t="str">
        <f t="shared" si="60"/>
        <v/>
      </c>
      <c r="T398" s="4" t="str">
        <f>IFERROR(Q398*Setup!$C$26+R398*Setup!$D$26+S398*Setup!$E$26,"")</f>
        <v/>
      </c>
      <c r="U398" s="4" t="str">
        <f t="shared" si="62"/>
        <v/>
      </c>
      <c r="V398" s="4">
        <f t="shared" si="61"/>
        <v>90</v>
      </c>
    </row>
    <row r="399" spans="1:22" hidden="1" x14ac:dyDescent="0.25">
      <c r="A399" s="4" t="str">
        <f>IF(INPUT_CAD!A399="","",INPUT_CAD!A399)</f>
        <v/>
      </c>
      <c r="B399" s="4" t="str">
        <f>IF(INPUT_CAD!B399="","",INPUT_CAD!B399)</f>
        <v/>
      </c>
      <c r="C399" s="4" t="str">
        <f>IF(INPUT_CAD!C399="","",INPUT_CAD!C399)</f>
        <v/>
      </c>
      <c r="D399" s="4" t="str">
        <f>IF(INPUT_CAD!D399="","",INPUT_CAD!D399)</f>
        <v/>
      </c>
      <c r="E399" s="4" t="str">
        <f>IF(INPUT_CAD!E399="","",INPUT_CAD!E399)</f>
        <v/>
      </c>
      <c r="F399" s="4" t="str">
        <f>IF(INPUT_CAD!F399="","",INPUT_CAD!F399)</f>
        <v/>
      </c>
      <c r="G399" s="4" t="str">
        <f>IF(INPUT_CAD!G399="","",INPUT_CAD!G399)</f>
        <v/>
      </c>
      <c r="I399" s="4" t="str">
        <f t="shared" si="54"/>
        <v/>
      </c>
      <c r="J399" s="4" t="str">
        <f t="shared" si="55"/>
        <v/>
      </c>
      <c r="K399" s="4" t="str">
        <f t="shared" si="56"/>
        <v/>
      </c>
      <c r="L399" s="4" t="str">
        <f>IFERROR(VLOOKUP(ROUND(K399,0),correction_tag!$A$7:$C$253,3),"x")</f>
        <v>x</v>
      </c>
      <c r="N399" s="4">
        <f t="shared" si="57"/>
        <v>1</v>
      </c>
      <c r="O399" s="4">
        <f>IF(N398=0,O398+INPUT_CAD!$B$4,INPUT_CAD!$B$4)</f>
        <v>2</v>
      </c>
      <c r="Q399" s="4" t="str">
        <f t="shared" si="58"/>
        <v/>
      </c>
      <c r="R399" s="4" t="str">
        <f t="shared" si="59"/>
        <v/>
      </c>
      <c r="S399" s="4" t="str">
        <f t="shared" si="60"/>
        <v/>
      </c>
      <c r="T399" s="4" t="str">
        <f>IFERROR(Q399*Setup!$C$26+R399*Setup!$D$26+S399*Setup!$E$26,"")</f>
        <v/>
      </c>
      <c r="U399" s="4" t="str">
        <f t="shared" si="62"/>
        <v/>
      </c>
      <c r="V399" s="4">
        <f t="shared" si="61"/>
        <v>90</v>
      </c>
    </row>
    <row r="400" spans="1:22" hidden="1" x14ac:dyDescent="0.25">
      <c r="A400" s="4" t="str">
        <f>IF(INPUT_CAD!A400="","",INPUT_CAD!A400)</f>
        <v/>
      </c>
      <c r="B400" s="4" t="str">
        <f>IF(INPUT_CAD!B400="","",INPUT_CAD!B400)</f>
        <v/>
      </c>
      <c r="C400" s="4" t="str">
        <f>IF(INPUT_CAD!C400="","",INPUT_CAD!C400)</f>
        <v/>
      </c>
      <c r="D400" s="4" t="str">
        <f>IF(INPUT_CAD!D400="","",INPUT_CAD!D400)</f>
        <v/>
      </c>
      <c r="E400" s="4" t="str">
        <f>IF(INPUT_CAD!E400="","",INPUT_CAD!E400)</f>
        <v/>
      </c>
      <c r="F400" s="4" t="str">
        <f>IF(INPUT_CAD!F400="","",INPUT_CAD!F400)</f>
        <v/>
      </c>
      <c r="G400" s="4" t="str">
        <f>IF(INPUT_CAD!G400="","",INPUT_CAD!G400)</f>
        <v/>
      </c>
      <c r="I400" s="4" t="str">
        <f t="shared" si="54"/>
        <v/>
      </c>
      <c r="J400" s="4" t="str">
        <f t="shared" si="55"/>
        <v/>
      </c>
      <c r="K400" s="4" t="str">
        <f t="shared" si="56"/>
        <v/>
      </c>
      <c r="L400" s="4" t="str">
        <f>IFERROR(VLOOKUP(ROUND(K400,0),correction_tag!$A$7:$C$253,3),"x")</f>
        <v>x</v>
      </c>
      <c r="N400" s="4">
        <f t="shared" si="57"/>
        <v>1</v>
      </c>
      <c r="O400" s="4">
        <f>IF(N399=0,O399+INPUT_CAD!$B$4,INPUT_CAD!$B$4)</f>
        <v>2</v>
      </c>
      <c r="Q400" s="4" t="str">
        <f t="shared" si="58"/>
        <v/>
      </c>
      <c r="R400" s="4" t="str">
        <f t="shared" si="59"/>
        <v/>
      </c>
      <c r="S400" s="4" t="str">
        <f t="shared" si="60"/>
        <v/>
      </c>
      <c r="T400" s="4" t="str">
        <f>IFERROR(Q400*Setup!$C$26+R400*Setup!$D$26+S400*Setup!$E$26,"")</f>
        <v/>
      </c>
      <c r="U400" s="4" t="str">
        <f t="shared" si="62"/>
        <v/>
      </c>
      <c r="V400" s="4">
        <f t="shared" si="61"/>
        <v>90</v>
      </c>
    </row>
    <row r="401" spans="1:22" hidden="1" x14ac:dyDescent="0.25">
      <c r="A401" s="4" t="str">
        <f>IF(INPUT_CAD!A401="","",INPUT_CAD!A401)</f>
        <v/>
      </c>
      <c r="B401" s="4" t="str">
        <f>IF(INPUT_CAD!B401="","",INPUT_CAD!B401)</f>
        <v/>
      </c>
      <c r="C401" s="4" t="str">
        <f>IF(INPUT_CAD!C401="","",INPUT_CAD!C401)</f>
        <v/>
      </c>
      <c r="D401" s="4" t="str">
        <f>IF(INPUT_CAD!D401="","",INPUT_CAD!D401)</f>
        <v/>
      </c>
      <c r="E401" s="4" t="str">
        <f>IF(INPUT_CAD!E401="","",INPUT_CAD!E401)</f>
        <v/>
      </c>
      <c r="F401" s="4" t="str">
        <f>IF(INPUT_CAD!F401="","",INPUT_CAD!F401)</f>
        <v/>
      </c>
      <c r="G401" s="4" t="str">
        <f>IF(INPUT_CAD!G401="","",INPUT_CAD!G401)</f>
        <v/>
      </c>
      <c r="I401" s="4" t="str">
        <f t="shared" si="54"/>
        <v/>
      </c>
      <c r="J401" s="4" t="str">
        <f t="shared" si="55"/>
        <v/>
      </c>
      <c r="K401" s="4" t="str">
        <f t="shared" si="56"/>
        <v/>
      </c>
      <c r="L401" s="4" t="str">
        <f>IFERROR(VLOOKUP(ROUND(K401,0),correction_tag!$A$7:$C$253,3),"x")</f>
        <v>x</v>
      </c>
      <c r="N401" s="4">
        <f t="shared" si="57"/>
        <v>1</v>
      </c>
      <c r="O401" s="4">
        <f>IF(N400=0,O400+INPUT_CAD!$B$4,INPUT_CAD!$B$4)</f>
        <v>2</v>
      </c>
      <c r="Q401" s="4" t="str">
        <f t="shared" si="58"/>
        <v/>
      </c>
      <c r="R401" s="4" t="str">
        <f t="shared" si="59"/>
        <v/>
      </c>
      <c r="S401" s="4" t="str">
        <f t="shared" si="60"/>
        <v/>
      </c>
      <c r="T401" s="4" t="str">
        <f>IFERROR(Q401*Setup!$C$26+R401*Setup!$D$26+S401*Setup!$E$26,"")</f>
        <v/>
      </c>
      <c r="U401" s="4" t="str">
        <f t="shared" si="62"/>
        <v/>
      </c>
      <c r="V401" s="4">
        <f t="shared" si="61"/>
        <v>90</v>
      </c>
    </row>
    <row r="402" spans="1:22" hidden="1" x14ac:dyDescent="0.25">
      <c r="A402" s="4" t="str">
        <f>IF(INPUT_CAD!A402="","",INPUT_CAD!A402)</f>
        <v/>
      </c>
      <c r="B402" s="4" t="str">
        <f>IF(INPUT_CAD!B402="","",INPUT_CAD!B402)</f>
        <v/>
      </c>
      <c r="C402" s="4" t="str">
        <f>IF(INPUT_CAD!C402="","",INPUT_CAD!C402)</f>
        <v/>
      </c>
      <c r="D402" s="4" t="str">
        <f>IF(INPUT_CAD!D402="","",INPUT_CAD!D402)</f>
        <v/>
      </c>
      <c r="E402" s="4" t="str">
        <f>IF(INPUT_CAD!E402="","",INPUT_CAD!E402)</f>
        <v/>
      </c>
      <c r="F402" s="4" t="str">
        <f>IF(INPUT_CAD!F402="","",INPUT_CAD!F402)</f>
        <v/>
      </c>
      <c r="G402" s="4" t="str">
        <f>IF(INPUT_CAD!G402="","",INPUT_CAD!G402)</f>
        <v/>
      </c>
      <c r="I402" s="4" t="str">
        <f t="shared" si="54"/>
        <v/>
      </c>
      <c r="J402" s="4" t="str">
        <f t="shared" si="55"/>
        <v/>
      </c>
      <c r="K402" s="4" t="str">
        <f t="shared" si="56"/>
        <v/>
      </c>
      <c r="L402" s="4" t="str">
        <f>IFERROR(VLOOKUP(ROUND(K402,0),correction_tag!$A$7:$C$253,3),"x")</f>
        <v>x</v>
      </c>
      <c r="N402" s="4">
        <f t="shared" si="57"/>
        <v>1</v>
      </c>
      <c r="O402" s="4">
        <f>IF(N401=0,O401+INPUT_CAD!$B$4,INPUT_CAD!$B$4)</f>
        <v>2</v>
      </c>
      <c r="Q402" s="4" t="str">
        <f t="shared" si="58"/>
        <v/>
      </c>
      <c r="R402" s="4" t="str">
        <f t="shared" si="59"/>
        <v/>
      </c>
      <c r="S402" s="4" t="str">
        <f t="shared" si="60"/>
        <v/>
      </c>
      <c r="T402" s="4" t="str">
        <f>IFERROR(Q402*Setup!$C$26+R402*Setup!$D$26+S402*Setup!$E$26,"")</f>
        <v/>
      </c>
      <c r="U402" s="4" t="str">
        <f t="shared" si="62"/>
        <v/>
      </c>
      <c r="V402" s="4">
        <f t="shared" si="61"/>
        <v>90</v>
      </c>
    </row>
    <row r="403" spans="1:22" hidden="1" x14ac:dyDescent="0.25">
      <c r="A403" s="4" t="str">
        <f>IF(INPUT_CAD!A403="","",INPUT_CAD!A403)</f>
        <v/>
      </c>
      <c r="B403" s="4" t="str">
        <f>IF(INPUT_CAD!B403="","",INPUT_CAD!B403)</f>
        <v/>
      </c>
      <c r="C403" s="4" t="str">
        <f>IF(INPUT_CAD!C403="","",INPUT_CAD!C403)</f>
        <v/>
      </c>
      <c r="D403" s="4" t="str">
        <f>IF(INPUT_CAD!D403="","",INPUT_CAD!D403)</f>
        <v/>
      </c>
      <c r="E403" s="4" t="str">
        <f>IF(INPUT_CAD!E403="","",INPUT_CAD!E403)</f>
        <v/>
      </c>
      <c r="F403" s="4" t="str">
        <f>IF(INPUT_CAD!F403="","",INPUT_CAD!F403)</f>
        <v/>
      </c>
      <c r="G403" s="4" t="str">
        <f>IF(INPUT_CAD!G403="","",INPUT_CAD!G403)</f>
        <v/>
      </c>
      <c r="I403" s="4" t="str">
        <f t="shared" si="54"/>
        <v/>
      </c>
      <c r="J403" s="4" t="str">
        <f t="shared" si="55"/>
        <v/>
      </c>
      <c r="K403" s="4" t="str">
        <f t="shared" si="56"/>
        <v/>
      </c>
      <c r="L403" s="4" t="str">
        <f>IFERROR(VLOOKUP(ROUND(K403,0),correction_tag!$A$7:$C$253,3),"x")</f>
        <v>x</v>
      </c>
      <c r="N403" s="4">
        <f t="shared" si="57"/>
        <v>1</v>
      </c>
      <c r="O403" s="4">
        <f>IF(N402=0,O402+INPUT_CAD!$B$4,INPUT_CAD!$B$4)</f>
        <v>2</v>
      </c>
      <c r="Q403" s="4" t="str">
        <f t="shared" si="58"/>
        <v/>
      </c>
      <c r="R403" s="4" t="str">
        <f t="shared" si="59"/>
        <v/>
      </c>
      <c r="S403" s="4" t="str">
        <f t="shared" si="60"/>
        <v/>
      </c>
      <c r="T403" s="4" t="str">
        <f>IFERROR(Q403*Setup!$C$26+R403*Setup!$D$26+S403*Setup!$E$26,"")</f>
        <v/>
      </c>
      <c r="U403" s="4" t="str">
        <f t="shared" si="62"/>
        <v/>
      </c>
      <c r="V403" s="4">
        <f t="shared" si="61"/>
        <v>90</v>
      </c>
    </row>
    <row r="404" spans="1:22" hidden="1" x14ac:dyDescent="0.25">
      <c r="A404" s="4" t="str">
        <f>IF(INPUT_CAD!A404="","",INPUT_CAD!A404)</f>
        <v/>
      </c>
      <c r="B404" s="4" t="str">
        <f>IF(INPUT_CAD!B404="","",INPUT_CAD!B404)</f>
        <v/>
      </c>
      <c r="C404" s="4" t="str">
        <f>IF(INPUT_CAD!C404="","",INPUT_CAD!C404)</f>
        <v/>
      </c>
      <c r="D404" s="4" t="str">
        <f>IF(INPUT_CAD!D404="","",INPUT_CAD!D404)</f>
        <v/>
      </c>
      <c r="E404" s="4" t="str">
        <f>IF(INPUT_CAD!E404="","",INPUT_CAD!E404)</f>
        <v/>
      </c>
      <c r="F404" s="4" t="str">
        <f>IF(INPUT_CAD!F404="","",INPUT_CAD!F404)</f>
        <v/>
      </c>
      <c r="G404" s="4" t="str">
        <f>IF(INPUT_CAD!G404="","",INPUT_CAD!G404)</f>
        <v/>
      </c>
      <c r="I404" s="4" t="str">
        <f t="shared" si="54"/>
        <v/>
      </c>
      <c r="J404" s="4" t="str">
        <f t="shared" si="55"/>
        <v/>
      </c>
      <c r="K404" s="4" t="str">
        <f t="shared" si="56"/>
        <v/>
      </c>
      <c r="L404" s="4" t="str">
        <f>IFERROR(VLOOKUP(ROUND(K404,0),correction_tag!$A$7:$C$253,3),"x")</f>
        <v>x</v>
      </c>
      <c r="N404" s="4">
        <f t="shared" si="57"/>
        <v>1</v>
      </c>
      <c r="O404" s="4">
        <f>IF(N403=0,O403+INPUT_CAD!$B$4,INPUT_CAD!$B$4)</f>
        <v>2</v>
      </c>
      <c r="Q404" s="4" t="str">
        <f t="shared" si="58"/>
        <v/>
      </c>
      <c r="R404" s="4" t="str">
        <f t="shared" si="59"/>
        <v/>
      </c>
      <c r="S404" s="4" t="str">
        <f t="shared" si="60"/>
        <v/>
      </c>
      <c r="T404" s="4" t="str">
        <f>IFERROR(Q404*Setup!$C$26+R404*Setup!$D$26+S404*Setup!$E$26,"")</f>
        <v/>
      </c>
      <c r="U404" s="4" t="str">
        <f t="shared" si="62"/>
        <v/>
      </c>
      <c r="V404" s="4">
        <f t="shared" si="61"/>
        <v>90</v>
      </c>
    </row>
    <row r="405" spans="1:22" hidden="1" x14ac:dyDescent="0.25">
      <c r="A405" s="4" t="str">
        <f>IF(INPUT_CAD!A405="","",INPUT_CAD!A405)</f>
        <v/>
      </c>
      <c r="B405" s="4" t="str">
        <f>IF(INPUT_CAD!B405="","",INPUT_CAD!B405)</f>
        <v/>
      </c>
      <c r="C405" s="4" t="str">
        <f>IF(INPUT_CAD!C405="","",INPUT_CAD!C405)</f>
        <v/>
      </c>
      <c r="D405" s="4" t="str">
        <f>IF(INPUT_CAD!D405="","",INPUT_CAD!D405)</f>
        <v/>
      </c>
      <c r="E405" s="4" t="str">
        <f>IF(INPUT_CAD!E405="","",INPUT_CAD!E405)</f>
        <v/>
      </c>
      <c r="F405" s="4" t="str">
        <f>IF(INPUT_CAD!F405="","",INPUT_CAD!F405)</f>
        <v/>
      </c>
      <c r="G405" s="4" t="str">
        <f>IF(INPUT_CAD!G405="","",INPUT_CAD!G405)</f>
        <v/>
      </c>
      <c r="I405" s="4" t="str">
        <f t="shared" si="54"/>
        <v/>
      </c>
      <c r="J405" s="4" t="str">
        <f t="shared" si="55"/>
        <v/>
      </c>
      <c r="K405" s="4" t="str">
        <f t="shared" si="56"/>
        <v/>
      </c>
      <c r="L405" s="4" t="str">
        <f>IFERROR(VLOOKUP(ROUND(K405,0),correction_tag!$A$7:$C$253,3),"x")</f>
        <v>x</v>
      </c>
      <c r="N405" s="4">
        <f t="shared" si="57"/>
        <v>1</v>
      </c>
      <c r="O405" s="4">
        <f>IF(N404=0,O404+INPUT_CAD!$B$4,INPUT_CAD!$B$4)</f>
        <v>2</v>
      </c>
      <c r="Q405" s="4" t="str">
        <f t="shared" si="58"/>
        <v/>
      </c>
      <c r="R405" s="4" t="str">
        <f t="shared" si="59"/>
        <v/>
      </c>
      <c r="S405" s="4" t="str">
        <f t="shared" si="60"/>
        <v/>
      </c>
      <c r="T405" s="4" t="str">
        <f>IFERROR(Q405*Setup!$C$26+R405*Setup!$D$26+S405*Setup!$E$26,"")</f>
        <v/>
      </c>
      <c r="U405" s="4" t="str">
        <f t="shared" si="62"/>
        <v/>
      </c>
      <c r="V405" s="4">
        <f t="shared" si="61"/>
        <v>90</v>
      </c>
    </row>
    <row r="406" spans="1:22" hidden="1" x14ac:dyDescent="0.25">
      <c r="A406" s="4" t="str">
        <f>IF(INPUT_CAD!A406="","",INPUT_CAD!A406)</f>
        <v/>
      </c>
      <c r="B406" s="4" t="str">
        <f>IF(INPUT_CAD!B406="","",INPUT_CAD!B406)</f>
        <v/>
      </c>
      <c r="C406" s="4" t="str">
        <f>IF(INPUT_CAD!C406="","",INPUT_CAD!C406)</f>
        <v/>
      </c>
      <c r="D406" s="4" t="str">
        <f>IF(INPUT_CAD!D406="","",INPUT_CAD!D406)</f>
        <v/>
      </c>
      <c r="E406" s="4" t="str">
        <f>IF(INPUT_CAD!E406="","",INPUT_CAD!E406)</f>
        <v/>
      </c>
      <c r="F406" s="4" t="str">
        <f>IF(INPUT_CAD!F406="","",INPUT_CAD!F406)</f>
        <v/>
      </c>
      <c r="G406" s="4" t="str">
        <f>IF(INPUT_CAD!G406="","",INPUT_CAD!G406)</f>
        <v/>
      </c>
      <c r="I406" s="4" t="str">
        <f t="shared" ref="I406:I469" si="63">IFERROR(E405*E406+F405*F406+G405*G406,"")</f>
        <v/>
      </c>
      <c r="J406" s="4" t="str">
        <f t="shared" ref="J406:J469" si="64">IFERROR(SQRT(E406^2+F406^2+G406^2),"")</f>
        <v/>
      </c>
      <c r="K406" s="4" t="str">
        <f t="shared" ref="K406:K469" si="65">IFERROR(DEGREES(ACOS(I406/(J405*J406))),"")</f>
        <v/>
      </c>
      <c r="L406" s="4" t="str">
        <f>IFERROR(VLOOKUP(ROUND(K406,0),correction_tag!$A$7:$C$253,3),"x")</f>
        <v>x</v>
      </c>
      <c r="N406" s="4">
        <f t="shared" si="57"/>
        <v>1</v>
      </c>
      <c r="O406" s="4">
        <f>IF(N405=0,O405+INPUT_CAD!$B$4,INPUT_CAD!$B$4)</f>
        <v>2</v>
      </c>
      <c r="Q406" s="4" t="str">
        <f t="shared" si="58"/>
        <v/>
      </c>
      <c r="R406" s="4" t="str">
        <f t="shared" si="59"/>
        <v/>
      </c>
      <c r="S406" s="4" t="str">
        <f t="shared" si="60"/>
        <v/>
      </c>
      <c r="T406" s="4" t="str">
        <f>IFERROR(Q406*Setup!$C$26+R406*Setup!$D$26+S406*Setup!$E$26,"")</f>
        <v/>
      </c>
      <c r="U406" s="4" t="str">
        <f t="shared" si="62"/>
        <v/>
      </c>
      <c r="V406" s="4">
        <f t="shared" si="61"/>
        <v>90</v>
      </c>
    </row>
    <row r="407" spans="1:22" hidden="1" x14ac:dyDescent="0.25">
      <c r="A407" s="4" t="str">
        <f>IF(INPUT_CAD!A407="","",INPUT_CAD!A407)</f>
        <v/>
      </c>
      <c r="B407" s="4" t="str">
        <f>IF(INPUT_CAD!B407="","",INPUT_CAD!B407)</f>
        <v/>
      </c>
      <c r="C407" s="4" t="str">
        <f>IF(INPUT_CAD!C407="","",INPUT_CAD!C407)</f>
        <v/>
      </c>
      <c r="D407" s="4" t="str">
        <f>IF(INPUT_CAD!D407="","",INPUT_CAD!D407)</f>
        <v/>
      </c>
      <c r="E407" s="4" t="str">
        <f>IF(INPUT_CAD!E407="","",INPUT_CAD!E407)</f>
        <v/>
      </c>
      <c r="F407" s="4" t="str">
        <f>IF(INPUT_CAD!F407="","",INPUT_CAD!F407)</f>
        <v/>
      </c>
      <c r="G407" s="4" t="str">
        <f>IF(INPUT_CAD!G407="","",INPUT_CAD!G407)</f>
        <v/>
      </c>
      <c r="I407" s="4" t="str">
        <f t="shared" si="63"/>
        <v/>
      </c>
      <c r="J407" s="4" t="str">
        <f t="shared" si="64"/>
        <v/>
      </c>
      <c r="K407" s="4" t="str">
        <f t="shared" si="65"/>
        <v/>
      </c>
      <c r="L407" s="4" t="str">
        <f>IFERROR(VLOOKUP(ROUND(K407,0),correction_tag!$A$7:$C$253,3),"x")</f>
        <v>x</v>
      </c>
      <c r="N407" s="4">
        <f t="shared" si="57"/>
        <v>1</v>
      </c>
      <c r="O407" s="4">
        <f>IF(N406=0,O406+INPUT_CAD!$B$4,INPUT_CAD!$B$4)</f>
        <v>2</v>
      </c>
      <c r="Q407" s="4" t="str">
        <f t="shared" si="58"/>
        <v/>
      </c>
      <c r="R407" s="4" t="str">
        <f t="shared" si="59"/>
        <v/>
      </c>
      <c r="S407" s="4" t="str">
        <f t="shared" si="60"/>
        <v/>
      </c>
      <c r="T407" s="4" t="str">
        <f>IFERROR(Q407*Setup!$C$26+R407*Setup!$D$26+S407*Setup!$E$26,"")</f>
        <v/>
      </c>
      <c r="U407" s="4" t="str">
        <f t="shared" si="62"/>
        <v/>
      </c>
      <c r="V407" s="4">
        <f t="shared" si="61"/>
        <v>90</v>
      </c>
    </row>
    <row r="408" spans="1:22" hidden="1" x14ac:dyDescent="0.25">
      <c r="A408" s="4" t="str">
        <f>IF(INPUT_CAD!A408="","",INPUT_CAD!A408)</f>
        <v/>
      </c>
      <c r="B408" s="4" t="str">
        <f>IF(INPUT_CAD!B408="","",INPUT_CAD!B408)</f>
        <v/>
      </c>
      <c r="C408" s="4" t="str">
        <f>IF(INPUT_CAD!C408="","",INPUT_CAD!C408)</f>
        <v/>
      </c>
      <c r="D408" s="4" t="str">
        <f>IF(INPUT_CAD!D408="","",INPUT_CAD!D408)</f>
        <v/>
      </c>
      <c r="E408" s="4" t="str">
        <f>IF(INPUT_CAD!E408="","",INPUT_CAD!E408)</f>
        <v/>
      </c>
      <c r="F408" s="4" t="str">
        <f>IF(INPUT_CAD!F408="","",INPUT_CAD!F408)</f>
        <v/>
      </c>
      <c r="G408" s="4" t="str">
        <f>IF(INPUT_CAD!G408="","",INPUT_CAD!G408)</f>
        <v/>
      </c>
      <c r="I408" s="4" t="str">
        <f t="shared" si="63"/>
        <v/>
      </c>
      <c r="J408" s="4" t="str">
        <f t="shared" si="64"/>
        <v/>
      </c>
      <c r="K408" s="4" t="str">
        <f t="shared" si="65"/>
        <v/>
      </c>
      <c r="L408" s="4" t="str">
        <f>IFERROR(VLOOKUP(ROUND(K408,0),correction_tag!$A$7:$C$253,3),"x")</f>
        <v>x</v>
      </c>
      <c r="N408" s="4">
        <f t="shared" si="57"/>
        <v>1</v>
      </c>
      <c r="O408" s="4">
        <f>IF(N407=0,O407+INPUT_CAD!$B$4,INPUT_CAD!$B$4)</f>
        <v>2</v>
      </c>
      <c r="Q408" s="4" t="str">
        <f t="shared" si="58"/>
        <v/>
      </c>
      <c r="R408" s="4" t="str">
        <f t="shared" si="59"/>
        <v/>
      </c>
      <c r="S408" s="4" t="str">
        <f t="shared" si="60"/>
        <v/>
      </c>
      <c r="T408" s="4" t="str">
        <f>IFERROR(Q408*Setup!$C$26+R408*Setup!$D$26+S408*Setup!$E$26,"")</f>
        <v/>
      </c>
      <c r="U408" s="4" t="str">
        <f t="shared" si="62"/>
        <v/>
      </c>
      <c r="V408" s="4">
        <f t="shared" si="61"/>
        <v>90</v>
      </c>
    </row>
    <row r="409" spans="1:22" hidden="1" x14ac:dyDescent="0.25">
      <c r="A409" s="4" t="str">
        <f>IF(INPUT_CAD!A409="","",INPUT_CAD!A409)</f>
        <v/>
      </c>
      <c r="B409" s="4" t="str">
        <f>IF(INPUT_CAD!B409="","",INPUT_CAD!B409)</f>
        <v/>
      </c>
      <c r="C409" s="4" t="str">
        <f>IF(INPUT_CAD!C409="","",INPUT_CAD!C409)</f>
        <v/>
      </c>
      <c r="D409" s="4" t="str">
        <f>IF(INPUT_CAD!D409="","",INPUT_CAD!D409)</f>
        <v/>
      </c>
      <c r="E409" s="4" t="str">
        <f>IF(INPUT_CAD!E409="","",INPUT_CAD!E409)</f>
        <v/>
      </c>
      <c r="F409" s="4" t="str">
        <f>IF(INPUT_CAD!F409="","",INPUT_CAD!F409)</f>
        <v/>
      </c>
      <c r="G409" s="4" t="str">
        <f>IF(INPUT_CAD!G409="","",INPUT_CAD!G409)</f>
        <v/>
      </c>
      <c r="I409" s="4" t="str">
        <f t="shared" si="63"/>
        <v/>
      </c>
      <c r="J409" s="4" t="str">
        <f t="shared" si="64"/>
        <v/>
      </c>
      <c r="K409" s="4" t="str">
        <f t="shared" si="65"/>
        <v/>
      </c>
      <c r="L409" s="4" t="str">
        <f>IFERROR(VLOOKUP(ROUND(K409,0),correction_tag!$A$7:$C$253,3),"x")</f>
        <v>x</v>
      </c>
      <c r="N409" s="4">
        <f t="shared" si="57"/>
        <v>1</v>
      </c>
      <c r="O409" s="4">
        <f>IF(N408=0,O408+INPUT_CAD!$B$4,INPUT_CAD!$B$4)</f>
        <v>2</v>
      </c>
      <c r="Q409" s="4" t="str">
        <f t="shared" si="58"/>
        <v/>
      </c>
      <c r="R409" s="4" t="str">
        <f t="shared" si="59"/>
        <v/>
      </c>
      <c r="S409" s="4" t="str">
        <f t="shared" si="60"/>
        <v/>
      </c>
      <c r="T409" s="4" t="str">
        <f>IFERROR(Q409*Setup!$C$26+R409*Setup!$D$26+S409*Setup!$E$26,"")</f>
        <v/>
      </c>
      <c r="U409" s="4" t="str">
        <f t="shared" si="62"/>
        <v/>
      </c>
      <c r="V409" s="4">
        <f t="shared" si="61"/>
        <v>90</v>
      </c>
    </row>
    <row r="410" spans="1:22" hidden="1" x14ac:dyDescent="0.25">
      <c r="A410" s="4" t="str">
        <f>IF(INPUT_CAD!A410="","",INPUT_CAD!A410)</f>
        <v/>
      </c>
      <c r="B410" s="4" t="str">
        <f>IF(INPUT_CAD!B410="","",INPUT_CAD!B410)</f>
        <v/>
      </c>
      <c r="C410" s="4" t="str">
        <f>IF(INPUT_CAD!C410="","",INPUT_CAD!C410)</f>
        <v/>
      </c>
      <c r="D410" s="4" t="str">
        <f>IF(INPUT_CAD!D410="","",INPUT_CAD!D410)</f>
        <v/>
      </c>
      <c r="E410" s="4" t="str">
        <f>IF(INPUT_CAD!E410="","",INPUT_CAD!E410)</f>
        <v/>
      </c>
      <c r="F410" s="4" t="str">
        <f>IF(INPUT_CAD!F410="","",INPUT_CAD!F410)</f>
        <v/>
      </c>
      <c r="G410" s="4" t="str">
        <f>IF(INPUT_CAD!G410="","",INPUT_CAD!G410)</f>
        <v/>
      </c>
      <c r="I410" s="4" t="str">
        <f t="shared" si="63"/>
        <v/>
      </c>
      <c r="J410" s="4" t="str">
        <f t="shared" si="64"/>
        <v/>
      </c>
      <c r="K410" s="4" t="str">
        <f t="shared" si="65"/>
        <v/>
      </c>
      <c r="L410" s="4" t="str">
        <f>IFERROR(VLOOKUP(ROUND(K410,0),correction_tag!$A$7:$C$253,3),"x")</f>
        <v>x</v>
      </c>
      <c r="N410" s="4">
        <f t="shared" si="57"/>
        <v>1</v>
      </c>
      <c r="O410" s="4">
        <f>IF(N409=0,O409+INPUT_CAD!$B$4,INPUT_CAD!$B$4)</f>
        <v>2</v>
      </c>
      <c r="Q410" s="4" t="str">
        <f t="shared" si="58"/>
        <v/>
      </c>
      <c r="R410" s="4" t="str">
        <f t="shared" si="59"/>
        <v/>
      </c>
      <c r="S410" s="4" t="str">
        <f t="shared" si="60"/>
        <v/>
      </c>
      <c r="T410" s="4" t="str">
        <f>IFERROR(Q410*Setup!$C$26+R410*Setup!$D$26+S410*Setup!$E$26,"")</f>
        <v/>
      </c>
      <c r="U410" s="4" t="str">
        <f t="shared" si="62"/>
        <v/>
      </c>
      <c r="V410" s="4">
        <f t="shared" si="61"/>
        <v>90</v>
      </c>
    </row>
    <row r="411" spans="1:22" hidden="1" x14ac:dyDescent="0.25">
      <c r="A411" s="4" t="str">
        <f>IF(INPUT_CAD!A411="","",INPUT_CAD!A411)</f>
        <v/>
      </c>
      <c r="B411" s="4" t="str">
        <f>IF(INPUT_CAD!B411="","",INPUT_CAD!B411)</f>
        <v/>
      </c>
      <c r="C411" s="4" t="str">
        <f>IF(INPUT_CAD!C411="","",INPUT_CAD!C411)</f>
        <v/>
      </c>
      <c r="D411" s="4" t="str">
        <f>IF(INPUT_CAD!D411="","",INPUT_CAD!D411)</f>
        <v/>
      </c>
      <c r="E411" s="4" t="str">
        <f>IF(INPUT_CAD!E411="","",INPUT_CAD!E411)</f>
        <v/>
      </c>
      <c r="F411" s="4" t="str">
        <f>IF(INPUT_CAD!F411="","",INPUT_CAD!F411)</f>
        <v/>
      </c>
      <c r="G411" s="4" t="str">
        <f>IF(INPUT_CAD!G411="","",INPUT_CAD!G411)</f>
        <v/>
      </c>
      <c r="I411" s="4" t="str">
        <f t="shared" si="63"/>
        <v/>
      </c>
      <c r="J411" s="4" t="str">
        <f t="shared" si="64"/>
        <v/>
      </c>
      <c r="K411" s="4" t="str">
        <f t="shared" si="65"/>
        <v/>
      </c>
      <c r="L411" s="4" t="str">
        <f>IFERROR(VLOOKUP(ROUND(K411,0),correction_tag!$A$7:$C$253,3),"x")</f>
        <v>x</v>
      </c>
      <c r="N411" s="4">
        <f t="shared" si="57"/>
        <v>1</v>
      </c>
      <c r="O411" s="4">
        <f>IF(N410=0,O410+INPUT_CAD!$B$4,INPUT_CAD!$B$4)</f>
        <v>2</v>
      </c>
      <c r="Q411" s="4" t="str">
        <f t="shared" si="58"/>
        <v/>
      </c>
      <c r="R411" s="4" t="str">
        <f t="shared" si="59"/>
        <v/>
      </c>
      <c r="S411" s="4" t="str">
        <f t="shared" si="60"/>
        <v/>
      </c>
      <c r="T411" s="4" t="str">
        <f>IFERROR(Q411*Setup!$C$26+R411*Setup!$D$26+S411*Setup!$E$26,"")</f>
        <v/>
      </c>
      <c r="U411" s="4" t="str">
        <f t="shared" si="62"/>
        <v/>
      </c>
      <c r="V411" s="4">
        <f t="shared" si="61"/>
        <v>90</v>
      </c>
    </row>
    <row r="412" spans="1:22" hidden="1" x14ac:dyDescent="0.25">
      <c r="A412" s="4" t="str">
        <f>IF(INPUT_CAD!A412="","",INPUT_CAD!A412)</f>
        <v/>
      </c>
      <c r="B412" s="4" t="str">
        <f>IF(INPUT_CAD!B412="","",INPUT_CAD!B412)</f>
        <v/>
      </c>
      <c r="C412" s="4" t="str">
        <f>IF(INPUT_CAD!C412="","",INPUT_CAD!C412)</f>
        <v/>
      </c>
      <c r="D412" s="4" t="str">
        <f>IF(INPUT_CAD!D412="","",INPUT_CAD!D412)</f>
        <v/>
      </c>
      <c r="E412" s="4" t="str">
        <f>IF(INPUT_CAD!E412="","",INPUT_CAD!E412)</f>
        <v/>
      </c>
      <c r="F412" s="4" t="str">
        <f>IF(INPUT_CAD!F412="","",INPUT_CAD!F412)</f>
        <v/>
      </c>
      <c r="G412" s="4" t="str">
        <f>IF(INPUT_CAD!G412="","",INPUT_CAD!G412)</f>
        <v/>
      </c>
      <c r="I412" s="4" t="str">
        <f t="shared" si="63"/>
        <v/>
      </c>
      <c r="J412" s="4" t="str">
        <f t="shared" si="64"/>
        <v/>
      </c>
      <c r="K412" s="4" t="str">
        <f t="shared" si="65"/>
        <v/>
      </c>
      <c r="L412" s="4" t="str">
        <f>IFERROR(VLOOKUP(ROUND(K412,0),correction_tag!$A$7:$C$253,3),"x")</f>
        <v>x</v>
      </c>
      <c r="N412" s="4">
        <f t="shared" si="57"/>
        <v>1</v>
      </c>
      <c r="O412" s="4">
        <f>IF(N411=0,O411+INPUT_CAD!$B$4,INPUT_CAD!$B$4)</f>
        <v>2</v>
      </c>
      <c r="Q412" s="4" t="str">
        <f t="shared" si="58"/>
        <v/>
      </c>
      <c r="R412" s="4" t="str">
        <f t="shared" si="59"/>
        <v/>
      </c>
      <c r="S412" s="4" t="str">
        <f t="shared" si="60"/>
        <v/>
      </c>
      <c r="T412" s="4" t="str">
        <f>IFERROR(Q412*Setup!$C$26+R412*Setup!$D$26+S412*Setup!$E$26,"")</f>
        <v/>
      </c>
      <c r="U412" s="4" t="str">
        <f t="shared" si="62"/>
        <v/>
      </c>
      <c r="V412" s="4">
        <f t="shared" si="61"/>
        <v>90</v>
      </c>
    </row>
    <row r="413" spans="1:22" hidden="1" x14ac:dyDescent="0.25">
      <c r="A413" s="4" t="str">
        <f>IF(INPUT_CAD!A413="","",INPUT_CAD!A413)</f>
        <v/>
      </c>
      <c r="B413" s="4" t="str">
        <f>IF(INPUT_CAD!B413="","",INPUT_CAD!B413)</f>
        <v/>
      </c>
      <c r="C413" s="4" t="str">
        <f>IF(INPUT_CAD!C413="","",INPUT_CAD!C413)</f>
        <v/>
      </c>
      <c r="D413" s="4" t="str">
        <f>IF(INPUT_CAD!D413="","",INPUT_CAD!D413)</f>
        <v/>
      </c>
      <c r="E413" s="4" t="str">
        <f>IF(INPUT_CAD!E413="","",INPUT_CAD!E413)</f>
        <v/>
      </c>
      <c r="F413" s="4" t="str">
        <f>IF(INPUT_CAD!F413="","",INPUT_CAD!F413)</f>
        <v/>
      </c>
      <c r="G413" s="4" t="str">
        <f>IF(INPUT_CAD!G413="","",INPUT_CAD!G413)</f>
        <v/>
      </c>
      <c r="I413" s="4" t="str">
        <f t="shared" si="63"/>
        <v/>
      </c>
      <c r="J413" s="4" t="str">
        <f t="shared" si="64"/>
        <v/>
      </c>
      <c r="K413" s="4" t="str">
        <f t="shared" si="65"/>
        <v/>
      </c>
      <c r="L413" s="4" t="str">
        <f>IFERROR(VLOOKUP(ROUND(K413,0),correction_tag!$A$7:$C$253,3),"x")</f>
        <v>x</v>
      </c>
      <c r="N413" s="4">
        <f t="shared" si="57"/>
        <v>1</v>
      </c>
      <c r="O413" s="4">
        <f>IF(N412=0,O412+INPUT_CAD!$B$4,INPUT_CAD!$B$4)</f>
        <v>2</v>
      </c>
      <c r="Q413" s="4" t="str">
        <f t="shared" si="58"/>
        <v/>
      </c>
      <c r="R413" s="4" t="str">
        <f t="shared" si="59"/>
        <v/>
      </c>
      <c r="S413" s="4" t="str">
        <f t="shared" si="60"/>
        <v/>
      </c>
      <c r="T413" s="4" t="str">
        <f>IFERROR(Q413*Setup!$C$26+R413*Setup!$D$26+S413*Setup!$E$26,"")</f>
        <v/>
      </c>
      <c r="U413" s="4" t="str">
        <f t="shared" si="62"/>
        <v/>
      </c>
      <c r="V413" s="4">
        <f t="shared" si="61"/>
        <v>90</v>
      </c>
    </row>
    <row r="414" spans="1:22" hidden="1" x14ac:dyDescent="0.25">
      <c r="A414" s="4" t="str">
        <f>IF(INPUT_CAD!A414="","",INPUT_CAD!A414)</f>
        <v/>
      </c>
      <c r="B414" s="4" t="str">
        <f>IF(INPUT_CAD!B414="","",INPUT_CAD!B414)</f>
        <v/>
      </c>
      <c r="C414" s="4" t="str">
        <f>IF(INPUT_CAD!C414="","",INPUT_CAD!C414)</f>
        <v/>
      </c>
      <c r="D414" s="4" t="str">
        <f>IF(INPUT_CAD!D414="","",INPUT_CAD!D414)</f>
        <v/>
      </c>
      <c r="E414" s="4" t="str">
        <f>IF(INPUT_CAD!E414="","",INPUT_CAD!E414)</f>
        <v/>
      </c>
      <c r="F414" s="4" t="str">
        <f>IF(INPUT_CAD!F414="","",INPUT_CAD!F414)</f>
        <v/>
      </c>
      <c r="G414" s="4" t="str">
        <f>IF(INPUT_CAD!G414="","",INPUT_CAD!G414)</f>
        <v/>
      </c>
      <c r="I414" s="4" t="str">
        <f t="shared" si="63"/>
        <v/>
      </c>
      <c r="J414" s="4" t="str">
        <f t="shared" si="64"/>
        <v/>
      </c>
      <c r="K414" s="4" t="str">
        <f t="shared" si="65"/>
        <v/>
      </c>
      <c r="L414" s="4" t="str">
        <f>IFERROR(VLOOKUP(ROUND(K414,0),correction_tag!$A$7:$C$253,3),"x")</f>
        <v>x</v>
      </c>
      <c r="N414" s="4">
        <f t="shared" si="57"/>
        <v>1</v>
      </c>
      <c r="O414" s="4">
        <f>IF(N413=0,O413+INPUT_CAD!$B$4,INPUT_CAD!$B$4)</f>
        <v>2</v>
      </c>
      <c r="Q414" s="4" t="str">
        <f t="shared" si="58"/>
        <v/>
      </c>
      <c r="R414" s="4" t="str">
        <f t="shared" si="59"/>
        <v/>
      </c>
      <c r="S414" s="4" t="str">
        <f t="shared" si="60"/>
        <v/>
      </c>
      <c r="T414" s="4" t="str">
        <f>IFERROR(Q414*Setup!$C$26+R414*Setup!$D$26+S414*Setup!$E$26,"")</f>
        <v/>
      </c>
      <c r="U414" s="4" t="str">
        <f t="shared" si="62"/>
        <v/>
      </c>
      <c r="V414" s="4">
        <f t="shared" si="61"/>
        <v>90</v>
      </c>
    </row>
    <row r="415" spans="1:22" hidden="1" x14ac:dyDescent="0.25">
      <c r="A415" s="4" t="str">
        <f>IF(INPUT_CAD!A415="","",INPUT_CAD!A415)</f>
        <v/>
      </c>
      <c r="B415" s="4" t="str">
        <f>IF(INPUT_CAD!B415="","",INPUT_CAD!B415)</f>
        <v/>
      </c>
      <c r="C415" s="4" t="str">
        <f>IF(INPUT_CAD!C415="","",INPUT_CAD!C415)</f>
        <v/>
      </c>
      <c r="D415" s="4" t="str">
        <f>IF(INPUT_CAD!D415="","",INPUT_CAD!D415)</f>
        <v/>
      </c>
      <c r="E415" s="4" t="str">
        <f>IF(INPUT_CAD!E415="","",INPUT_CAD!E415)</f>
        <v/>
      </c>
      <c r="F415" s="4" t="str">
        <f>IF(INPUT_CAD!F415="","",INPUT_CAD!F415)</f>
        <v/>
      </c>
      <c r="G415" s="4" t="str">
        <f>IF(INPUT_CAD!G415="","",INPUT_CAD!G415)</f>
        <v/>
      </c>
      <c r="I415" s="4" t="str">
        <f t="shared" si="63"/>
        <v/>
      </c>
      <c r="J415" s="4" t="str">
        <f t="shared" si="64"/>
        <v/>
      </c>
      <c r="K415" s="4" t="str">
        <f t="shared" si="65"/>
        <v/>
      </c>
      <c r="L415" s="4" t="str">
        <f>IFERROR(VLOOKUP(ROUND(K415,0),correction_tag!$A$7:$C$253,3),"x")</f>
        <v>x</v>
      </c>
      <c r="N415" s="4">
        <f t="shared" si="57"/>
        <v>1</v>
      </c>
      <c r="O415" s="4">
        <f>IF(N414=0,O414+INPUT_CAD!$B$4,INPUT_CAD!$B$4)</f>
        <v>2</v>
      </c>
      <c r="Q415" s="4" t="str">
        <f t="shared" si="58"/>
        <v/>
      </c>
      <c r="R415" s="4" t="str">
        <f t="shared" si="59"/>
        <v/>
      </c>
      <c r="S415" s="4" t="str">
        <f t="shared" si="60"/>
        <v/>
      </c>
      <c r="T415" s="4" t="str">
        <f>IFERROR(Q415*Setup!$C$26+R415*Setup!$D$26+S415*Setup!$E$26,"")</f>
        <v/>
      </c>
      <c r="U415" s="4" t="str">
        <f t="shared" si="62"/>
        <v/>
      </c>
      <c r="V415" s="4">
        <f t="shared" si="61"/>
        <v>90</v>
      </c>
    </row>
    <row r="416" spans="1:22" hidden="1" x14ac:dyDescent="0.25">
      <c r="A416" s="4" t="str">
        <f>IF(INPUT_CAD!A416="","",INPUT_CAD!A416)</f>
        <v/>
      </c>
      <c r="B416" s="4" t="str">
        <f>IF(INPUT_CAD!B416="","",INPUT_CAD!B416)</f>
        <v/>
      </c>
      <c r="C416" s="4" t="str">
        <f>IF(INPUT_CAD!C416="","",INPUT_CAD!C416)</f>
        <v/>
      </c>
      <c r="D416" s="4" t="str">
        <f>IF(INPUT_CAD!D416="","",INPUT_CAD!D416)</f>
        <v/>
      </c>
      <c r="E416" s="4" t="str">
        <f>IF(INPUT_CAD!E416="","",INPUT_CAD!E416)</f>
        <v/>
      </c>
      <c r="F416" s="4" t="str">
        <f>IF(INPUT_CAD!F416="","",INPUT_CAD!F416)</f>
        <v/>
      </c>
      <c r="G416" s="4" t="str">
        <f>IF(INPUT_CAD!G416="","",INPUT_CAD!G416)</f>
        <v/>
      </c>
      <c r="I416" s="4" t="str">
        <f t="shared" si="63"/>
        <v/>
      </c>
      <c r="J416" s="4" t="str">
        <f t="shared" si="64"/>
        <v/>
      </c>
      <c r="K416" s="4" t="str">
        <f t="shared" si="65"/>
        <v/>
      </c>
      <c r="L416" s="4" t="str">
        <f>IFERROR(VLOOKUP(ROUND(K416,0),correction_tag!$A$7:$C$253,3),"x")</f>
        <v>x</v>
      </c>
      <c r="N416" s="4">
        <f t="shared" si="57"/>
        <v>1</v>
      </c>
      <c r="O416" s="4">
        <f>IF(N415=0,O415+INPUT_CAD!$B$4,INPUT_CAD!$B$4)</f>
        <v>2</v>
      </c>
      <c r="Q416" s="4" t="str">
        <f t="shared" si="58"/>
        <v/>
      </c>
      <c r="R416" s="4" t="str">
        <f t="shared" si="59"/>
        <v/>
      </c>
      <c r="S416" s="4" t="str">
        <f t="shared" si="60"/>
        <v/>
      </c>
      <c r="T416" s="4" t="str">
        <f>IFERROR(Q416*Setup!$C$26+R416*Setup!$D$26+S416*Setup!$E$26,"")</f>
        <v/>
      </c>
      <c r="U416" s="4" t="str">
        <f t="shared" si="62"/>
        <v/>
      </c>
      <c r="V416" s="4">
        <f t="shared" si="61"/>
        <v>90</v>
      </c>
    </row>
    <row r="417" spans="1:22" hidden="1" x14ac:dyDescent="0.25">
      <c r="A417" s="4" t="str">
        <f>IF(INPUT_CAD!A417="","",INPUT_CAD!A417)</f>
        <v/>
      </c>
      <c r="B417" s="4" t="str">
        <f>IF(INPUT_CAD!B417="","",INPUT_CAD!B417)</f>
        <v/>
      </c>
      <c r="C417" s="4" t="str">
        <f>IF(INPUT_CAD!C417="","",INPUT_CAD!C417)</f>
        <v/>
      </c>
      <c r="D417" s="4" t="str">
        <f>IF(INPUT_CAD!D417="","",INPUT_CAD!D417)</f>
        <v/>
      </c>
      <c r="E417" s="4" t="str">
        <f>IF(INPUT_CAD!E417="","",INPUT_CAD!E417)</f>
        <v/>
      </c>
      <c r="F417" s="4" t="str">
        <f>IF(INPUT_CAD!F417="","",INPUT_CAD!F417)</f>
        <v/>
      </c>
      <c r="G417" s="4" t="str">
        <f>IF(INPUT_CAD!G417="","",INPUT_CAD!G417)</f>
        <v/>
      </c>
      <c r="I417" s="4" t="str">
        <f t="shared" si="63"/>
        <v/>
      </c>
      <c r="J417" s="4" t="str">
        <f t="shared" si="64"/>
        <v/>
      </c>
      <c r="K417" s="4" t="str">
        <f t="shared" si="65"/>
        <v/>
      </c>
      <c r="L417" s="4" t="str">
        <f>IFERROR(VLOOKUP(ROUND(K417,0),correction_tag!$A$7:$C$253,3),"x")</f>
        <v>x</v>
      </c>
      <c r="N417" s="4">
        <f t="shared" si="57"/>
        <v>1</v>
      </c>
      <c r="O417" s="4">
        <f>IF(N416=0,O416+INPUT_CAD!$B$4,INPUT_CAD!$B$4)</f>
        <v>2</v>
      </c>
      <c r="Q417" s="4" t="str">
        <f t="shared" si="58"/>
        <v/>
      </c>
      <c r="R417" s="4" t="str">
        <f t="shared" si="59"/>
        <v/>
      </c>
      <c r="S417" s="4" t="str">
        <f t="shared" si="60"/>
        <v/>
      </c>
      <c r="T417" s="4" t="str">
        <f>IFERROR(Q417*Setup!$C$26+R417*Setup!$D$26+S417*Setup!$E$26,"")</f>
        <v/>
      </c>
      <c r="U417" s="4" t="str">
        <f t="shared" si="62"/>
        <v/>
      </c>
      <c r="V417" s="4">
        <f t="shared" si="61"/>
        <v>90</v>
      </c>
    </row>
    <row r="418" spans="1:22" hidden="1" x14ac:dyDescent="0.25">
      <c r="A418" s="4" t="str">
        <f>IF(INPUT_CAD!A418="","",INPUT_CAD!A418)</f>
        <v/>
      </c>
      <c r="B418" s="4" t="str">
        <f>IF(INPUT_CAD!B418="","",INPUT_CAD!B418)</f>
        <v/>
      </c>
      <c r="C418" s="4" t="str">
        <f>IF(INPUT_CAD!C418="","",INPUT_CAD!C418)</f>
        <v/>
      </c>
      <c r="D418" s="4" t="str">
        <f>IF(INPUT_CAD!D418="","",INPUT_CAD!D418)</f>
        <v/>
      </c>
      <c r="E418" s="4" t="str">
        <f>IF(INPUT_CAD!E418="","",INPUT_CAD!E418)</f>
        <v/>
      </c>
      <c r="F418" s="4" t="str">
        <f>IF(INPUT_CAD!F418="","",INPUT_CAD!F418)</f>
        <v/>
      </c>
      <c r="G418" s="4" t="str">
        <f>IF(INPUT_CAD!G418="","",INPUT_CAD!G418)</f>
        <v/>
      </c>
      <c r="I418" s="4" t="str">
        <f t="shared" si="63"/>
        <v/>
      </c>
      <c r="J418" s="4" t="str">
        <f t="shared" si="64"/>
        <v/>
      </c>
      <c r="K418" s="4" t="str">
        <f t="shared" si="65"/>
        <v/>
      </c>
      <c r="L418" s="4" t="str">
        <f>IFERROR(VLOOKUP(ROUND(K418,0),correction_tag!$A$7:$C$253,3),"x")</f>
        <v>x</v>
      </c>
      <c r="N418" s="4">
        <f t="shared" si="57"/>
        <v>1</v>
      </c>
      <c r="O418" s="4">
        <f>IF(N417=0,O417+INPUT_CAD!$B$4,INPUT_CAD!$B$4)</f>
        <v>2</v>
      </c>
      <c r="Q418" s="4" t="str">
        <f t="shared" si="58"/>
        <v/>
      </c>
      <c r="R418" s="4" t="str">
        <f t="shared" si="59"/>
        <v/>
      </c>
      <c r="S418" s="4" t="str">
        <f t="shared" si="60"/>
        <v/>
      </c>
      <c r="T418" s="4" t="str">
        <f>IFERROR(Q418*Setup!$C$26+R418*Setup!$D$26+S418*Setup!$E$26,"")</f>
        <v/>
      </c>
      <c r="U418" s="4" t="str">
        <f t="shared" si="62"/>
        <v/>
      </c>
      <c r="V418" s="4">
        <f t="shared" si="61"/>
        <v>90</v>
      </c>
    </row>
    <row r="419" spans="1:22" hidden="1" x14ac:dyDescent="0.25">
      <c r="A419" s="4" t="str">
        <f>IF(INPUT_CAD!A419="","",INPUT_CAD!A419)</f>
        <v/>
      </c>
      <c r="B419" s="4" t="str">
        <f>IF(INPUT_CAD!B419="","",INPUT_CAD!B419)</f>
        <v/>
      </c>
      <c r="C419" s="4" t="str">
        <f>IF(INPUT_CAD!C419="","",INPUT_CAD!C419)</f>
        <v/>
      </c>
      <c r="D419" s="4" t="str">
        <f>IF(INPUT_CAD!D419="","",INPUT_CAD!D419)</f>
        <v/>
      </c>
      <c r="E419" s="4" t="str">
        <f>IF(INPUT_CAD!E419="","",INPUT_CAD!E419)</f>
        <v/>
      </c>
      <c r="F419" s="4" t="str">
        <f>IF(INPUT_CAD!F419="","",INPUT_CAD!F419)</f>
        <v/>
      </c>
      <c r="G419" s="4" t="str">
        <f>IF(INPUT_CAD!G419="","",INPUT_CAD!G419)</f>
        <v/>
      </c>
      <c r="I419" s="4" t="str">
        <f t="shared" si="63"/>
        <v/>
      </c>
      <c r="J419" s="4" t="str">
        <f t="shared" si="64"/>
        <v/>
      </c>
      <c r="K419" s="4" t="str">
        <f t="shared" si="65"/>
        <v/>
      </c>
      <c r="L419" s="4" t="str">
        <f>IFERROR(VLOOKUP(ROUND(K419,0),correction_tag!$A$7:$C$253,3),"x")</f>
        <v>x</v>
      </c>
      <c r="N419" s="4">
        <f t="shared" si="57"/>
        <v>1</v>
      </c>
      <c r="O419" s="4">
        <f>IF(N418=0,O418+INPUT_CAD!$B$4,INPUT_CAD!$B$4)</f>
        <v>2</v>
      </c>
      <c r="Q419" s="4" t="str">
        <f t="shared" si="58"/>
        <v/>
      </c>
      <c r="R419" s="4" t="str">
        <f t="shared" si="59"/>
        <v/>
      </c>
      <c r="S419" s="4" t="str">
        <f t="shared" si="60"/>
        <v/>
      </c>
      <c r="T419" s="4" t="str">
        <f>IFERROR(Q419*Setup!$C$26+R419*Setup!$D$26+S419*Setup!$E$26,"")</f>
        <v/>
      </c>
      <c r="U419" s="4" t="str">
        <f t="shared" si="62"/>
        <v/>
      </c>
      <c r="V419" s="4">
        <f t="shared" si="61"/>
        <v>90</v>
      </c>
    </row>
    <row r="420" spans="1:22" hidden="1" x14ac:dyDescent="0.25">
      <c r="A420" s="4" t="str">
        <f>IF(INPUT_CAD!A420="","",INPUT_CAD!A420)</f>
        <v/>
      </c>
      <c r="B420" s="4" t="str">
        <f>IF(INPUT_CAD!B420="","",INPUT_CAD!B420)</f>
        <v/>
      </c>
      <c r="C420" s="4" t="str">
        <f>IF(INPUT_CAD!C420="","",INPUT_CAD!C420)</f>
        <v/>
      </c>
      <c r="D420" s="4" t="str">
        <f>IF(INPUT_CAD!D420="","",INPUT_CAD!D420)</f>
        <v/>
      </c>
      <c r="E420" s="4" t="str">
        <f>IF(INPUT_CAD!E420="","",INPUT_CAD!E420)</f>
        <v/>
      </c>
      <c r="F420" s="4" t="str">
        <f>IF(INPUT_CAD!F420="","",INPUT_CAD!F420)</f>
        <v/>
      </c>
      <c r="G420" s="4" t="str">
        <f>IF(INPUT_CAD!G420="","",INPUT_CAD!G420)</f>
        <v/>
      </c>
      <c r="I420" s="4" t="str">
        <f t="shared" si="63"/>
        <v/>
      </c>
      <c r="J420" s="4" t="str">
        <f t="shared" si="64"/>
        <v/>
      </c>
      <c r="K420" s="4" t="str">
        <f t="shared" si="65"/>
        <v/>
      </c>
      <c r="L420" s="4" t="str">
        <f>IFERROR(VLOOKUP(ROUND(K420,0),correction_tag!$A$7:$C$253,3),"x")</f>
        <v>x</v>
      </c>
      <c r="N420" s="4">
        <f t="shared" si="57"/>
        <v>1</v>
      </c>
      <c r="O420" s="4">
        <f>IF(N419=0,O419+INPUT_CAD!$B$4,INPUT_CAD!$B$4)</f>
        <v>2</v>
      </c>
      <c r="Q420" s="4" t="str">
        <f t="shared" si="58"/>
        <v/>
      </c>
      <c r="R420" s="4" t="str">
        <f t="shared" si="59"/>
        <v/>
      </c>
      <c r="S420" s="4" t="str">
        <f t="shared" si="60"/>
        <v/>
      </c>
      <c r="T420" s="4" t="str">
        <f>IFERROR(Q420*Setup!$C$26+R420*Setup!$D$26+S420*Setup!$E$26,"")</f>
        <v/>
      </c>
      <c r="U420" s="4" t="str">
        <f t="shared" si="62"/>
        <v/>
      </c>
      <c r="V420" s="4">
        <f t="shared" si="61"/>
        <v>90</v>
      </c>
    </row>
    <row r="421" spans="1:22" hidden="1" x14ac:dyDescent="0.25">
      <c r="A421" s="4" t="str">
        <f>IF(INPUT_CAD!A421="","",INPUT_CAD!A421)</f>
        <v/>
      </c>
      <c r="B421" s="4" t="str">
        <f>IF(INPUT_CAD!B421="","",INPUT_CAD!B421)</f>
        <v/>
      </c>
      <c r="C421" s="4" t="str">
        <f>IF(INPUT_CAD!C421="","",INPUT_CAD!C421)</f>
        <v/>
      </c>
      <c r="D421" s="4" t="str">
        <f>IF(INPUT_CAD!D421="","",INPUT_CAD!D421)</f>
        <v/>
      </c>
      <c r="E421" s="4" t="str">
        <f>IF(INPUT_CAD!E421="","",INPUT_CAD!E421)</f>
        <v/>
      </c>
      <c r="F421" s="4" t="str">
        <f>IF(INPUT_CAD!F421="","",INPUT_CAD!F421)</f>
        <v/>
      </c>
      <c r="G421" s="4" t="str">
        <f>IF(INPUT_CAD!G421="","",INPUT_CAD!G421)</f>
        <v/>
      </c>
      <c r="I421" s="4" t="str">
        <f t="shared" si="63"/>
        <v/>
      </c>
      <c r="J421" s="4" t="str">
        <f t="shared" si="64"/>
        <v/>
      </c>
      <c r="K421" s="4" t="str">
        <f t="shared" si="65"/>
        <v/>
      </c>
      <c r="L421" s="4" t="str">
        <f>IFERROR(VLOOKUP(ROUND(K421,0),correction_tag!$A$7:$C$253,3),"x")</f>
        <v>x</v>
      </c>
      <c r="N421" s="4">
        <f t="shared" si="57"/>
        <v>1</v>
      </c>
      <c r="O421" s="4">
        <f>IF(N420=0,O420+INPUT_CAD!$B$4,INPUT_CAD!$B$4)</f>
        <v>2</v>
      </c>
      <c r="Q421" s="4" t="str">
        <f t="shared" si="58"/>
        <v/>
      </c>
      <c r="R421" s="4" t="str">
        <f t="shared" si="59"/>
        <v/>
      </c>
      <c r="S421" s="4" t="str">
        <f t="shared" si="60"/>
        <v/>
      </c>
      <c r="T421" s="4" t="str">
        <f>IFERROR(Q421*Setup!$C$26+R421*Setup!$D$26+S421*Setup!$E$26,"")</f>
        <v/>
      </c>
      <c r="U421" s="4" t="str">
        <f t="shared" si="62"/>
        <v/>
      </c>
      <c r="V421" s="4">
        <f t="shared" si="61"/>
        <v>90</v>
      </c>
    </row>
    <row r="422" spans="1:22" hidden="1" x14ac:dyDescent="0.25">
      <c r="A422" s="4" t="str">
        <f>IF(INPUT_CAD!A422="","",INPUT_CAD!A422)</f>
        <v/>
      </c>
      <c r="B422" s="4" t="str">
        <f>IF(INPUT_CAD!B422="","",INPUT_CAD!B422)</f>
        <v/>
      </c>
      <c r="C422" s="4" t="str">
        <f>IF(INPUT_CAD!C422="","",INPUT_CAD!C422)</f>
        <v/>
      </c>
      <c r="D422" s="4" t="str">
        <f>IF(INPUT_CAD!D422="","",INPUT_CAD!D422)</f>
        <v/>
      </c>
      <c r="E422" s="4" t="str">
        <f>IF(INPUT_CAD!E422="","",INPUT_CAD!E422)</f>
        <v/>
      </c>
      <c r="F422" s="4" t="str">
        <f>IF(INPUT_CAD!F422="","",INPUT_CAD!F422)</f>
        <v/>
      </c>
      <c r="G422" s="4" t="str">
        <f>IF(INPUT_CAD!G422="","",INPUT_CAD!G422)</f>
        <v/>
      </c>
      <c r="I422" s="4" t="str">
        <f t="shared" si="63"/>
        <v/>
      </c>
      <c r="J422" s="4" t="str">
        <f t="shared" si="64"/>
        <v/>
      </c>
      <c r="K422" s="4" t="str">
        <f t="shared" si="65"/>
        <v/>
      </c>
      <c r="L422" s="4" t="str">
        <f>IFERROR(VLOOKUP(ROUND(K422,0),correction_tag!$A$7:$C$253,3),"x")</f>
        <v>x</v>
      </c>
      <c r="N422" s="4">
        <f t="shared" si="57"/>
        <v>1</v>
      </c>
      <c r="O422" s="4">
        <f>IF(N421=0,O421+INPUT_CAD!$B$4,INPUT_CAD!$B$4)</f>
        <v>2</v>
      </c>
      <c r="Q422" s="4" t="str">
        <f t="shared" si="58"/>
        <v/>
      </c>
      <c r="R422" s="4" t="str">
        <f t="shared" si="59"/>
        <v/>
      </c>
      <c r="S422" s="4" t="str">
        <f t="shared" si="60"/>
        <v/>
      </c>
      <c r="T422" s="4" t="str">
        <f>IFERROR(Q422*Setup!$C$26+R422*Setup!$D$26+S422*Setup!$E$26,"")</f>
        <v/>
      </c>
      <c r="U422" s="4" t="str">
        <f t="shared" si="62"/>
        <v/>
      </c>
      <c r="V422" s="4">
        <f t="shared" si="61"/>
        <v>90</v>
      </c>
    </row>
    <row r="423" spans="1:22" hidden="1" x14ac:dyDescent="0.25">
      <c r="A423" s="4" t="str">
        <f>IF(INPUT_CAD!A423="","",INPUT_CAD!A423)</f>
        <v/>
      </c>
      <c r="B423" s="4" t="str">
        <f>IF(INPUT_CAD!B423="","",INPUT_CAD!B423)</f>
        <v/>
      </c>
      <c r="C423" s="4" t="str">
        <f>IF(INPUT_CAD!C423="","",INPUT_CAD!C423)</f>
        <v/>
      </c>
      <c r="D423" s="4" t="str">
        <f>IF(INPUT_CAD!D423="","",INPUT_CAD!D423)</f>
        <v/>
      </c>
      <c r="E423" s="4" t="str">
        <f>IF(INPUT_CAD!E423="","",INPUT_CAD!E423)</f>
        <v/>
      </c>
      <c r="F423" s="4" t="str">
        <f>IF(INPUT_CAD!F423="","",INPUT_CAD!F423)</f>
        <v/>
      </c>
      <c r="G423" s="4" t="str">
        <f>IF(INPUT_CAD!G423="","",INPUT_CAD!G423)</f>
        <v/>
      </c>
      <c r="I423" s="4" t="str">
        <f t="shared" si="63"/>
        <v/>
      </c>
      <c r="J423" s="4" t="str">
        <f t="shared" si="64"/>
        <v/>
      </c>
      <c r="K423" s="4" t="str">
        <f t="shared" si="65"/>
        <v/>
      </c>
      <c r="L423" s="4" t="str">
        <f>IFERROR(VLOOKUP(ROUND(K423,0),correction_tag!$A$7:$C$253,3),"x")</f>
        <v>x</v>
      </c>
      <c r="N423" s="4">
        <f t="shared" si="57"/>
        <v>1</v>
      </c>
      <c r="O423" s="4">
        <f>IF(N422=0,O422+INPUT_CAD!$B$4,INPUT_CAD!$B$4)</f>
        <v>2</v>
      </c>
      <c r="Q423" s="4" t="str">
        <f t="shared" si="58"/>
        <v/>
      </c>
      <c r="R423" s="4" t="str">
        <f t="shared" si="59"/>
        <v/>
      </c>
      <c r="S423" s="4" t="str">
        <f t="shared" si="60"/>
        <v/>
      </c>
      <c r="T423" s="4" t="str">
        <f>IFERROR(Q423*Setup!$C$26+R423*Setup!$D$26+S423*Setup!$E$26,"")</f>
        <v/>
      </c>
      <c r="U423" s="4" t="str">
        <f t="shared" si="62"/>
        <v/>
      </c>
      <c r="V423" s="4">
        <f t="shared" si="61"/>
        <v>90</v>
      </c>
    </row>
    <row r="424" spans="1:22" hidden="1" x14ac:dyDescent="0.25">
      <c r="A424" s="4" t="str">
        <f>IF(INPUT_CAD!A424="","",INPUT_CAD!A424)</f>
        <v/>
      </c>
      <c r="B424" s="4" t="str">
        <f>IF(INPUT_CAD!B424="","",INPUT_CAD!B424)</f>
        <v/>
      </c>
      <c r="C424" s="4" t="str">
        <f>IF(INPUT_CAD!C424="","",INPUT_CAD!C424)</f>
        <v/>
      </c>
      <c r="D424" s="4" t="str">
        <f>IF(INPUT_CAD!D424="","",INPUT_CAD!D424)</f>
        <v/>
      </c>
      <c r="E424" s="4" t="str">
        <f>IF(INPUT_CAD!E424="","",INPUT_CAD!E424)</f>
        <v/>
      </c>
      <c r="F424" s="4" t="str">
        <f>IF(INPUT_CAD!F424="","",INPUT_CAD!F424)</f>
        <v/>
      </c>
      <c r="G424" s="4" t="str">
        <f>IF(INPUT_CAD!G424="","",INPUT_CAD!G424)</f>
        <v/>
      </c>
      <c r="I424" s="4" t="str">
        <f t="shared" si="63"/>
        <v/>
      </c>
      <c r="J424" s="4" t="str">
        <f t="shared" si="64"/>
        <v/>
      </c>
      <c r="K424" s="4" t="str">
        <f t="shared" si="65"/>
        <v/>
      </c>
      <c r="L424" s="4" t="str">
        <f>IFERROR(VLOOKUP(ROUND(K424,0),correction_tag!$A$7:$C$253,3),"x")</f>
        <v>x</v>
      </c>
      <c r="N424" s="4">
        <f t="shared" si="57"/>
        <v>1</v>
      </c>
      <c r="O424" s="4">
        <f>IF(N423=0,O423+INPUT_CAD!$B$4,INPUT_CAD!$B$4)</f>
        <v>2</v>
      </c>
      <c r="Q424" s="4" t="str">
        <f t="shared" si="58"/>
        <v/>
      </c>
      <c r="R424" s="4" t="str">
        <f t="shared" si="59"/>
        <v/>
      </c>
      <c r="S424" s="4" t="str">
        <f t="shared" si="60"/>
        <v/>
      </c>
      <c r="T424" s="4" t="str">
        <f>IFERROR(Q424*Setup!$C$26+R424*Setup!$D$26+S424*Setup!$E$26,"")</f>
        <v/>
      </c>
      <c r="U424" s="4" t="str">
        <f t="shared" si="62"/>
        <v/>
      </c>
      <c r="V424" s="4">
        <f t="shared" si="61"/>
        <v>90</v>
      </c>
    </row>
    <row r="425" spans="1:22" hidden="1" x14ac:dyDescent="0.25">
      <c r="A425" s="4" t="str">
        <f>IF(INPUT_CAD!A425="","",INPUT_CAD!A425)</f>
        <v/>
      </c>
      <c r="B425" s="4" t="str">
        <f>IF(INPUT_CAD!B425="","",INPUT_CAD!B425)</f>
        <v/>
      </c>
      <c r="C425" s="4" t="str">
        <f>IF(INPUT_CAD!C425="","",INPUT_CAD!C425)</f>
        <v/>
      </c>
      <c r="D425" s="4" t="str">
        <f>IF(INPUT_CAD!D425="","",INPUT_CAD!D425)</f>
        <v/>
      </c>
      <c r="E425" s="4" t="str">
        <f>IF(INPUT_CAD!E425="","",INPUT_CAD!E425)</f>
        <v/>
      </c>
      <c r="F425" s="4" t="str">
        <f>IF(INPUT_CAD!F425="","",INPUT_CAD!F425)</f>
        <v/>
      </c>
      <c r="G425" s="4" t="str">
        <f>IF(INPUT_CAD!G425="","",INPUT_CAD!G425)</f>
        <v/>
      </c>
      <c r="I425" s="4" t="str">
        <f t="shared" si="63"/>
        <v/>
      </c>
      <c r="J425" s="4" t="str">
        <f t="shared" si="64"/>
        <v/>
      </c>
      <c r="K425" s="4" t="str">
        <f t="shared" si="65"/>
        <v/>
      </c>
      <c r="L425" s="4" t="str">
        <f>IFERROR(VLOOKUP(ROUND(K425,0),correction_tag!$A$7:$C$253,3),"x")</f>
        <v>x</v>
      </c>
      <c r="N425" s="4">
        <f t="shared" si="57"/>
        <v>1</v>
      </c>
      <c r="O425" s="4">
        <f>IF(N424=0,O424+INPUT_CAD!$B$4,INPUT_CAD!$B$4)</f>
        <v>2</v>
      </c>
      <c r="Q425" s="4" t="str">
        <f t="shared" si="58"/>
        <v/>
      </c>
      <c r="R425" s="4" t="str">
        <f t="shared" si="59"/>
        <v/>
      </c>
      <c r="S425" s="4" t="str">
        <f t="shared" si="60"/>
        <v/>
      </c>
      <c r="T425" s="4" t="str">
        <f>IFERROR(Q425*Setup!$C$26+R425*Setup!$D$26+S425*Setup!$E$26,"")</f>
        <v/>
      </c>
      <c r="U425" s="4" t="str">
        <f t="shared" si="62"/>
        <v/>
      </c>
      <c r="V425" s="4">
        <f t="shared" si="61"/>
        <v>90</v>
      </c>
    </row>
    <row r="426" spans="1:22" hidden="1" x14ac:dyDescent="0.25">
      <c r="A426" s="4" t="str">
        <f>IF(INPUT_CAD!A426="","",INPUT_CAD!A426)</f>
        <v/>
      </c>
      <c r="B426" s="4" t="str">
        <f>IF(INPUT_CAD!B426="","",INPUT_CAD!B426)</f>
        <v/>
      </c>
      <c r="C426" s="4" t="str">
        <f>IF(INPUT_CAD!C426="","",INPUT_CAD!C426)</f>
        <v/>
      </c>
      <c r="D426" s="4" t="str">
        <f>IF(INPUT_CAD!D426="","",INPUT_CAD!D426)</f>
        <v/>
      </c>
      <c r="E426" s="4" t="str">
        <f>IF(INPUT_CAD!E426="","",INPUT_CAD!E426)</f>
        <v/>
      </c>
      <c r="F426" s="4" t="str">
        <f>IF(INPUT_CAD!F426="","",INPUT_CAD!F426)</f>
        <v/>
      </c>
      <c r="G426" s="4" t="str">
        <f>IF(INPUT_CAD!G426="","",INPUT_CAD!G426)</f>
        <v/>
      </c>
      <c r="I426" s="4" t="str">
        <f t="shared" si="63"/>
        <v/>
      </c>
      <c r="J426" s="4" t="str">
        <f t="shared" si="64"/>
        <v/>
      </c>
      <c r="K426" s="4" t="str">
        <f t="shared" si="65"/>
        <v/>
      </c>
      <c r="L426" s="4" t="str">
        <f>IFERROR(VLOOKUP(ROUND(K426,0),correction_tag!$A$7:$C$253,3),"x")</f>
        <v>x</v>
      </c>
      <c r="N426" s="4">
        <f t="shared" si="57"/>
        <v>1</v>
      </c>
      <c r="O426" s="4">
        <f>IF(N425=0,O425+INPUT_CAD!$B$4,INPUT_CAD!$B$4)</f>
        <v>2</v>
      </c>
      <c r="Q426" s="4" t="str">
        <f t="shared" si="58"/>
        <v/>
      </c>
      <c r="R426" s="4" t="str">
        <f t="shared" si="59"/>
        <v/>
      </c>
      <c r="S426" s="4" t="str">
        <f t="shared" si="60"/>
        <v/>
      </c>
      <c r="T426" s="4" t="str">
        <f>IFERROR(Q426*Setup!$C$26+R426*Setup!$D$26+S426*Setup!$E$26,"")</f>
        <v/>
      </c>
      <c r="U426" s="4" t="str">
        <f t="shared" si="62"/>
        <v/>
      </c>
      <c r="V426" s="4">
        <f t="shared" si="61"/>
        <v>90</v>
      </c>
    </row>
    <row r="427" spans="1:22" hidden="1" x14ac:dyDescent="0.25">
      <c r="A427" s="4" t="str">
        <f>IF(INPUT_CAD!A427="","",INPUT_CAD!A427)</f>
        <v/>
      </c>
      <c r="B427" s="4" t="str">
        <f>IF(INPUT_CAD!B427="","",INPUT_CAD!B427)</f>
        <v/>
      </c>
      <c r="C427" s="4" t="str">
        <f>IF(INPUT_CAD!C427="","",INPUT_CAD!C427)</f>
        <v/>
      </c>
      <c r="D427" s="4" t="str">
        <f>IF(INPUT_CAD!D427="","",INPUT_CAD!D427)</f>
        <v/>
      </c>
      <c r="E427" s="4" t="str">
        <f>IF(INPUT_CAD!E427="","",INPUT_CAD!E427)</f>
        <v/>
      </c>
      <c r="F427" s="4" t="str">
        <f>IF(INPUT_CAD!F427="","",INPUT_CAD!F427)</f>
        <v/>
      </c>
      <c r="G427" s="4" t="str">
        <f>IF(INPUT_CAD!G427="","",INPUT_CAD!G427)</f>
        <v/>
      </c>
      <c r="I427" s="4" t="str">
        <f t="shared" si="63"/>
        <v/>
      </c>
      <c r="J427" s="4" t="str">
        <f t="shared" si="64"/>
        <v/>
      </c>
      <c r="K427" s="4" t="str">
        <f t="shared" si="65"/>
        <v/>
      </c>
      <c r="L427" s="4" t="str">
        <f>IFERROR(VLOOKUP(ROUND(K427,0),correction_tag!$A$7:$C$253,3),"x")</f>
        <v>x</v>
      </c>
      <c r="N427" s="4">
        <f t="shared" si="57"/>
        <v>1</v>
      </c>
      <c r="O427" s="4">
        <f>IF(N426=0,O426+INPUT_CAD!$B$4,INPUT_CAD!$B$4)</f>
        <v>2</v>
      </c>
      <c r="Q427" s="4" t="str">
        <f t="shared" si="58"/>
        <v/>
      </c>
      <c r="R427" s="4" t="str">
        <f t="shared" si="59"/>
        <v/>
      </c>
      <c r="S427" s="4" t="str">
        <f t="shared" si="60"/>
        <v/>
      </c>
      <c r="T427" s="4" t="str">
        <f>IFERROR(Q427*Setup!$C$26+R427*Setup!$D$26+S427*Setup!$E$26,"")</f>
        <v/>
      </c>
      <c r="U427" s="4" t="str">
        <f t="shared" si="62"/>
        <v/>
      </c>
      <c r="V427" s="4">
        <f t="shared" si="61"/>
        <v>90</v>
      </c>
    </row>
    <row r="428" spans="1:22" hidden="1" x14ac:dyDescent="0.25">
      <c r="A428" s="4" t="str">
        <f>IF(INPUT_CAD!A428="","",INPUT_CAD!A428)</f>
        <v/>
      </c>
      <c r="B428" s="4" t="str">
        <f>IF(INPUT_CAD!B428="","",INPUT_CAD!B428)</f>
        <v/>
      </c>
      <c r="C428" s="4" t="str">
        <f>IF(INPUT_CAD!C428="","",INPUT_CAD!C428)</f>
        <v/>
      </c>
      <c r="D428" s="4" t="str">
        <f>IF(INPUT_CAD!D428="","",INPUT_CAD!D428)</f>
        <v/>
      </c>
      <c r="E428" s="4" t="str">
        <f>IF(INPUT_CAD!E428="","",INPUT_CAD!E428)</f>
        <v/>
      </c>
      <c r="F428" s="4" t="str">
        <f>IF(INPUT_CAD!F428="","",INPUT_CAD!F428)</f>
        <v/>
      </c>
      <c r="G428" s="4" t="str">
        <f>IF(INPUT_CAD!G428="","",INPUT_CAD!G428)</f>
        <v/>
      </c>
      <c r="I428" s="4" t="str">
        <f t="shared" si="63"/>
        <v/>
      </c>
      <c r="J428" s="4" t="str">
        <f t="shared" si="64"/>
        <v/>
      </c>
      <c r="K428" s="4" t="str">
        <f t="shared" si="65"/>
        <v/>
      </c>
      <c r="L428" s="4" t="str">
        <f>IFERROR(VLOOKUP(ROUND(K428,0),correction_tag!$A$7:$C$253,3),"x")</f>
        <v>x</v>
      </c>
      <c r="N428" s="4">
        <f t="shared" si="57"/>
        <v>1</v>
      </c>
      <c r="O428" s="4">
        <f>IF(N427=0,O427+INPUT_CAD!$B$4,INPUT_CAD!$B$4)</f>
        <v>2</v>
      </c>
      <c r="Q428" s="4" t="str">
        <f t="shared" si="58"/>
        <v/>
      </c>
      <c r="R428" s="4" t="str">
        <f t="shared" si="59"/>
        <v/>
      </c>
      <c r="S428" s="4" t="str">
        <f t="shared" si="60"/>
        <v/>
      </c>
      <c r="T428" s="4" t="str">
        <f>IFERROR(Q428*Setup!$C$26+R428*Setup!$D$26+S428*Setup!$E$26,"")</f>
        <v/>
      </c>
      <c r="U428" s="4" t="str">
        <f t="shared" si="62"/>
        <v/>
      </c>
      <c r="V428" s="4">
        <f t="shared" si="61"/>
        <v>90</v>
      </c>
    </row>
    <row r="429" spans="1:22" hidden="1" x14ac:dyDescent="0.25">
      <c r="A429" s="4" t="str">
        <f>IF(INPUT_CAD!A429="","",INPUT_CAD!A429)</f>
        <v/>
      </c>
      <c r="B429" s="4" t="str">
        <f>IF(INPUT_CAD!B429="","",INPUT_CAD!B429)</f>
        <v/>
      </c>
      <c r="C429" s="4" t="str">
        <f>IF(INPUT_CAD!C429="","",INPUT_CAD!C429)</f>
        <v/>
      </c>
      <c r="D429" s="4" t="str">
        <f>IF(INPUT_CAD!D429="","",INPUT_CAD!D429)</f>
        <v/>
      </c>
      <c r="E429" s="4" t="str">
        <f>IF(INPUT_CAD!E429="","",INPUT_CAD!E429)</f>
        <v/>
      </c>
      <c r="F429" s="4" t="str">
        <f>IF(INPUT_CAD!F429="","",INPUT_CAD!F429)</f>
        <v/>
      </c>
      <c r="G429" s="4" t="str">
        <f>IF(INPUT_CAD!G429="","",INPUT_CAD!G429)</f>
        <v/>
      </c>
      <c r="I429" s="4" t="str">
        <f t="shared" si="63"/>
        <v/>
      </c>
      <c r="J429" s="4" t="str">
        <f t="shared" si="64"/>
        <v/>
      </c>
      <c r="K429" s="4" t="str">
        <f t="shared" si="65"/>
        <v/>
      </c>
      <c r="L429" s="4" t="str">
        <f>IFERROR(VLOOKUP(ROUND(K429,0),correction_tag!$A$7:$C$253,3),"x")</f>
        <v>x</v>
      </c>
      <c r="N429" s="4">
        <f t="shared" si="57"/>
        <v>1</v>
      </c>
      <c r="O429" s="4">
        <f>IF(N428=0,O428+INPUT_CAD!$B$4,INPUT_CAD!$B$4)</f>
        <v>2</v>
      </c>
      <c r="Q429" s="4" t="str">
        <f t="shared" si="58"/>
        <v/>
      </c>
      <c r="R429" s="4" t="str">
        <f t="shared" si="59"/>
        <v/>
      </c>
      <c r="S429" s="4" t="str">
        <f t="shared" si="60"/>
        <v/>
      </c>
      <c r="T429" s="4" t="str">
        <f>IFERROR(Q429*Setup!$C$26+R429*Setup!$D$26+S429*Setup!$E$26,"")</f>
        <v/>
      </c>
      <c r="U429" s="4" t="str">
        <f t="shared" si="62"/>
        <v/>
      </c>
      <c r="V429" s="4">
        <f t="shared" si="61"/>
        <v>90</v>
      </c>
    </row>
    <row r="430" spans="1:22" hidden="1" x14ac:dyDescent="0.25">
      <c r="A430" s="4" t="str">
        <f>IF(INPUT_CAD!A430="","",INPUT_CAD!A430)</f>
        <v/>
      </c>
      <c r="B430" s="4" t="str">
        <f>IF(INPUT_CAD!B430="","",INPUT_CAD!B430)</f>
        <v/>
      </c>
      <c r="C430" s="4" t="str">
        <f>IF(INPUT_CAD!C430="","",INPUT_CAD!C430)</f>
        <v/>
      </c>
      <c r="D430" s="4" t="str">
        <f>IF(INPUT_CAD!D430="","",INPUT_CAD!D430)</f>
        <v/>
      </c>
      <c r="E430" s="4" t="str">
        <f>IF(INPUT_CAD!E430="","",INPUT_CAD!E430)</f>
        <v/>
      </c>
      <c r="F430" s="4" t="str">
        <f>IF(INPUT_CAD!F430="","",INPUT_CAD!F430)</f>
        <v/>
      </c>
      <c r="G430" s="4" t="str">
        <f>IF(INPUT_CAD!G430="","",INPUT_CAD!G430)</f>
        <v/>
      </c>
      <c r="I430" s="4" t="str">
        <f t="shared" si="63"/>
        <v/>
      </c>
      <c r="J430" s="4" t="str">
        <f t="shared" si="64"/>
        <v/>
      </c>
      <c r="K430" s="4" t="str">
        <f t="shared" si="65"/>
        <v/>
      </c>
      <c r="L430" s="4" t="str">
        <f>IFERROR(VLOOKUP(ROUND(K430,0),correction_tag!$A$7:$C$253,3),"x")</f>
        <v>x</v>
      </c>
      <c r="N430" s="4">
        <f t="shared" si="57"/>
        <v>1</v>
      </c>
      <c r="O430" s="4">
        <f>IF(N429=0,O429+INPUT_CAD!$B$4,INPUT_CAD!$B$4)</f>
        <v>2</v>
      </c>
      <c r="Q430" s="4" t="str">
        <f t="shared" si="58"/>
        <v/>
      </c>
      <c r="R430" s="4" t="str">
        <f t="shared" si="59"/>
        <v/>
      </c>
      <c r="S430" s="4" t="str">
        <f t="shared" si="60"/>
        <v/>
      </c>
      <c r="T430" s="4" t="str">
        <f>IFERROR(Q430*Setup!$C$26+R430*Setup!$D$26+S430*Setup!$E$26,"")</f>
        <v/>
      </c>
      <c r="U430" s="4" t="str">
        <f t="shared" si="62"/>
        <v/>
      </c>
      <c r="V430" s="4">
        <f t="shared" si="61"/>
        <v>90</v>
      </c>
    </row>
    <row r="431" spans="1:22" hidden="1" x14ac:dyDescent="0.25">
      <c r="A431" s="4" t="str">
        <f>IF(INPUT_CAD!A431="","",INPUT_CAD!A431)</f>
        <v/>
      </c>
      <c r="B431" s="4" t="str">
        <f>IF(INPUT_CAD!B431="","",INPUT_CAD!B431)</f>
        <v/>
      </c>
      <c r="C431" s="4" t="str">
        <f>IF(INPUT_CAD!C431="","",INPUT_CAD!C431)</f>
        <v/>
      </c>
      <c r="D431" s="4" t="str">
        <f>IF(INPUT_CAD!D431="","",INPUT_CAD!D431)</f>
        <v/>
      </c>
      <c r="E431" s="4" t="str">
        <f>IF(INPUT_CAD!E431="","",INPUT_CAD!E431)</f>
        <v/>
      </c>
      <c r="F431" s="4" t="str">
        <f>IF(INPUT_CAD!F431="","",INPUT_CAD!F431)</f>
        <v/>
      </c>
      <c r="G431" s="4" t="str">
        <f>IF(INPUT_CAD!G431="","",INPUT_CAD!G431)</f>
        <v/>
      </c>
      <c r="I431" s="4" t="str">
        <f t="shared" si="63"/>
        <v/>
      </c>
      <c r="J431" s="4" t="str">
        <f t="shared" si="64"/>
        <v/>
      </c>
      <c r="K431" s="4" t="str">
        <f t="shared" si="65"/>
        <v/>
      </c>
      <c r="L431" s="4" t="str">
        <f>IFERROR(VLOOKUP(ROUND(K431,0),correction_tag!$A$7:$C$253,3),"x")</f>
        <v>x</v>
      </c>
      <c r="N431" s="4">
        <f t="shared" si="57"/>
        <v>1</v>
      </c>
      <c r="O431" s="4">
        <f>IF(N430=0,O430+INPUT_CAD!$B$4,INPUT_CAD!$B$4)</f>
        <v>2</v>
      </c>
      <c r="Q431" s="4" t="str">
        <f t="shared" si="58"/>
        <v/>
      </c>
      <c r="R431" s="4" t="str">
        <f t="shared" si="59"/>
        <v/>
      </c>
      <c r="S431" s="4" t="str">
        <f t="shared" si="60"/>
        <v/>
      </c>
      <c r="T431" s="4" t="str">
        <f>IFERROR(Q431*Setup!$C$26+R431*Setup!$D$26+S431*Setup!$E$26,"")</f>
        <v/>
      </c>
      <c r="U431" s="4" t="str">
        <f t="shared" si="62"/>
        <v/>
      </c>
      <c r="V431" s="4">
        <f t="shared" si="61"/>
        <v>90</v>
      </c>
    </row>
    <row r="432" spans="1:22" hidden="1" x14ac:dyDescent="0.25">
      <c r="A432" s="4" t="str">
        <f>IF(INPUT_CAD!A432="","",INPUT_CAD!A432)</f>
        <v/>
      </c>
      <c r="B432" s="4" t="str">
        <f>IF(INPUT_CAD!B432="","",INPUT_CAD!B432)</f>
        <v/>
      </c>
      <c r="C432" s="4" t="str">
        <f>IF(INPUT_CAD!C432="","",INPUT_CAD!C432)</f>
        <v/>
      </c>
      <c r="D432" s="4" t="str">
        <f>IF(INPUT_CAD!D432="","",INPUT_CAD!D432)</f>
        <v/>
      </c>
      <c r="E432" s="4" t="str">
        <f>IF(INPUT_CAD!E432="","",INPUT_CAD!E432)</f>
        <v/>
      </c>
      <c r="F432" s="4" t="str">
        <f>IF(INPUT_CAD!F432="","",INPUT_CAD!F432)</f>
        <v/>
      </c>
      <c r="G432" s="4" t="str">
        <f>IF(INPUT_CAD!G432="","",INPUT_CAD!G432)</f>
        <v/>
      </c>
      <c r="I432" s="4" t="str">
        <f t="shared" si="63"/>
        <v/>
      </c>
      <c r="J432" s="4" t="str">
        <f t="shared" si="64"/>
        <v/>
      </c>
      <c r="K432" s="4" t="str">
        <f t="shared" si="65"/>
        <v/>
      </c>
      <c r="L432" s="4" t="str">
        <f>IFERROR(VLOOKUP(ROUND(K432,0),correction_tag!$A$7:$C$253,3),"x")</f>
        <v>x</v>
      </c>
      <c r="N432" s="4">
        <f t="shared" si="57"/>
        <v>1</v>
      </c>
      <c r="O432" s="4">
        <f>IF(N431=0,O431+INPUT_CAD!$B$4,INPUT_CAD!$B$4)</f>
        <v>2</v>
      </c>
      <c r="Q432" s="4" t="str">
        <f t="shared" si="58"/>
        <v/>
      </c>
      <c r="R432" s="4" t="str">
        <f t="shared" si="59"/>
        <v/>
      </c>
      <c r="S432" s="4" t="str">
        <f t="shared" si="60"/>
        <v/>
      </c>
      <c r="T432" s="4" t="str">
        <f>IFERROR(Q432*Setup!$C$26+R432*Setup!$D$26+S432*Setup!$E$26,"")</f>
        <v/>
      </c>
      <c r="U432" s="4" t="str">
        <f t="shared" si="62"/>
        <v/>
      </c>
      <c r="V432" s="4">
        <f t="shared" si="61"/>
        <v>90</v>
      </c>
    </row>
    <row r="433" spans="1:22" hidden="1" x14ac:dyDescent="0.25">
      <c r="A433" s="4" t="str">
        <f>IF(INPUT_CAD!A433="","",INPUT_CAD!A433)</f>
        <v/>
      </c>
      <c r="B433" s="4" t="str">
        <f>IF(INPUT_CAD!B433="","",INPUT_CAD!B433)</f>
        <v/>
      </c>
      <c r="C433" s="4" t="str">
        <f>IF(INPUT_CAD!C433="","",INPUT_CAD!C433)</f>
        <v/>
      </c>
      <c r="D433" s="4" t="str">
        <f>IF(INPUT_CAD!D433="","",INPUT_CAD!D433)</f>
        <v/>
      </c>
      <c r="E433" s="4" t="str">
        <f>IF(INPUT_CAD!E433="","",INPUT_CAD!E433)</f>
        <v/>
      </c>
      <c r="F433" s="4" t="str">
        <f>IF(INPUT_CAD!F433="","",INPUT_CAD!F433)</f>
        <v/>
      </c>
      <c r="G433" s="4" t="str">
        <f>IF(INPUT_CAD!G433="","",INPUT_CAD!G433)</f>
        <v/>
      </c>
      <c r="I433" s="4" t="str">
        <f t="shared" si="63"/>
        <v/>
      </c>
      <c r="J433" s="4" t="str">
        <f t="shared" si="64"/>
        <v/>
      </c>
      <c r="K433" s="4" t="str">
        <f t="shared" si="65"/>
        <v/>
      </c>
      <c r="L433" s="4" t="str">
        <f>IFERROR(VLOOKUP(ROUND(K433,0),correction_tag!$A$7:$C$253,3),"x")</f>
        <v>x</v>
      </c>
      <c r="N433" s="4">
        <f t="shared" si="57"/>
        <v>1</v>
      </c>
      <c r="O433" s="4">
        <f>IF(N432=0,O432+INPUT_CAD!$B$4,INPUT_CAD!$B$4)</f>
        <v>2</v>
      </c>
      <c r="Q433" s="4" t="str">
        <f t="shared" si="58"/>
        <v/>
      </c>
      <c r="R433" s="4" t="str">
        <f t="shared" si="59"/>
        <v/>
      </c>
      <c r="S433" s="4" t="str">
        <f t="shared" si="60"/>
        <v/>
      </c>
      <c r="T433" s="4" t="str">
        <f>IFERROR(Q433*Setup!$C$26+R433*Setup!$D$26+S433*Setup!$E$26,"")</f>
        <v/>
      </c>
      <c r="U433" s="4" t="str">
        <f t="shared" si="62"/>
        <v/>
      </c>
      <c r="V433" s="4">
        <f t="shared" si="61"/>
        <v>90</v>
      </c>
    </row>
    <row r="434" spans="1:22" hidden="1" x14ac:dyDescent="0.25">
      <c r="A434" s="4" t="str">
        <f>IF(INPUT_CAD!A434="","",INPUT_CAD!A434)</f>
        <v/>
      </c>
      <c r="B434" s="4" t="str">
        <f>IF(INPUT_CAD!B434="","",INPUT_CAD!B434)</f>
        <v/>
      </c>
      <c r="C434" s="4" t="str">
        <f>IF(INPUT_CAD!C434="","",INPUT_CAD!C434)</f>
        <v/>
      </c>
      <c r="D434" s="4" t="str">
        <f>IF(INPUT_CAD!D434="","",INPUT_CAD!D434)</f>
        <v/>
      </c>
      <c r="E434" s="4" t="str">
        <f>IF(INPUT_CAD!E434="","",INPUT_CAD!E434)</f>
        <v/>
      </c>
      <c r="F434" s="4" t="str">
        <f>IF(INPUT_CAD!F434="","",INPUT_CAD!F434)</f>
        <v/>
      </c>
      <c r="G434" s="4" t="str">
        <f>IF(INPUT_CAD!G434="","",INPUT_CAD!G434)</f>
        <v/>
      </c>
      <c r="I434" s="4" t="str">
        <f t="shared" si="63"/>
        <v/>
      </c>
      <c r="J434" s="4" t="str">
        <f t="shared" si="64"/>
        <v/>
      </c>
      <c r="K434" s="4" t="str">
        <f t="shared" si="65"/>
        <v/>
      </c>
      <c r="L434" s="4" t="str">
        <f>IFERROR(VLOOKUP(ROUND(K434,0),correction_tag!$A$7:$C$253,3),"x")</f>
        <v>x</v>
      </c>
      <c r="N434" s="4">
        <f t="shared" si="57"/>
        <v>1</v>
      </c>
      <c r="O434" s="4">
        <f>IF(N433=0,O433+INPUT_CAD!$B$4,INPUT_CAD!$B$4)</f>
        <v>2</v>
      </c>
      <c r="Q434" s="4" t="str">
        <f t="shared" si="58"/>
        <v/>
      </c>
      <c r="R434" s="4" t="str">
        <f t="shared" si="59"/>
        <v/>
      </c>
      <c r="S434" s="4" t="str">
        <f t="shared" si="60"/>
        <v/>
      </c>
      <c r="T434" s="4" t="str">
        <f>IFERROR(Q434*Setup!$C$26+R434*Setup!$D$26+S434*Setup!$E$26,"")</f>
        <v/>
      </c>
      <c r="U434" s="4" t="str">
        <f t="shared" si="62"/>
        <v/>
      </c>
      <c r="V434" s="4">
        <f t="shared" si="61"/>
        <v>90</v>
      </c>
    </row>
    <row r="435" spans="1:22" hidden="1" x14ac:dyDescent="0.25">
      <c r="A435" s="4" t="str">
        <f>IF(INPUT_CAD!A435="","",INPUT_CAD!A435)</f>
        <v/>
      </c>
      <c r="B435" s="4" t="str">
        <f>IF(INPUT_CAD!B435="","",INPUT_CAD!B435)</f>
        <v/>
      </c>
      <c r="C435" s="4" t="str">
        <f>IF(INPUT_CAD!C435="","",INPUT_CAD!C435)</f>
        <v/>
      </c>
      <c r="D435" s="4" t="str">
        <f>IF(INPUT_CAD!D435="","",INPUT_CAD!D435)</f>
        <v/>
      </c>
      <c r="E435" s="4" t="str">
        <f>IF(INPUT_CAD!E435="","",INPUT_CAD!E435)</f>
        <v/>
      </c>
      <c r="F435" s="4" t="str">
        <f>IF(INPUT_CAD!F435="","",INPUT_CAD!F435)</f>
        <v/>
      </c>
      <c r="G435" s="4" t="str">
        <f>IF(INPUT_CAD!G435="","",INPUT_CAD!G435)</f>
        <v/>
      </c>
      <c r="I435" s="4" t="str">
        <f t="shared" si="63"/>
        <v/>
      </c>
      <c r="J435" s="4" t="str">
        <f t="shared" si="64"/>
        <v/>
      </c>
      <c r="K435" s="4" t="str">
        <f t="shared" si="65"/>
        <v/>
      </c>
      <c r="L435" s="4" t="str">
        <f>IFERROR(VLOOKUP(ROUND(K435,0),correction_tag!$A$7:$C$253,3),"x")</f>
        <v>x</v>
      </c>
      <c r="N435" s="4">
        <f t="shared" si="57"/>
        <v>1</v>
      </c>
      <c r="O435" s="4">
        <f>IF(N434=0,O434+INPUT_CAD!$B$4,INPUT_CAD!$B$4)</f>
        <v>2</v>
      </c>
      <c r="Q435" s="4" t="str">
        <f t="shared" si="58"/>
        <v/>
      </c>
      <c r="R435" s="4" t="str">
        <f t="shared" si="59"/>
        <v/>
      </c>
      <c r="S435" s="4" t="str">
        <f t="shared" si="60"/>
        <v/>
      </c>
      <c r="T435" s="4" t="str">
        <f>IFERROR(Q435*Setup!$C$26+R435*Setup!$D$26+S435*Setup!$E$26,"")</f>
        <v/>
      </c>
      <c r="U435" s="4" t="str">
        <f t="shared" si="62"/>
        <v/>
      </c>
      <c r="V435" s="4">
        <f t="shared" si="61"/>
        <v>90</v>
      </c>
    </row>
    <row r="436" spans="1:22" hidden="1" x14ac:dyDescent="0.25">
      <c r="A436" s="4" t="str">
        <f>IF(INPUT_CAD!A436="","",INPUT_CAD!A436)</f>
        <v/>
      </c>
      <c r="B436" s="4" t="str">
        <f>IF(INPUT_CAD!B436="","",INPUT_CAD!B436)</f>
        <v/>
      </c>
      <c r="C436" s="4" t="str">
        <f>IF(INPUT_CAD!C436="","",INPUT_CAD!C436)</f>
        <v/>
      </c>
      <c r="D436" s="4" t="str">
        <f>IF(INPUT_CAD!D436="","",INPUT_CAD!D436)</f>
        <v/>
      </c>
      <c r="E436" s="4" t="str">
        <f>IF(INPUT_CAD!E436="","",INPUT_CAD!E436)</f>
        <v/>
      </c>
      <c r="F436" s="4" t="str">
        <f>IF(INPUT_CAD!F436="","",INPUT_CAD!F436)</f>
        <v/>
      </c>
      <c r="G436" s="4" t="str">
        <f>IF(INPUT_CAD!G436="","",INPUT_CAD!G436)</f>
        <v/>
      </c>
      <c r="I436" s="4" t="str">
        <f t="shared" si="63"/>
        <v/>
      </c>
      <c r="J436" s="4" t="str">
        <f t="shared" si="64"/>
        <v/>
      </c>
      <c r="K436" s="4" t="str">
        <f t="shared" si="65"/>
        <v/>
      </c>
      <c r="L436" s="4" t="str">
        <f>IFERROR(VLOOKUP(ROUND(K436,0),correction_tag!$A$7:$C$253,3),"x")</f>
        <v>x</v>
      </c>
      <c r="N436" s="4">
        <f t="shared" si="57"/>
        <v>1</v>
      </c>
      <c r="O436" s="4">
        <f>IF(N435=0,O435+INPUT_CAD!$B$4,INPUT_CAD!$B$4)</f>
        <v>2</v>
      </c>
      <c r="Q436" s="4" t="str">
        <f t="shared" si="58"/>
        <v/>
      </c>
      <c r="R436" s="4" t="str">
        <f t="shared" si="59"/>
        <v/>
      </c>
      <c r="S436" s="4" t="str">
        <f t="shared" si="60"/>
        <v/>
      </c>
      <c r="T436" s="4" t="str">
        <f>IFERROR(Q436*Setup!$C$26+R436*Setup!$D$26+S436*Setup!$E$26,"")</f>
        <v/>
      </c>
      <c r="U436" s="4" t="str">
        <f t="shared" si="62"/>
        <v/>
      </c>
      <c r="V436" s="4">
        <f t="shared" si="61"/>
        <v>90</v>
      </c>
    </row>
    <row r="437" spans="1:22" hidden="1" x14ac:dyDescent="0.25">
      <c r="A437" s="4" t="str">
        <f>IF(INPUT_CAD!A437="","",INPUT_CAD!A437)</f>
        <v/>
      </c>
      <c r="B437" s="4" t="str">
        <f>IF(INPUT_CAD!B437="","",INPUT_CAD!B437)</f>
        <v/>
      </c>
      <c r="C437" s="4" t="str">
        <f>IF(INPUT_CAD!C437="","",INPUT_CAD!C437)</f>
        <v/>
      </c>
      <c r="D437" s="4" t="str">
        <f>IF(INPUT_CAD!D437="","",INPUT_CAD!D437)</f>
        <v/>
      </c>
      <c r="E437" s="4" t="str">
        <f>IF(INPUT_CAD!E437="","",INPUT_CAD!E437)</f>
        <v/>
      </c>
      <c r="F437" s="4" t="str">
        <f>IF(INPUT_CAD!F437="","",INPUT_CAD!F437)</f>
        <v/>
      </c>
      <c r="G437" s="4" t="str">
        <f>IF(INPUT_CAD!G437="","",INPUT_CAD!G437)</f>
        <v/>
      </c>
      <c r="I437" s="4" t="str">
        <f t="shared" si="63"/>
        <v/>
      </c>
      <c r="J437" s="4" t="str">
        <f t="shared" si="64"/>
        <v/>
      </c>
      <c r="K437" s="4" t="str">
        <f t="shared" si="65"/>
        <v/>
      </c>
      <c r="L437" s="4" t="str">
        <f>IFERROR(VLOOKUP(ROUND(K437,0),correction_tag!$A$7:$C$253,3),"x")</f>
        <v>x</v>
      </c>
      <c r="N437" s="4">
        <f t="shared" si="57"/>
        <v>1</v>
      </c>
      <c r="O437" s="4">
        <f>IF(N436=0,O436+INPUT_CAD!$B$4,INPUT_CAD!$B$4)</f>
        <v>2</v>
      </c>
      <c r="Q437" s="4" t="str">
        <f t="shared" si="58"/>
        <v/>
      </c>
      <c r="R437" s="4" t="str">
        <f t="shared" si="59"/>
        <v/>
      </c>
      <c r="S437" s="4" t="str">
        <f t="shared" si="60"/>
        <v/>
      </c>
      <c r="T437" s="4" t="str">
        <f>IFERROR(Q437*Setup!$C$26+R437*Setup!$D$26+S437*Setup!$E$26,"")</f>
        <v/>
      </c>
      <c r="U437" s="4" t="str">
        <f t="shared" si="62"/>
        <v/>
      </c>
      <c r="V437" s="4">
        <f t="shared" si="61"/>
        <v>90</v>
      </c>
    </row>
    <row r="438" spans="1:22" hidden="1" x14ac:dyDescent="0.25">
      <c r="A438" s="4" t="str">
        <f>IF(INPUT_CAD!A438="","",INPUT_CAD!A438)</f>
        <v/>
      </c>
      <c r="B438" s="4" t="str">
        <f>IF(INPUT_CAD!B438="","",INPUT_CAD!B438)</f>
        <v/>
      </c>
      <c r="C438" s="4" t="str">
        <f>IF(INPUT_CAD!C438="","",INPUT_CAD!C438)</f>
        <v/>
      </c>
      <c r="D438" s="4" t="str">
        <f>IF(INPUT_CAD!D438="","",INPUT_CAD!D438)</f>
        <v/>
      </c>
      <c r="E438" s="4" t="str">
        <f>IF(INPUT_CAD!E438="","",INPUT_CAD!E438)</f>
        <v/>
      </c>
      <c r="F438" s="4" t="str">
        <f>IF(INPUT_CAD!F438="","",INPUT_CAD!F438)</f>
        <v/>
      </c>
      <c r="G438" s="4" t="str">
        <f>IF(INPUT_CAD!G438="","",INPUT_CAD!G438)</f>
        <v/>
      </c>
      <c r="I438" s="4" t="str">
        <f t="shared" si="63"/>
        <v/>
      </c>
      <c r="J438" s="4" t="str">
        <f t="shared" si="64"/>
        <v/>
      </c>
      <c r="K438" s="4" t="str">
        <f t="shared" si="65"/>
        <v/>
      </c>
      <c r="L438" s="4" t="str">
        <f>IFERROR(VLOOKUP(ROUND(K438,0),correction_tag!$A$7:$C$253,3),"x")</f>
        <v>x</v>
      </c>
      <c r="N438" s="4">
        <f t="shared" si="57"/>
        <v>1</v>
      </c>
      <c r="O438" s="4">
        <f>IF(N437=0,O437+INPUT_CAD!$B$4,INPUT_CAD!$B$4)</f>
        <v>2</v>
      </c>
      <c r="Q438" s="4" t="str">
        <f t="shared" si="58"/>
        <v/>
      </c>
      <c r="R438" s="4" t="str">
        <f t="shared" si="59"/>
        <v/>
      </c>
      <c r="S438" s="4" t="str">
        <f t="shared" si="60"/>
        <v/>
      </c>
      <c r="T438" s="4" t="str">
        <f>IFERROR(Q438*Setup!$C$26+R438*Setup!$D$26+S438*Setup!$E$26,"")</f>
        <v/>
      </c>
      <c r="U438" s="4" t="str">
        <f t="shared" si="62"/>
        <v/>
      </c>
      <c r="V438" s="4">
        <f t="shared" si="61"/>
        <v>90</v>
      </c>
    </row>
    <row r="439" spans="1:22" hidden="1" x14ac:dyDescent="0.25">
      <c r="A439" s="4" t="str">
        <f>IF(INPUT_CAD!A439="","",INPUT_CAD!A439)</f>
        <v/>
      </c>
      <c r="B439" s="4" t="str">
        <f>IF(INPUT_CAD!B439="","",INPUT_CAD!B439)</f>
        <v/>
      </c>
      <c r="C439" s="4" t="str">
        <f>IF(INPUT_CAD!C439="","",INPUT_CAD!C439)</f>
        <v/>
      </c>
      <c r="D439" s="4" t="str">
        <f>IF(INPUT_CAD!D439="","",INPUT_CAD!D439)</f>
        <v/>
      </c>
      <c r="E439" s="4" t="str">
        <f>IF(INPUT_CAD!E439="","",INPUT_CAD!E439)</f>
        <v/>
      </c>
      <c r="F439" s="4" t="str">
        <f>IF(INPUT_CAD!F439="","",INPUT_CAD!F439)</f>
        <v/>
      </c>
      <c r="G439" s="4" t="str">
        <f>IF(INPUT_CAD!G439="","",INPUT_CAD!G439)</f>
        <v/>
      </c>
      <c r="I439" s="4" t="str">
        <f t="shared" si="63"/>
        <v/>
      </c>
      <c r="J439" s="4" t="str">
        <f t="shared" si="64"/>
        <v/>
      </c>
      <c r="K439" s="4" t="str">
        <f t="shared" si="65"/>
        <v/>
      </c>
      <c r="L439" s="4" t="str">
        <f>IFERROR(VLOOKUP(ROUND(K439,0),correction_tag!$A$7:$C$253,3),"x")</f>
        <v>x</v>
      </c>
      <c r="N439" s="4">
        <f t="shared" si="57"/>
        <v>1</v>
      </c>
      <c r="O439" s="4">
        <f>IF(N438=0,O438+INPUT_CAD!$B$4,INPUT_CAD!$B$4)</f>
        <v>2</v>
      </c>
      <c r="Q439" s="4" t="str">
        <f t="shared" si="58"/>
        <v/>
      </c>
      <c r="R439" s="4" t="str">
        <f t="shared" si="59"/>
        <v/>
      </c>
      <c r="S439" s="4" t="str">
        <f t="shared" si="60"/>
        <v/>
      </c>
      <c r="T439" s="4" t="str">
        <f>IFERROR(Q439*Setup!$C$26+R439*Setup!$D$26+S439*Setup!$E$26,"")</f>
        <v/>
      </c>
      <c r="U439" s="4" t="str">
        <f t="shared" si="62"/>
        <v/>
      </c>
      <c r="V439" s="4">
        <f t="shared" si="61"/>
        <v>90</v>
      </c>
    </row>
    <row r="440" spans="1:22" hidden="1" x14ac:dyDescent="0.25">
      <c r="A440" s="4" t="str">
        <f>IF(INPUT_CAD!A440="","",INPUT_CAD!A440)</f>
        <v/>
      </c>
      <c r="B440" s="4" t="str">
        <f>IF(INPUT_CAD!B440="","",INPUT_CAD!B440)</f>
        <v/>
      </c>
      <c r="C440" s="4" t="str">
        <f>IF(INPUT_CAD!C440="","",INPUT_CAD!C440)</f>
        <v/>
      </c>
      <c r="D440" s="4" t="str">
        <f>IF(INPUT_CAD!D440="","",INPUT_CAD!D440)</f>
        <v/>
      </c>
      <c r="E440" s="4" t="str">
        <f>IF(INPUT_CAD!E440="","",INPUT_CAD!E440)</f>
        <v/>
      </c>
      <c r="F440" s="4" t="str">
        <f>IF(INPUT_CAD!F440="","",INPUT_CAD!F440)</f>
        <v/>
      </c>
      <c r="G440" s="4" t="str">
        <f>IF(INPUT_CAD!G440="","",INPUT_CAD!G440)</f>
        <v/>
      </c>
      <c r="I440" s="4" t="str">
        <f t="shared" si="63"/>
        <v/>
      </c>
      <c r="J440" s="4" t="str">
        <f t="shared" si="64"/>
        <v/>
      </c>
      <c r="K440" s="4" t="str">
        <f t="shared" si="65"/>
        <v/>
      </c>
      <c r="L440" s="4" t="str">
        <f>IFERROR(VLOOKUP(ROUND(K440,0),correction_tag!$A$7:$C$253,3),"x")</f>
        <v>x</v>
      </c>
      <c r="N440" s="4">
        <f t="shared" si="57"/>
        <v>1</v>
      </c>
      <c r="O440" s="4">
        <f>IF(N439=0,O439+INPUT_CAD!$B$4,INPUT_CAD!$B$4)</f>
        <v>2</v>
      </c>
      <c r="Q440" s="4" t="str">
        <f t="shared" si="58"/>
        <v/>
      </c>
      <c r="R440" s="4" t="str">
        <f t="shared" si="59"/>
        <v/>
      </c>
      <c r="S440" s="4" t="str">
        <f t="shared" si="60"/>
        <v/>
      </c>
      <c r="T440" s="4" t="str">
        <f>IFERROR(Q440*Setup!$C$26+R440*Setup!$D$26+S440*Setup!$E$26,"")</f>
        <v/>
      </c>
      <c r="U440" s="4" t="str">
        <f t="shared" si="62"/>
        <v/>
      </c>
      <c r="V440" s="4">
        <f t="shared" si="61"/>
        <v>90</v>
      </c>
    </row>
    <row r="441" spans="1:22" hidden="1" x14ac:dyDescent="0.25">
      <c r="A441" s="4" t="str">
        <f>IF(INPUT_CAD!A441="","",INPUT_CAD!A441)</f>
        <v/>
      </c>
      <c r="B441" s="4" t="str">
        <f>IF(INPUT_CAD!B441="","",INPUT_CAD!B441)</f>
        <v/>
      </c>
      <c r="C441" s="4" t="str">
        <f>IF(INPUT_CAD!C441="","",INPUT_CAD!C441)</f>
        <v/>
      </c>
      <c r="D441" s="4" t="str">
        <f>IF(INPUT_CAD!D441="","",INPUT_CAD!D441)</f>
        <v/>
      </c>
      <c r="E441" s="4" t="str">
        <f>IF(INPUT_CAD!E441="","",INPUT_CAD!E441)</f>
        <v/>
      </c>
      <c r="F441" s="4" t="str">
        <f>IF(INPUT_CAD!F441="","",INPUT_CAD!F441)</f>
        <v/>
      </c>
      <c r="G441" s="4" t="str">
        <f>IF(INPUT_CAD!G441="","",INPUT_CAD!G441)</f>
        <v/>
      </c>
      <c r="I441" s="4" t="str">
        <f t="shared" si="63"/>
        <v/>
      </c>
      <c r="J441" s="4" t="str">
        <f t="shared" si="64"/>
        <v/>
      </c>
      <c r="K441" s="4" t="str">
        <f t="shared" si="65"/>
        <v/>
      </c>
      <c r="L441" s="4" t="str">
        <f>IFERROR(VLOOKUP(ROUND(K441,0),correction_tag!$A$7:$C$253,3),"x")</f>
        <v>x</v>
      </c>
      <c r="N441" s="4">
        <f t="shared" si="57"/>
        <v>1</v>
      </c>
      <c r="O441" s="4">
        <f>IF(N440=0,O440+INPUT_CAD!$B$4,INPUT_CAD!$B$4)</f>
        <v>2</v>
      </c>
      <c r="Q441" s="4" t="str">
        <f t="shared" si="58"/>
        <v/>
      </c>
      <c r="R441" s="4" t="str">
        <f t="shared" si="59"/>
        <v/>
      </c>
      <c r="S441" s="4" t="str">
        <f t="shared" si="60"/>
        <v/>
      </c>
      <c r="T441" s="4" t="str">
        <f>IFERROR(Q441*Setup!$C$26+R441*Setup!$D$26+S441*Setup!$E$26,"")</f>
        <v/>
      </c>
      <c r="U441" s="4" t="str">
        <f t="shared" si="62"/>
        <v/>
      </c>
      <c r="V441" s="4">
        <f t="shared" si="61"/>
        <v>90</v>
      </c>
    </row>
    <row r="442" spans="1:22" hidden="1" x14ac:dyDescent="0.25">
      <c r="A442" s="4" t="str">
        <f>IF(INPUT_CAD!A442="","",INPUT_CAD!A442)</f>
        <v/>
      </c>
      <c r="B442" s="4" t="str">
        <f>IF(INPUT_CAD!B442="","",INPUT_CAD!B442)</f>
        <v/>
      </c>
      <c r="C442" s="4" t="str">
        <f>IF(INPUT_CAD!C442="","",INPUT_CAD!C442)</f>
        <v/>
      </c>
      <c r="D442" s="4" t="str">
        <f>IF(INPUT_CAD!D442="","",INPUT_CAD!D442)</f>
        <v/>
      </c>
      <c r="E442" s="4" t="str">
        <f>IF(INPUT_CAD!E442="","",INPUT_CAD!E442)</f>
        <v/>
      </c>
      <c r="F442" s="4" t="str">
        <f>IF(INPUT_CAD!F442="","",INPUT_CAD!F442)</f>
        <v/>
      </c>
      <c r="G442" s="4" t="str">
        <f>IF(INPUT_CAD!G442="","",INPUT_CAD!G442)</f>
        <v/>
      </c>
      <c r="I442" s="4" t="str">
        <f t="shared" si="63"/>
        <v/>
      </c>
      <c r="J442" s="4" t="str">
        <f t="shared" si="64"/>
        <v/>
      </c>
      <c r="K442" s="4" t="str">
        <f t="shared" si="65"/>
        <v/>
      </c>
      <c r="L442" s="4" t="str">
        <f>IFERROR(VLOOKUP(ROUND(K442,0),correction_tag!$A$7:$C$253,3),"x")</f>
        <v>x</v>
      </c>
      <c r="N442" s="4">
        <f t="shared" si="57"/>
        <v>1</v>
      </c>
      <c r="O442" s="4">
        <f>IF(N441=0,O441+INPUT_CAD!$B$4,INPUT_CAD!$B$4)</f>
        <v>2</v>
      </c>
      <c r="Q442" s="4" t="str">
        <f t="shared" si="58"/>
        <v/>
      </c>
      <c r="R442" s="4" t="str">
        <f t="shared" si="59"/>
        <v/>
      </c>
      <c r="S442" s="4" t="str">
        <f t="shared" si="60"/>
        <v/>
      </c>
      <c r="T442" s="4" t="str">
        <f>IFERROR(Q442*Setup!$C$26+R442*Setup!$D$26+S442*Setup!$E$26,"")</f>
        <v/>
      </c>
      <c r="U442" s="4" t="str">
        <f t="shared" si="62"/>
        <v/>
      </c>
      <c r="V442" s="4">
        <f t="shared" si="61"/>
        <v>90</v>
      </c>
    </row>
    <row r="443" spans="1:22" hidden="1" x14ac:dyDescent="0.25">
      <c r="A443" s="4" t="str">
        <f>IF(INPUT_CAD!A443="","",INPUT_CAD!A443)</f>
        <v/>
      </c>
      <c r="B443" s="4" t="str">
        <f>IF(INPUT_CAD!B443="","",INPUT_CAD!B443)</f>
        <v/>
      </c>
      <c r="C443" s="4" t="str">
        <f>IF(INPUT_CAD!C443="","",INPUT_CAD!C443)</f>
        <v/>
      </c>
      <c r="D443" s="4" t="str">
        <f>IF(INPUT_CAD!D443="","",INPUT_CAD!D443)</f>
        <v/>
      </c>
      <c r="E443" s="4" t="str">
        <f>IF(INPUT_CAD!E443="","",INPUT_CAD!E443)</f>
        <v/>
      </c>
      <c r="F443" s="4" t="str">
        <f>IF(INPUT_CAD!F443="","",INPUT_CAD!F443)</f>
        <v/>
      </c>
      <c r="G443" s="4" t="str">
        <f>IF(INPUT_CAD!G443="","",INPUT_CAD!G443)</f>
        <v/>
      </c>
      <c r="I443" s="4" t="str">
        <f t="shared" si="63"/>
        <v/>
      </c>
      <c r="J443" s="4" t="str">
        <f t="shared" si="64"/>
        <v/>
      </c>
      <c r="K443" s="4" t="str">
        <f t="shared" si="65"/>
        <v/>
      </c>
      <c r="L443" s="4" t="str">
        <f>IFERROR(VLOOKUP(ROUND(K443,0),correction_tag!$A$7:$C$253,3),"x")</f>
        <v>x</v>
      </c>
      <c r="N443" s="4">
        <f t="shared" si="57"/>
        <v>1</v>
      </c>
      <c r="O443" s="4">
        <f>IF(N442=0,O442+INPUT_CAD!$B$4,INPUT_CAD!$B$4)</f>
        <v>2</v>
      </c>
      <c r="Q443" s="4" t="str">
        <f t="shared" si="58"/>
        <v/>
      </c>
      <c r="R443" s="4" t="str">
        <f t="shared" si="59"/>
        <v/>
      </c>
      <c r="S443" s="4" t="str">
        <f t="shared" si="60"/>
        <v/>
      </c>
      <c r="T443" s="4" t="str">
        <f>IFERROR(Q443*Setup!$C$26+R443*Setup!$D$26+S443*Setup!$E$26,"")</f>
        <v/>
      </c>
      <c r="U443" s="4" t="str">
        <f t="shared" si="62"/>
        <v/>
      </c>
      <c r="V443" s="4">
        <f t="shared" si="61"/>
        <v>90</v>
      </c>
    </row>
    <row r="444" spans="1:22" hidden="1" x14ac:dyDescent="0.25">
      <c r="A444" s="4" t="str">
        <f>IF(INPUT_CAD!A444="","",INPUT_CAD!A444)</f>
        <v/>
      </c>
      <c r="B444" s="4" t="str">
        <f>IF(INPUT_CAD!B444="","",INPUT_CAD!B444)</f>
        <v/>
      </c>
      <c r="C444" s="4" t="str">
        <f>IF(INPUT_CAD!C444="","",INPUT_CAD!C444)</f>
        <v/>
      </c>
      <c r="D444" s="4" t="str">
        <f>IF(INPUT_CAD!D444="","",INPUT_CAD!D444)</f>
        <v/>
      </c>
      <c r="E444" s="4" t="str">
        <f>IF(INPUT_CAD!E444="","",INPUT_CAD!E444)</f>
        <v/>
      </c>
      <c r="F444" s="4" t="str">
        <f>IF(INPUT_CAD!F444="","",INPUT_CAD!F444)</f>
        <v/>
      </c>
      <c r="G444" s="4" t="str">
        <f>IF(INPUT_CAD!G444="","",INPUT_CAD!G444)</f>
        <v/>
      </c>
      <c r="I444" s="4" t="str">
        <f t="shared" si="63"/>
        <v/>
      </c>
      <c r="J444" s="4" t="str">
        <f t="shared" si="64"/>
        <v/>
      </c>
      <c r="K444" s="4" t="str">
        <f t="shared" si="65"/>
        <v/>
      </c>
      <c r="L444" s="4" t="str">
        <f>IFERROR(VLOOKUP(ROUND(K444,0),correction_tag!$A$7:$C$253,3),"x")</f>
        <v>x</v>
      </c>
      <c r="N444" s="4">
        <f t="shared" si="57"/>
        <v>1</v>
      </c>
      <c r="O444" s="4">
        <f>IF(N443=0,O443+INPUT_CAD!$B$4,INPUT_CAD!$B$4)</f>
        <v>2</v>
      </c>
      <c r="Q444" s="4" t="str">
        <f t="shared" si="58"/>
        <v/>
      </c>
      <c r="R444" s="4" t="str">
        <f t="shared" si="59"/>
        <v/>
      </c>
      <c r="S444" s="4" t="str">
        <f t="shared" si="60"/>
        <v/>
      </c>
      <c r="T444" s="4" t="str">
        <f>IFERROR(Q444*Setup!$C$26+R444*Setup!$D$26+S444*Setup!$E$26,"")</f>
        <v/>
      </c>
      <c r="U444" s="4" t="str">
        <f t="shared" si="62"/>
        <v/>
      </c>
      <c r="V444" s="4">
        <f t="shared" si="61"/>
        <v>90</v>
      </c>
    </row>
    <row r="445" spans="1:22" hidden="1" x14ac:dyDescent="0.25">
      <c r="A445" s="4" t="str">
        <f>IF(INPUT_CAD!A445="","",INPUT_CAD!A445)</f>
        <v/>
      </c>
      <c r="B445" s="4" t="str">
        <f>IF(INPUT_CAD!B445="","",INPUT_CAD!B445)</f>
        <v/>
      </c>
      <c r="C445" s="4" t="str">
        <f>IF(INPUT_CAD!C445="","",INPUT_CAD!C445)</f>
        <v/>
      </c>
      <c r="D445" s="4" t="str">
        <f>IF(INPUT_CAD!D445="","",INPUT_CAD!D445)</f>
        <v/>
      </c>
      <c r="E445" s="4" t="str">
        <f>IF(INPUT_CAD!E445="","",INPUT_CAD!E445)</f>
        <v/>
      </c>
      <c r="F445" s="4" t="str">
        <f>IF(INPUT_CAD!F445="","",INPUT_CAD!F445)</f>
        <v/>
      </c>
      <c r="G445" s="4" t="str">
        <f>IF(INPUT_CAD!G445="","",INPUT_CAD!G445)</f>
        <v/>
      </c>
      <c r="I445" s="4" t="str">
        <f t="shared" si="63"/>
        <v/>
      </c>
      <c r="J445" s="4" t="str">
        <f t="shared" si="64"/>
        <v/>
      </c>
      <c r="K445" s="4" t="str">
        <f t="shared" si="65"/>
        <v/>
      </c>
      <c r="L445" s="4" t="str">
        <f>IFERROR(VLOOKUP(ROUND(K445,0),correction_tag!$A$7:$C$253,3),"x")</f>
        <v>x</v>
      </c>
      <c r="N445" s="4">
        <f t="shared" si="57"/>
        <v>1</v>
      </c>
      <c r="O445" s="4">
        <f>IF(N444=0,O444+INPUT_CAD!$B$4,INPUT_CAD!$B$4)</f>
        <v>2</v>
      </c>
      <c r="Q445" s="4" t="str">
        <f t="shared" si="58"/>
        <v/>
      </c>
      <c r="R445" s="4" t="str">
        <f t="shared" si="59"/>
        <v/>
      </c>
      <c r="S445" s="4" t="str">
        <f t="shared" si="60"/>
        <v/>
      </c>
      <c r="T445" s="4" t="str">
        <f>IFERROR(Q445*Setup!$C$26+R445*Setup!$D$26+S445*Setup!$E$26,"")</f>
        <v/>
      </c>
      <c r="U445" s="4" t="str">
        <f t="shared" si="62"/>
        <v/>
      </c>
      <c r="V445" s="4">
        <f t="shared" si="61"/>
        <v>90</v>
      </c>
    </row>
    <row r="446" spans="1:22" hidden="1" x14ac:dyDescent="0.25">
      <c r="A446" s="4" t="str">
        <f>IF(INPUT_CAD!A446="","",INPUT_CAD!A446)</f>
        <v/>
      </c>
      <c r="B446" s="4" t="str">
        <f>IF(INPUT_CAD!B446="","",INPUT_CAD!B446)</f>
        <v/>
      </c>
      <c r="C446" s="4" t="str">
        <f>IF(INPUT_CAD!C446="","",INPUT_CAD!C446)</f>
        <v/>
      </c>
      <c r="D446" s="4" t="str">
        <f>IF(INPUT_CAD!D446="","",INPUT_CAD!D446)</f>
        <v/>
      </c>
      <c r="E446" s="4" t="str">
        <f>IF(INPUT_CAD!E446="","",INPUT_CAD!E446)</f>
        <v/>
      </c>
      <c r="F446" s="4" t="str">
        <f>IF(INPUT_CAD!F446="","",INPUT_CAD!F446)</f>
        <v/>
      </c>
      <c r="G446" s="4" t="str">
        <f>IF(INPUT_CAD!G446="","",INPUT_CAD!G446)</f>
        <v/>
      </c>
      <c r="I446" s="4" t="str">
        <f t="shared" si="63"/>
        <v/>
      </c>
      <c r="J446" s="4" t="str">
        <f t="shared" si="64"/>
        <v/>
      </c>
      <c r="K446" s="4" t="str">
        <f t="shared" si="65"/>
        <v/>
      </c>
      <c r="L446" s="4" t="str">
        <f>IFERROR(VLOOKUP(ROUND(K446,0),correction_tag!$A$7:$C$253,3),"x")</f>
        <v>x</v>
      </c>
      <c r="N446" s="4">
        <f t="shared" si="57"/>
        <v>1</v>
      </c>
      <c r="O446" s="4">
        <f>IF(N445=0,O445+INPUT_CAD!$B$4,INPUT_CAD!$B$4)</f>
        <v>2</v>
      </c>
      <c r="Q446" s="4" t="str">
        <f t="shared" si="58"/>
        <v/>
      </c>
      <c r="R446" s="4" t="str">
        <f t="shared" si="59"/>
        <v/>
      </c>
      <c r="S446" s="4" t="str">
        <f t="shared" si="60"/>
        <v/>
      </c>
      <c r="T446" s="4" t="str">
        <f>IFERROR(Q446*Setup!$C$26+R446*Setup!$D$26+S446*Setup!$E$26,"")</f>
        <v/>
      </c>
      <c r="U446" s="4" t="str">
        <f t="shared" si="62"/>
        <v/>
      </c>
      <c r="V446" s="4">
        <f t="shared" si="61"/>
        <v>90</v>
      </c>
    </row>
    <row r="447" spans="1:22" hidden="1" x14ac:dyDescent="0.25">
      <c r="A447" s="4" t="str">
        <f>IF(INPUT_CAD!A447="","",INPUT_CAD!A447)</f>
        <v/>
      </c>
      <c r="B447" s="4" t="str">
        <f>IF(INPUT_CAD!B447="","",INPUT_CAD!B447)</f>
        <v/>
      </c>
      <c r="C447" s="4" t="str">
        <f>IF(INPUT_CAD!C447="","",INPUT_CAD!C447)</f>
        <v/>
      </c>
      <c r="D447" s="4" t="str">
        <f>IF(INPUT_CAD!D447="","",INPUT_CAD!D447)</f>
        <v/>
      </c>
      <c r="E447" s="4" t="str">
        <f>IF(INPUT_CAD!E447="","",INPUT_CAD!E447)</f>
        <v/>
      </c>
      <c r="F447" s="4" t="str">
        <f>IF(INPUT_CAD!F447="","",INPUT_CAD!F447)</f>
        <v/>
      </c>
      <c r="G447" s="4" t="str">
        <f>IF(INPUT_CAD!G447="","",INPUT_CAD!G447)</f>
        <v/>
      </c>
      <c r="I447" s="4" t="str">
        <f t="shared" si="63"/>
        <v/>
      </c>
      <c r="J447" s="4" t="str">
        <f t="shared" si="64"/>
        <v/>
      </c>
      <c r="K447" s="4" t="str">
        <f t="shared" si="65"/>
        <v/>
      </c>
      <c r="L447" s="4" t="str">
        <f>IFERROR(VLOOKUP(ROUND(K447,0),correction_tag!$A$7:$C$253,3),"x")</f>
        <v>x</v>
      </c>
      <c r="N447" s="4">
        <f t="shared" si="57"/>
        <v>1</v>
      </c>
      <c r="O447" s="4">
        <f>IF(N446=0,O446+INPUT_CAD!$B$4,INPUT_CAD!$B$4)</f>
        <v>2</v>
      </c>
      <c r="Q447" s="4" t="str">
        <f t="shared" si="58"/>
        <v/>
      </c>
      <c r="R447" s="4" t="str">
        <f t="shared" si="59"/>
        <v/>
      </c>
      <c r="S447" s="4" t="str">
        <f t="shared" si="60"/>
        <v/>
      </c>
      <c r="T447" s="4" t="str">
        <f>IFERROR(Q447*Setup!$C$26+R447*Setup!$D$26+S447*Setup!$E$26,"")</f>
        <v/>
      </c>
      <c r="U447" s="4" t="str">
        <f t="shared" si="62"/>
        <v/>
      </c>
      <c r="V447" s="4">
        <f t="shared" si="61"/>
        <v>90</v>
      </c>
    </row>
    <row r="448" spans="1:22" hidden="1" x14ac:dyDescent="0.25">
      <c r="A448" s="4" t="str">
        <f>IF(INPUT_CAD!A448="","",INPUT_CAD!A448)</f>
        <v/>
      </c>
      <c r="B448" s="4" t="str">
        <f>IF(INPUT_CAD!B448="","",INPUT_CAD!B448)</f>
        <v/>
      </c>
      <c r="C448" s="4" t="str">
        <f>IF(INPUT_CAD!C448="","",INPUT_CAD!C448)</f>
        <v/>
      </c>
      <c r="D448" s="4" t="str">
        <f>IF(INPUT_CAD!D448="","",INPUT_CAD!D448)</f>
        <v/>
      </c>
      <c r="E448" s="4" t="str">
        <f>IF(INPUT_CAD!E448="","",INPUT_CAD!E448)</f>
        <v/>
      </c>
      <c r="F448" s="4" t="str">
        <f>IF(INPUT_CAD!F448="","",INPUT_CAD!F448)</f>
        <v/>
      </c>
      <c r="G448" s="4" t="str">
        <f>IF(INPUT_CAD!G448="","",INPUT_CAD!G448)</f>
        <v/>
      </c>
      <c r="I448" s="4" t="str">
        <f t="shared" si="63"/>
        <v/>
      </c>
      <c r="J448" s="4" t="str">
        <f t="shared" si="64"/>
        <v/>
      </c>
      <c r="K448" s="4" t="str">
        <f t="shared" si="65"/>
        <v/>
      </c>
      <c r="L448" s="4" t="str">
        <f>IFERROR(VLOOKUP(ROUND(K448,0),correction_tag!$A$7:$C$253,3),"x")</f>
        <v>x</v>
      </c>
      <c r="N448" s="4">
        <f t="shared" si="57"/>
        <v>1</v>
      </c>
      <c r="O448" s="4">
        <f>IF(N447=0,O447+INPUT_CAD!$B$4,INPUT_CAD!$B$4)</f>
        <v>2</v>
      </c>
      <c r="Q448" s="4" t="str">
        <f t="shared" si="58"/>
        <v/>
      </c>
      <c r="R448" s="4" t="str">
        <f t="shared" si="59"/>
        <v/>
      </c>
      <c r="S448" s="4" t="str">
        <f t="shared" si="60"/>
        <v/>
      </c>
      <c r="T448" s="4" t="str">
        <f>IFERROR(Q448*Setup!$C$26+R448*Setup!$D$26+S448*Setup!$E$26,"")</f>
        <v/>
      </c>
      <c r="U448" s="4" t="str">
        <f t="shared" si="62"/>
        <v/>
      </c>
      <c r="V448" s="4">
        <f t="shared" si="61"/>
        <v>90</v>
      </c>
    </row>
    <row r="449" spans="1:22" hidden="1" x14ac:dyDescent="0.25">
      <c r="A449" s="4" t="str">
        <f>IF(INPUT_CAD!A449="","",INPUT_CAD!A449)</f>
        <v/>
      </c>
      <c r="B449" s="4" t="str">
        <f>IF(INPUT_CAD!B449="","",INPUT_CAD!B449)</f>
        <v/>
      </c>
      <c r="C449" s="4" t="str">
        <f>IF(INPUT_CAD!C449="","",INPUT_CAD!C449)</f>
        <v/>
      </c>
      <c r="D449" s="4" t="str">
        <f>IF(INPUT_CAD!D449="","",INPUT_CAD!D449)</f>
        <v/>
      </c>
      <c r="E449" s="4" t="str">
        <f>IF(INPUT_CAD!E449="","",INPUT_CAD!E449)</f>
        <v/>
      </c>
      <c r="F449" s="4" t="str">
        <f>IF(INPUT_CAD!F449="","",INPUT_CAD!F449)</f>
        <v/>
      </c>
      <c r="G449" s="4" t="str">
        <f>IF(INPUT_CAD!G449="","",INPUT_CAD!G449)</f>
        <v/>
      </c>
      <c r="I449" s="4" t="str">
        <f t="shared" si="63"/>
        <v/>
      </c>
      <c r="J449" s="4" t="str">
        <f t="shared" si="64"/>
        <v/>
      </c>
      <c r="K449" s="4" t="str">
        <f t="shared" si="65"/>
        <v/>
      </c>
      <c r="L449" s="4" t="str">
        <f>IFERROR(VLOOKUP(ROUND(K449,0),correction_tag!$A$7:$C$253,3),"x")</f>
        <v>x</v>
      </c>
      <c r="N449" s="4">
        <f t="shared" si="57"/>
        <v>1</v>
      </c>
      <c r="O449" s="4">
        <f>IF(N448=0,O448+INPUT_CAD!$B$4,INPUT_CAD!$B$4)</f>
        <v>2</v>
      </c>
      <c r="Q449" s="4" t="str">
        <f t="shared" si="58"/>
        <v/>
      </c>
      <c r="R449" s="4" t="str">
        <f t="shared" si="59"/>
        <v/>
      </c>
      <c r="S449" s="4" t="str">
        <f t="shared" si="60"/>
        <v/>
      </c>
      <c r="T449" s="4" t="str">
        <f>IFERROR(Q449*Setup!$C$26+R449*Setup!$D$26+S449*Setup!$E$26,"")</f>
        <v/>
      </c>
      <c r="U449" s="4" t="str">
        <f t="shared" si="62"/>
        <v/>
      </c>
      <c r="V449" s="4">
        <f t="shared" si="61"/>
        <v>90</v>
      </c>
    </row>
    <row r="450" spans="1:22" hidden="1" x14ac:dyDescent="0.25">
      <c r="A450" s="4" t="str">
        <f>IF(INPUT_CAD!A450="","",INPUT_CAD!A450)</f>
        <v/>
      </c>
      <c r="B450" s="4" t="str">
        <f>IF(INPUT_CAD!B450="","",INPUT_CAD!B450)</f>
        <v/>
      </c>
      <c r="C450" s="4" t="str">
        <f>IF(INPUT_CAD!C450="","",INPUT_CAD!C450)</f>
        <v/>
      </c>
      <c r="D450" s="4" t="str">
        <f>IF(INPUT_CAD!D450="","",INPUT_CAD!D450)</f>
        <v/>
      </c>
      <c r="E450" s="4" t="str">
        <f>IF(INPUT_CAD!E450="","",INPUT_CAD!E450)</f>
        <v/>
      </c>
      <c r="F450" s="4" t="str">
        <f>IF(INPUT_CAD!F450="","",INPUT_CAD!F450)</f>
        <v/>
      </c>
      <c r="G450" s="4" t="str">
        <f>IF(INPUT_CAD!G450="","",INPUT_CAD!G450)</f>
        <v/>
      </c>
      <c r="I450" s="4" t="str">
        <f t="shared" si="63"/>
        <v/>
      </c>
      <c r="J450" s="4" t="str">
        <f t="shared" si="64"/>
        <v/>
      </c>
      <c r="K450" s="4" t="str">
        <f t="shared" si="65"/>
        <v/>
      </c>
      <c r="L450" s="4" t="str">
        <f>IFERROR(VLOOKUP(ROUND(K450,0),correction_tag!$A$7:$C$253,3),"x")</f>
        <v>x</v>
      </c>
      <c r="N450" s="4">
        <f t="shared" si="57"/>
        <v>1</v>
      </c>
      <c r="O450" s="4">
        <f>IF(N449=0,O449+INPUT_CAD!$B$4,INPUT_CAD!$B$4)</f>
        <v>2</v>
      </c>
      <c r="Q450" s="4" t="str">
        <f t="shared" si="58"/>
        <v/>
      </c>
      <c r="R450" s="4" t="str">
        <f t="shared" si="59"/>
        <v/>
      </c>
      <c r="S450" s="4" t="str">
        <f t="shared" si="60"/>
        <v/>
      </c>
      <c r="T450" s="4" t="str">
        <f>IFERROR(Q450*Setup!$C$26+R450*Setup!$D$26+S450*Setup!$E$26,"")</f>
        <v/>
      </c>
      <c r="U450" s="4" t="str">
        <f t="shared" si="62"/>
        <v/>
      </c>
      <c r="V450" s="4">
        <f t="shared" si="61"/>
        <v>90</v>
      </c>
    </row>
    <row r="451" spans="1:22" hidden="1" x14ac:dyDescent="0.25">
      <c r="A451" s="4" t="str">
        <f>IF(INPUT_CAD!A451="","",INPUT_CAD!A451)</f>
        <v/>
      </c>
      <c r="B451" s="4" t="str">
        <f>IF(INPUT_CAD!B451="","",INPUT_CAD!B451)</f>
        <v/>
      </c>
      <c r="C451" s="4" t="str">
        <f>IF(INPUT_CAD!C451="","",INPUT_CAD!C451)</f>
        <v/>
      </c>
      <c r="D451" s="4" t="str">
        <f>IF(INPUT_CAD!D451="","",INPUT_CAD!D451)</f>
        <v/>
      </c>
      <c r="E451" s="4" t="str">
        <f>IF(INPUT_CAD!E451="","",INPUT_CAD!E451)</f>
        <v/>
      </c>
      <c r="F451" s="4" t="str">
        <f>IF(INPUT_CAD!F451="","",INPUT_CAD!F451)</f>
        <v/>
      </c>
      <c r="G451" s="4" t="str">
        <f>IF(INPUT_CAD!G451="","",INPUT_CAD!G451)</f>
        <v/>
      </c>
      <c r="I451" s="4" t="str">
        <f t="shared" si="63"/>
        <v/>
      </c>
      <c r="J451" s="4" t="str">
        <f t="shared" si="64"/>
        <v/>
      </c>
      <c r="K451" s="4" t="str">
        <f t="shared" si="65"/>
        <v/>
      </c>
      <c r="L451" s="4" t="str">
        <f>IFERROR(VLOOKUP(ROUND(K451,0),correction_tag!$A$7:$C$253,3),"x")</f>
        <v>x</v>
      </c>
      <c r="N451" s="4">
        <f t="shared" si="57"/>
        <v>1</v>
      </c>
      <c r="O451" s="4">
        <f>IF(N450=0,O450+INPUT_CAD!$B$4,INPUT_CAD!$B$4)</f>
        <v>2</v>
      </c>
      <c r="Q451" s="4" t="str">
        <f t="shared" si="58"/>
        <v/>
      </c>
      <c r="R451" s="4" t="str">
        <f t="shared" si="59"/>
        <v/>
      </c>
      <c r="S451" s="4" t="str">
        <f t="shared" si="60"/>
        <v/>
      </c>
      <c r="T451" s="4" t="str">
        <f>IFERROR(Q451*Setup!$C$26+R451*Setup!$D$26+S451*Setup!$E$26,"")</f>
        <v/>
      </c>
      <c r="U451" s="4" t="str">
        <f t="shared" si="62"/>
        <v/>
      </c>
      <c r="V451" s="4">
        <f t="shared" si="61"/>
        <v>90</v>
      </c>
    </row>
    <row r="452" spans="1:22" hidden="1" x14ac:dyDescent="0.25">
      <c r="A452" s="4" t="str">
        <f>IF(INPUT_CAD!A452="","",INPUT_CAD!A452)</f>
        <v/>
      </c>
      <c r="B452" s="4" t="str">
        <f>IF(INPUT_CAD!B452="","",INPUT_CAD!B452)</f>
        <v/>
      </c>
      <c r="C452" s="4" t="str">
        <f>IF(INPUT_CAD!C452="","",INPUT_CAD!C452)</f>
        <v/>
      </c>
      <c r="D452" s="4" t="str">
        <f>IF(INPUT_CAD!D452="","",INPUT_CAD!D452)</f>
        <v/>
      </c>
      <c r="E452" s="4" t="str">
        <f>IF(INPUT_CAD!E452="","",INPUT_CAD!E452)</f>
        <v/>
      </c>
      <c r="F452" s="4" t="str">
        <f>IF(INPUT_CAD!F452="","",INPUT_CAD!F452)</f>
        <v/>
      </c>
      <c r="G452" s="4" t="str">
        <f>IF(INPUT_CAD!G452="","",INPUT_CAD!G452)</f>
        <v/>
      </c>
      <c r="I452" s="4" t="str">
        <f t="shared" si="63"/>
        <v/>
      </c>
      <c r="J452" s="4" t="str">
        <f t="shared" si="64"/>
        <v/>
      </c>
      <c r="K452" s="4" t="str">
        <f t="shared" si="65"/>
        <v/>
      </c>
      <c r="L452" s="4" t="str">
        <f>IFERROR(VLOOKUP(ROUND(K452,0),correction_tag!$A$7:$C$253,3),"x")</f>
        <v>x</v>
      </c>
      <c r="N452" s="4">
        <f t="shared" si="57"/>
        <v>1</v>
      </c>
      <c r="O452" s="4">
        <f>IF(N451=0,O451+INPUT_CAD!$B$4,INPUT_CAD!$B$4)</f>
        <v>2</v>
      </c>
      <c r="Q452" s="4" t="str">
        <f t="shared" si="58"/>
        <v/>
      </c>
      <c r="R452" s="4" t="str">
        <f t="shared" si="59"/>
        <v/>
      </c>
      <c r="S452" s="4" t="str">
        <f t="shared" si="60"/>
        <v/>
      </c>
      <c r="T452" s="4" t="str">
        <f>IFERROR(Q452*Setup!$C$26+R452*Setup!$D$26+S452*Setup!$E$26,"")</f>
        <v/>
      </c>
      <c r="U452" s="4" t="str">
        <f t="shared" si="62"/>
        <v/>
      </c>
      <c r="V452" s="4">
        <f t="shared" si="61"/>
        <v>90</v>
      </c>
    </row>
    <row r="453" spans="1:22" hidden="1" x14ac:dyDescent="0.25">
      <c r="A453" s="4" t="str">
        <f>IF(INPUT_CAD!A453="","",INPUT_CAD!A453)</f>
        <v/>
      </c>
      <c r="B453" s="4" t="str">
        <f>IF(INPUT_CAD!B453="","",INPUT_CAD!B453)</f>
        <v/>
      </c>
      <c r="C453" s="4" t="str">
        <f>IF(INPUT_CAD!C453="","",INPUT_CAD!C453)</f>
        <v/>
      </c>
      <c r="D453" s="4" t="str">
        <f>IF(INPUT_CAD!D453="","",INPUT_CAD!D453)</f>
        <v/>
      </c>
      <c r="E453" s="4" t="str">
        <f>IF(INPUT_CAD!E453="","",INPUT_CAD!E453)</f>
        <v/>
      </c>
      <c r="F453" s="4" t="str">
        <f>IF(INPUT_CAD!F453="","",INPUT_CAD!F453)</f>
        <v/>
      </c>
      <c r="G453" s="4" t="str">
        <f>IF(INPUT_CAD!G453="","",INPUT_CAD!G453)</f>
        <v/>
      </c>
      <c r="I453" s="4" t="str">
        <f t="shared" si="63"/>
        <v/>
      </c>
      <c r="J453" s="4" t="str">
        <f t="shared" si="64"/>
        <v/>
      </c>
      <c r="K453" s="4" t="str">
        <f t="shared" si="65"/>
        <v/>
      </c>
      <c r="L453" s="4" t="str">
        <f>IFERROR(VLOOKUP(ROUND(K453,0),correction_tag!$A$7:$C$253,3),"x")</f>
        <v>x</v>
      </c>
      <c r="N453" s="4">
        <f t="shared" si="57"/>
        <v>1</v>
      </c>
      <c r="O453" s="4">
        <f>IF(N452=0,O452+INPUT_CAD!$B$4,INPUT_CAD!$B$4)</f>
        <v>2</v>
      </c>
      <c r="Q453" s="4" t="str">
        <f t="shared" si="58"/>
        <v/>
      </c>
      <c r="R453" s="4" t="str">
        <f t="shared" si="59"/>
        <v/>
      </c>
      <c r="S453" s="4" t="str">
        <f t="shared" si="60"/>
        <v/>
      </c>
      <c r="T453" s="4" t="str">
        <f>IFERROR(Q453*Setup!$C$26+R453*Setup!$D$26+S453*Setup!$E$26,"")</f>
        <v/>
      </c>
      <c r="U453" s="4" t="str">
        <f t="shared" si="62"/>
        <v/>
      </c>
      <c r="V453" s="4">
        <f t="shared" si="61"/>
        <v>90</v>
      </c>
    </row>
    <row r="454" spans="1:22" hidden="1" x14ac:dyDescent="0.25">
      <c r="A454" s="4" t="str">
        <f>IF(INPUT_CAD!A454="","",INPUT_CAD!A454)</f>
        <v/>
      </c>
      <c r="B454" s="4" t="str">
        <f>IF(INPUT_CAD!B454="","",INPUT_CAD!B454)</f>
        <v/>
      </c>
      <c r="C454" s="4" t="str">
        <f>IF(INPUT_CAD!C454="","",INPUT_CAD!C454)</f>
        <v/>
      </c>
      <c r="D454" s="4" t="str">
        <f>IF(INPUT_CAD!D454="","",INPUT_CAD!D454)</f>
        <v/>
      </c>
      <c r="E454" s="4" t="str">
        <f>IF(INPUT_CAD!E454="","",INPUT_CAD!E454)</f>
        <v/>
      </c>
      <c r="F454" s="4" t="str">
        <f>IF(INPUT_CAD!F454="","",INPUT_CAD!F454)</f>
        <v/>
      </c>
      <c r="G454" s="4" t="str">
        <f>IF(INPUT_CAD!G454="","",INPUT_CAD!G454)</f>
        <v/>
      </c>
      <c r="I454" s="4" t="str">
        <f t="shared" si="63"/>
        <v/>
      </c>
      <c r="J454" s="4" t="str">
        <f t="shared" si="64"/>
        <v/>
      </c>
      <c r="K454" s="4" t="str">
        <f t="shared" si="65"/>
        <v/>
      </c>
      <c r="L454" s="4" t="str">
        <f>IFERROR(VLOOKUP(ROUND(K454,0),correction_tag!$A$7:$C$253,3),"x")</f>
        <v>x</v>
      </c>
      <c r="N454" s="4">
        <f t="shared" si="57"/>
        <v>1</v>
      </c>
      <c r="O454" s="4">
        <f>IF(N453=0,O453+INPUT_CAD!$B$4,INPUT_CAD!$B$4)</f>
        <v>2</v>
      </c>
      <c r="Q454" s="4" t="str">
        <f t="shared" si="58"/>
        <v/>
      </c>
      <c r="R454" s="4" t="str">
        <f t="shared" si="59"/>
        <v/>
      </c>
      <c r="S454" s="4" t="str">
        <f t="shared" si="60"/>
        <v/>
      </c>
      <c r="T454" s="4" t="str">
        <f>IFERROR(Q454*Setup!$C$26+R454*Setup!$D$26+S454*Setup!$E$26,"")</f>
        <v/>
      </c>
      <c r="U454" s="4" t="str">
        <f t="shared" si="62"/>
        <v/>
      </c>
      <c r="V454" s="4">
        <f t="shared" si="61"/>
        <v>90</v>
      </c>
    </row>
    <row r="455" spans="1:22" hidden="1" x14ac:dyDescent="0.25">
      <c r="A455" s="4" t="str">
        <f>IF(INPUT_CAD!A455="","",INPUT_CAD!A455)</f>
        <v/>
      </c>
      <c r="B455" s="4" t="str">
        <f>IF(INPUT_CAD!B455="","",INPUT_CAD!B455)</f>
        <v/>
      </c>
      <c r="C455" s="4" t="str">
        <f>IF(INPUT_CAD!C455="","",INPUT_CAD!C455)</f>
        <v/>
      </c>
      <c r="D455" s="4" t="str">
        <f>IF(INPUT_CAD!D455="","",INPUT_CAD!D455)</f>
        <v/>
      </c>
      <c r="E455" s="4" t="str">
        <f>IF(INPUT_CAD!E455="","",INPUT_CAD!E455)</f>
        <v/>
      </c>
      <c r="F455" s="4" t="str">
        <f>IF(INPUT_CAD!F455="","",INPUT_CAD!F455)</f>
        <v/>
      </c>
      <c r="G455" s="4" t="str">
        <f>IF(INPUT_CAD!G455="","",INPUT_CAD!G455)</f>
        <v/>
      </c>
      <c r="I455" s="4" t="str">
        <f t="shared" si="63"/>
        <v/>
      </c>
      <c r="J455" s="4" t="str">
        <f t="shared" si="64"/>
        <v/>
      </c>
      <c r="K455" s="4" t="str">
        <f t="shared" si="65"/>
        <v/>
      </c>
      <c r="L455" s="4" t="str">
        <f>IFERROR(VLOOKUP(ROUND(K455,0),correction_tag!$A$7:$C$253,3),"x")</f>
        <v>x</v>
      </c>
      <c r="N455" s="4">
        <f t="shared" si="57"/>
        <v>1</v>
      </c>
      <c r="O455" s="4">
        <f>IF(N454=0,O454+INPUT_CAD!$B$4,INPUT_CAD!$B$4)</f>
        <v>2</v>
      </c>
      <c r="Q455" s="4" t="str">
        <f t="shared" si="58"/>
        <v/>
      </c>
      <c r="R455" s="4" t="str">
        <f t="shared" si="59"/>
        <v/>
      </c>
      <c r="S455" s="4" t="str">
        <f t="shared" si="60"/>
        <v/>
      </c>
      <c r="T455" s="4" t="str">
        <f>IFERROR(Q455*Setup!$C$26+R455*Setup!$D$26+S455*Setup!$E$26,"")</f>
        <v/>
      </c>
      <c r="U455" s="4" t="str">
        <f t="shared" si="62"/>
        <v/>
      </c>
      <c r="V455" s="4">
        <f t="shared" si="61"/>
        <v>90</v>
      </c>
    </row>
    <row r="456" spans="1:22" hidden="1" x14ac:dyDescent="0.25">
      <c r="A456" s="4" t="str">
        <f>IF(INPUT_CAD!A456="","",INPUT_CAD!A456)</f>
        <v/>
      </c>
      <c r="B456" s="4" t="str">
        <f>IF(INPUT_CAD!B456="","",INPUT_CAD!B456)</f>
        <v/>
      </c>
      <c r="C456" s="4" t="str">
        <f>IF(INPUT_CAD!C456="","",INPUT_CAD!C456)</f>
        <v/>
      </c>
      <c r="D456" s="4" t="str">
        <f>IF(INPUT_CAD!D456="","",INPUT_CAD!D456)</f>
        <v/>
      </c>
      <c r="E456" s="4" t="str">
        <f>IF(INPUT_CAD!E456="","",INPUT_CAD!E456)</f>
        <v/>
      </c>
      <c r="F456" s="4" t="str">
        <f>IF(INPUT_CAD!F456="","",INPUT_CAD!F456)</f>
        <v/>
      </c>
      <c r="G456" s="4" t="str">
        <f>IF(INPUT_CAD!G456="","",INPUT_CAD!G456)</f>
        <v/>
      </c>
      <c r="I456" s="4" t="str">
        <f t="shared" si="63"/>
        <v/>
      </c>
      <c r="J456" s="4" t="str">
        <f t="shared" si="64"/>
        <v/>
      </c>
      <c r="K456" s="4" t="str">
        <f t="shared" si="65"/>
        <v/>
      </c>
      <c r="L456" s="4" t="str">
        <f>IFERROR(VLOOKUP(ROUND(K456,0),correction_tag!$A$7:$C$253,3),"x")</f>
        <v>x</v>
      </c>
      <c r="N456" s="4">
        <f t="shared" si="57"/>
        <v>1</v>
      </c>
      <c r="O456" s="4">
        <f>IF(N455=0,O455+INPUT_CAD!$B$4,INPUT_CAD!$B$4)</f>
        <v>2</v>
      </c>
      <c r="Q456" s="4" t="str">
        <f t="shared" si="58"/>
        <v/>
      </c>
      <c r="R456" s="4" t="str">
        <f t="shared" si="59"/>
        <v/>
      </c>
      <c r="S456" s="4" t="str">
        <f t="shared" si="60"/>
        <v/>
      </c>
      <c r="T456" s="4" t="str">
        <f>IFERROR(Q456*Setup!$C$26+R456*Setup!$D$26+S456*Setup!$E$26,"")</f>
        <v/>
      </c>
      <c r="U456" s="4" t="str">
        <f t="shared" si="62"/>
        <v/>
      </c>
      <c r="V456" s="4">
        <f t="shared" si="61"/>
        <v>90</v>
      </c>
    </row>
    <row r="457" spans="1:22" hidden="1" x14ac:dyDescent="0.25">
      <c r="A457" s="4" t="str">
        <f>IF(INPUT_CAD!A457="","",INPUT_CAD!A457)</f>
        <v/>
      </c>
      <c r="B457" s="4" t="str">
        <f>IF(INPUT_CAD!B457="","",INPUT_CAD!B457)</f>
        <v/>
      </c>
      <c r="C457" s="4" t="str">
        <f>IF(INPUT_CAD!C457="","",INPUT_CAD!C457)</f>
        <v/>
      </c>
      <c r="D457" s="4" t="str">
        <f>IF(INPUT_CAD!D457="","",INPUT_CAD!D457)</f>
        <v/>
      </c>
      <c r="E457" s="4" t="str">
        <f>IF(INPUT_CAD!E457="","",INPUT_CAD!E457)</f>
        <v/>
      </c>
      <c r="F457" s="4" t="str">
        <f>IF(INPUT_CAD!F457="","",INPUT_CAD!F457)</f>
        <v/>
      </c>
      <c r="G457" s="4" t="str">
        <f>IF(INPUT_CAD!G457="","",INPUT_CAD!G457)</f>
        <v/>
      </c>
      <c r="I457" s="4" t="str">
        <f t="shared" si="63"/>
        <v/>
      </c>
      <c r="J457" s="4" t="str">
        <f t="shared" si="64"/>
        <v/>
      </c>
      <c r="K457" s="4" t="str">
        <f t="shared" si="65"/>
        <v/>
      </c>
      <c r="L457" s="4" t="str">
        <f>IFERROR(VLOOKUP(ROUND(K457,0),correction_tag!$A$7:$C$253,3),"x")</f>
        <v>x</v>
      </c>
      <c r="N457" s="4">
        <f t="shared" si="57"/>
        <v>1</v>
      </c>
      <c r="O457" s="4">
        <f>IF(N456=0,O456+INPUT_CAD!$B$4,INPUT_CAD!$B$4)</f>
        <v>2</v>
      </c>
      <c r="Q457" s="4" t="str">
        <f t="shared" si="58"/>
        <v/>
      </c>
      <c r="R457" s="4" t="str">
        <f t="shared" si="59"/>
        <v/>
      </c>
      <c r="S457" s="4" t="str">
        <f t="shared" si="60"/>
        <v/>
      </c>
      <c r="T457" s="4" t="str">
        <f>IFERROR(Q457*Setup!$C$26+R457*Setup!$D$26+S457*Setup!$E$26,"")</f>
        <v/>
      </c>
      <c r="U457" s="4" t="str">
        <f t="shared" si="62"/>
        <v/>
      </c>
      <c r="V457" s="4">
        <f t="shared" si="61"/>
        <v>90</v>
      </c>
    </row>
    <row r="458" spans="1:22" hidden="1" x14ac:dyDescent="0.25">
      <c r="A458" s="4" t="str">
        <f>IF(INPUT_CAD!A458="","",INPUT_CAD!A458)</f>
        <v/>
      </c>
      <c r="B458" s="4" t="str">
        <f>IF(INPUT_CAD!B458="","",INPUT_CAD!B458)</f>
        <v/>
      </c>
      <c r="C458" s="4" t="str">
        <f>IF(INPUT_CAD!C458="","",INPUT_CAD!C458)</f>
        <v/>
      </c>
      <c r="D458" s="4" t="str">
        <f>IF(INPUT_CAD!D458="","",INPUT_CAD!D458)</f>
        <v/>
      </c>
      <c r="E458" s="4" t="str">
        <f>IF(INPUT_CAD!E458="","",INPUT_CAD!E458)</f>
        <v/>
      </c>
      <c r="F458" s="4" t="str">
        <f>IF(INPUT_CAD!F458="","",INPUT_CAD!F458)</f>
        <v/>
      </c>
      <c r="G458" s="4" t="str">
        <f>IF(INPUT_CAD!G458="","",INPUT_CAD!G458)</f>
        <v/>
      </c>
      <c r="I458" s="4" t="str">
        <f t="shared" si="63"/>
        <v/>
      </c>
      <c r="J458" s="4" t="str">
        <f t="shared" si="64"/>
        <v/>
      </c>
      <c r="K458" s="4" t="str">
        <f t="shared" si="65"/>
        <v/>
      </c>
      <c r="L458" s="4" t="str">
        <f>IFERROR(VLOOKUP(ROUND(K458,0),correction_tag!$A$7:$C$253,3),"x")</f>
        <v>x</v>
      </c>
      <c r="N458" s="4">
        <f t="shared" si="57"/>
        <v>1</v>
      </c>
      <c r="O458" s="4">
        <f>IF(N457=0,O457+INPUT_CAD!$B$4,INPUT_CAD!$B$4)</f>
        <v>2</v>
      </c>
      <c r="Q458" s="4" t="str">
        <f t="shared" si="58"/>
        <v/>
      </c>
      <c r="R458" s="4" t="str">
        <f t="shared" si="59"/>
        <v/>
      </c>
      <c r="S458" s="4" t="str">
        <f t="shared" si="60"/>
        <v/>
      </c>
      <c r="T458" s="4" t="str">
        <f>IFERROR(Q458*Setup!$C$26+R458*Setup!$D$26+S458*Setup!$E$26,"")</f>
        <v/>
      </c>
      <c r="U458" s="4" t="str">
        <f t="shared" si="62"/>
        <v/>
      </c>
      <c r="V458" s="4">
        <f t="shared" si="61"/>
        <v>90</v>
      </c>
    </row>
    <row r="459" spans="1:22" hidden="1" x14ac:dyDescent="0.25">
      <c r="A459" s="4" t="str">
        <f>IF(INPUT_CAD!A459="","",INPUT_CAD!A459)</f>
        <v/>
      </c>
      <c r="B459" s="4" t="str">
        <f>IF(INPUT_CAD!B459="","",INPUT_CAD!B459)</f>
        <v/>
      </c>
      <c r="C459" s="4" t="str">
        <f>IF(INPUT_CAD!C459="","",INPUT_CAD!C459)</f>
        <v/>
      </c>
      <c r="D459" s="4" t="str">
        <f>IF(INPUT_CAD!D459="","",INPUT_CAD!D459)</f>
        <v/>
      </c>
      <c r="E459" s="4" t="str">
        <f>IF(INPUT_CAD!E459="","",INPUT_CAD!E459)</f>
        <v/>
      </c>
      <c r="F459" s="4" t="str">
        <f>IF(INPUT_CAD!F459="","",INPUT_CAD!F459)</f>
        <v/>
      </c>
      <c r="G459" s="4" t="str">
        <f>IF(INPUT_CAD!G459="","",INPUT_CAD!G459)</f>
        <v/>
      </c>
      <c r="I459" s="4" t="str">
        <f t="shared" si="63"/>
        <v/>
      </c>
      <c r="J459" s="4" t="str">
        <f t="shared" si="64"/>
        <v/>
      </c>
      <c r="K459" s="4" t="str">
        <f t="shared" si="65"/>
        <v/>
      </c>
      <c r="L459" s="4" t="str">
        <f>IFERROR(VLOOKUP(ROUND(K459,0),correction_tag!$A$7:$C$253,3),"x")</f>
        <v>x</v>
      </c>
      <c r="N459" s="4">
        <f t="shared" ref="N459:N510" si="66">IF(AND(K459&lt;&gt;0,K459&lt;&gt;"x"), 1,0)</f>
        <v>1</v>
      </c>
      <c r="O459" s="4">
        <f>IF(N458=0,O458+INPUT_CAD!$B$4,INPUT_CAD!$B$4)</f>
        <v>2</v>
      </c>
      <c r="Q459" s="4" t="str">
        <f t="shared" ref="Q459:Q510" si="67">IFERROR(F458*G459-G458*F459,"")</f>
        <v/>
      </c>
      <c r="R459" s="4" t="str">
        <f t="shared" ref="R459:R510" si="68">IFERROR(G458*E459-E458*G459,"")</f>
        <v/>
      </c>
      <c r="S459" s="4" t="str">
        <f t="shared" ref="S459:S510" si="69">IFERROR(E458*F459-F458*E459,"")</f>
        <v/>
      </c>
      <c r="T459" s="4" t="str">
        <f>IFERROR(Q459*Setup!$C$26+R459*Setup!$D$26+S459*Setup!$E$26,"")</f>
        <v/>
      </c>
      <c r="U459" s="4" t="str">
        <f t="shared" si="62"/>
        <v/>
      </c>
      <c r="V459" s="4">
        <f t="shared" ref="V459:V510" si="70">IFERROR(DEGREES(ACOS(T459/(U458*U459))),90)</f>
        <v>90</v>
      </c>
    </row>
    <row r="460" spans="1:22" hidden="1" x14ac:dyDescent="0.25">
      <c r="A460" s="4" t="str">
        <f>IF(INPUT_CAD!A460="","",INPUT_CAD!A460)</f>
        <v/>
      </c>
      <c r="B460" s="4" t="str">
        <f>IF(INPUT_CAD!B460="","",INPUT_CAD!B460)</f>
        <v/>
      </c>
      <c r="C460" s="4" t="str">
        <f>IF(INPUT_CAD!C460="","",INPUT_CAD!C460)</f>
        <v/>
      </c>
      <c r="D460" s="4" t="str">
        <f>IF(INPUT_CAD!D460="","",INPUT_CAD!D460)</f>
        <v/>
      </c>
      <c r="E460" s="4" t="str">
        <f>IF(INPUT_CAD!E460="","",INPUT_CAD!E460)</f>
        <v/>
      </c>
      <c r="F460" s="4" t="str">
        <f>IF(INPUT_CAD!F460="","",INPUT_CAD!F460)</f>
        <v/>
      </c>
      <c r="G460" s="4" t="str">
        <f>IF(INPUT_CAD!G460="","",INPUT_CAD!G460)</f>
        <v/>
      </c>
      <c r="I460" s="4" t="str">
        <f t="shared" si="63"/>
        <v/>
      </c>
      <c r="J460" s="4" t="str">
        <f t="shared" si="64"/>
        <v/>
      </c>
      <c r="K460" s="4" t="str">
        <f t="shared" si="65"/>
        <v/>
      </c>
      <c r="L460" s="4" t="str">
        <f>IFERROR(VLOOKUP(ROUND(K460,0),correction_tag!$A$7:$C$253,3),"x")</f>
        <v>x</v>
      </c>
      <c r="N460" s="4">
        <f t="shared" si="66"/>
        <v>1</v>
      </c>
      <c r="O460" s="4">
        <f>IF(N459=0,O459+INPUT_CAD!$B$4,INPUT_CAD!$B$4)</f>
        <v>2</v>
      </c>
      <c r="Q460" s="4" t="str">
        <f t="shared" si="67"/>
        <v/>
      </c>
      <c r="R460" s="4" t="str">
        <f t="shared" si="68"/>
        <v/>
      </c>
      <c r="S460" s="4" t="str">
        <f t="shared" si="69"/>
        <v/>
      </c>
      <c r="T460" s="4" t="str">
        <f>IFERROR(Q460*Setup!$C$26+R460*Setup!$D$26+S460*Setup!$E$26,"")</f>
        <v/>
      </c>
      <c r="U460" s="4" t="str">
        <f t="shared" ref="U460:U510" si="71">IFERROR(SQRT(Q460^2+R460^2+S460^2),"")</f>
        <v/>
      </c>
      <c r="V460" s="4">
        <f t="shared" si="70"/>
        <v>90</v>
      </c>
    </row>
    <row r="461" spans="1:22" hidden="1" x14ac:dyDescent="0.25">
      <c r="A461" s="4" t="str">
        <f>IF(INPUT_CAD!A461="","",INPUT_CAD!A461)</f>
        <v/>
      </c>
      <c r="B461" s="4" t="str">
        <f>IF(INPUT_CAD!B461="","",INPUT_CAD!B461)</f>
        <v/>
      </c>
      <c r="C461" s="4" t="str">
        <f>IF(INPUT_CAD!C461="","",INPUT_CAD!C461)</f>
        <v/>
      </c>
      <c r="D461" s="4" t="str">
        <f>IF(INPUT_CAD!D461="","",INPUT_CAD!D461)</f>
        <v/>
      </c>
      <c r="E461" s="4" t="str">
        <f>IF(INPUT_CAD!E461="","",INPUT_CAD!E461)</f>
        <v/>
      </c>
      <c r="F461" s="4" t="str">
        <f>IF(INPUT_CAD!F461="","",INPUT_CAD!F461)</f>
        <v/>
      </c>
      <c r="G461" s="4" t="str">
        <f>IF(INPUT_CAD!G461="","",INPUT_CAD!G461)</f>
        <v/>
      </c>
      <c r="I461" s="4" t="str">
        <f t="shared" si="63"/>
        <v/>
      </c>
      <c r="J461" s="4" t="str">
        <f t="shared" si="64"/>
        <v/>
      </c>
      <c r="K461" s="4" t="str">
        <f t="shared" si="65"/>
        <v/>
      </c>
      <c r="L461" s="4" t="str">
        <f>IFERROR(VLOOKUP(ROUND(K461,0),correction_tag!$A$7:$C$253,3),"x")</f>
        <v>x</v>
      </c>
      <c r="N461" s="4">
        <f t="shared" si="66"/>
        <v>1</v>
      </c>
      <c r="O461" s="4">
        <f>IF(N460=0,O460+INPUT_CAD!$B$4,INPUT_CAD!$B$4)</f>
        <v>2</v>
      </c>
      <c r="Q461" s="4" t="str">
        <f t="shared" si="67"/>
        <v/>
      </c>
      <c r="R461" s="4" t="str">
        <f t="shared" si="68"/>
        <v/>
      </c>
      <c r="S461" s="4" t="str">
        <f t="shared" si="69"/>
        <v/>
      </c>
      <c r="T461" s="4" t="str">
        <f>IFERROR(Q461*Setup!$C$26+R461*Setup!$D$26+S461*Setup!$E$26,"")</f>
        <v/>
      </c>
      <c r="U461" s="4" t="str">
        <f t="shared" si="71"/>
        <v/>
      </c>
      <c r="V461" s="4">
        <f t="shared" si="70"/>
        <v>90</v>
      </c>
    </row>
    <row r="462" spans="1:22" hidden="1" x14ac:dyDescent="0.25">
      <c r="A462" s="4" t="str">
        <f>IF(INPUT_CAD!A462="","",INPUT_CAD!A462)</f>
        <v/>
      </c>
      <c r="B462" s="4" t="str">
        <f>IF(INPUT_CAD!B462="","",INPUT_CAD!B462)</f>
        <v/>
      </c>
      <c r="C462" s="4" t="str">
        <f>IF(INPUT_CAD!C462="","",INPUT_CAD!C462)</f>
        <v/>
      </c>
      <c r="D462" s="4" t="str">
        <f>IF(INPUT_CAD!D462="","",INPUT_CAD!D462)</f>
        <v/>
      </c>
      <c r="E462" s="4" t="str">
        <f>IF(INPUT_CAD!E462="","",INPUT_CAD!E462)</f>
        <v/>
      </c>
      <c r="F462" s="4" t="str">
        <f>IF(INPUT_CAD!F462="","",INPUT_CAD!F462)</f>
        <v/>
      </c>
      <c r="G462" s="4" t="str">
        <f>IF(INPUT_CAD!G462="","",INPUT_CAD!G462)</f>
        <v/>
      </c>
      <c r="I462" s="4" t="str">
        <f t="shared" si="63"/>
        <v/>
      </c>
      <c r="J462" s="4" t="str">
        <f t="shared" si="64"/>
        <v/>
      </c>
      <c r="K462" s="4" t="str">
        <f t="shared" si="65"/>
        <v/>
      </c>
      <c r="L462" s="4" t="str">
        <f>IFERROR(VLOOKUP(ROUND(K462,0),correction_tag!$A$7:$C$253,3),"x")</f>
        <v>x</v>
      </c>
      <c r="N462" s="4">
        <f t="shared" si="66"/>
        <v>1</v>
      </c>
      <c r="O462" s="4">
        <f>IF(N461=0,O461+INPUT_CAD!$B$4,INPUT_CAD!$B$4)</f>
        <v>2</v>
      </c>
      <c r="Q462" s="4" t="str">
        <f t="shared" si="67"/>
        <v/>
      </c>
      <c r="R462" s="4" t="str">
        <f t="shared" si="68"/>
        <v/>
      </c>
      <c r="S462" s="4" t="str">
        <f t="shared" si="69"/>
        <v/>
      </c>
      <c r="T462" s="4" t="str">
        <f>IFERROR(Q462*Setup!$C$26+R462*Setup!$D$26+S462*Setup!$E$26,"")</f>
        <v/>
      </c>
      <c r="U462" s="4" t="str">
        <f t="shared" si="71"/>
        <v/>
      </c>
      <c r="V462" s="4">
        <f t="shared" si="70"/>
        <v>90</v>
      </c>
    </row>
    <row r="463" spans="1:22" hidden="1" x14ac:dyDescent="0.25">
      <c r="A463" s="4" t="str">
        <f>IF(INPUT_CAD!A463="","",INPUT_CAD!A463)</f>
        <v/>
      </c>
      <c r="B463" s="4" t="str">
        <f>IF(INPUT_CAD!B463="","",INPUT_CAD!B463)</f>
        <v/>
      </c>
      <c r="C463" s="4" t="str">
        <f>IF(INPUT_CAD!C463="","",INPUT_CAD!C463)</f>
        <v/>
      </c>
      <c r="D463" s="4" t="str">
        <f>IF(INPUT_CAD!D463="","",INPUT_CAD!D463)</f>
        <v/>
      </c>
      <c r="E463" s="4" t="str">
        <f>IF(INPUT_CAD!E463="","",INPUT_CAD!E463)</f>
        <v/>
      </c>
      <c r="F463" s="4" t="str">
        <f>IF(INPUT_CAD!F463="","",INPUT_CAD!F463)</f>
        <v/>
      </c>
      <c r="G463" s="4" t="str">
        <f>IF(INPUT_CAD!G463="","",INPUT_CAD!G463)</f>
        <v/>
      </c>
      <c r="I463" s="4" t="str">
        <f t="shared" si="63"/>
        <v/>
      </c>
      <c r="J463" s="4" t="str">
        <f t="shared" si="64"/>
        <v/>
      </c>
      <c r="K463" s="4" t="str">
        <f t="shared" si="65"/>
        <v/>
      </c>
      <c r="L463" s="4" t="str">
        <f>IFERROR(VLOOKUP(ROUND(K463,0),correction_tag!$A$7:$C$253,3),"x")</f>
        <v>x</v>
      </c>
      <c r="N463" s="4">
        <f t="shared" si="66"/>
        <v>1</v>
      </c>
      <c r="O463" s="4">
        <f>IF(N462=0,O462+INPUT_CAD!$B$4,INPUT_CAD!$B$4)</f>
        <v>2</v>
      </c>
      <c r="Q463" s="4" t="str">
        <f t="shared" si="67"/>
        <v/>
      </c>
      <c r="R463" s="4" t="str">
        <f t="shared" si="68"/>
        <v/>
      </c>
      <c r="S463" s="4" t="str">
        <f t="shared" si="69"/>
        <v/>
      </c>
      <c r="T463" s="4" t="str">
        <f>IFERROR(Q463*Setup!$C$26+R463*Setup!$D$26+S463*Setup!$E$26,"")</f>
        <v/>
      </c>
      <c r="U463" s="4" t="str">
        <f t="shared" si="71"/>
        <v/>
      </c>
      <c r="V463" s="4">
        <f t="shared" si="70"/>
        <v>90</v>
      </c>
    </row>
    <row r="464" spans="1:22" hidden="1" x14ac:dyDescent="0.25">
      <c r="A464" s="4" t="str">
        <f>IF(INPUT_CAD!A464="","",INPUT_CAD!A464)</f>
        <v/>
      </c>
      <c r="B464" s="4" t="str">
        <f>IF(INPUT_CAD!B464="","",INPUT_CAD!B464)</f>
        <v/>
      </c>
      <c r="C464" s="4" t="str">
        <f>IF(INPUT_CAD!C464="","",INPUT_CAD!C464)</f>
        <v/>
      </c>
      <c r="D464" s="4" t="str">
        <f>IF(INPUT_CAD!D464="","",INPUT_CAD!D464)</f>
        <v/>
      </c>
      <c r="E464" s="4" t="str">
        <f>IF(INPUT_CAD!E464="","",INPUT_CAD!E464)</f>
        <v/>
      </c>
      <c r="F464" s="4" t="str">
        <f>IF(INPUT_CAD!F464="","",INPUT_CAD!F464)</f>
        <v/>
      </c>
      <c r="G464" s="4" t="str">
        <f>IF(INPUT_CAD!G464="","",INPUT_CAD!G464)</f>
        <v/>
      </c>
      <c r="I464" s="4" t="str">
        <f t="shared" si="63"/>
        <v/>
      </c>
      <c r="J464" s="4" t="str">
        <f t="shared" si="64"/>
        <v/>
      </c>
      <c r="K464" s="4" t="str">
        <f t="shared" si="65"/>
        <v/>
      </c>
      <c r="L464" s="4" t="str">
        <f>IFERROR(VLOOKUP(ROUND(K464,0),correction_tag!$A$7:$C$253,3),"x")</f>
        <v>x</v>
      </c>
      <c r="N464" s="4">
        <f t="shared" si="66"/>
        <v>1</v>
      </c>
      <c r="O464" s="4">
        <f>IF(N463=0,O463+INPUT_CAD!$B$4,INPUT_CAD!$B$4)</f>
        <v>2</v>
      </c>
      <c r="Q464" s="4" t="str">
        <f t="shared" si="67"/>
        <v/>
      </c>
      <c r="R464" s="4" t="str">
        <f t="shared" si="68"/>
        <v/>
      </c>
      <c r="S464" s="4" t="str">
        <f t="shared" si="69"/>
        <v/>
      </c>
      <c r="T464" s="4" t="str">
        <f>IFERROR(Q464*Setup!$C$26+R464*Setup!$D$26+S464*Setup!$E$26,"")</f>
        <v/>
      </c>
      <c r="U464" s="4" t="str">
        <f t="shared" si="71"/>
        <v/>
      </c>
      <c r="V464" s="4">
        <f t="shared" si="70"/>
        <v>90</v>
      </c>
    </row>
    <row r="465" spans="1:22" hidden="1" x14ac:dyDescent="0.25">
      <c r="A465" s="4" t="str">
        <f>IF(INPUT_CAD!A465="","",INPUT_CAD!A465)</f>
        <v/>
      </c>
      <c r="B465" s="4" t="str">
        <f>IF(INPUT_CAD!B465="","",INPUT_CAD!B465)</f>
        <v/>
      </c>
      <c r="C465" s="4" t="str">
        <f>IF(INPUT_CAD!C465="","",INPUT_CAD!C465)</f>
        <v/>
      </c>
      <c r="D465" s="4" t="str">
        <f>IF(INPUT_CAD!D465="","",INPUT_CAD!D465)</f>
        <v/>
      </c>
      <c r="E465" s="4" t="str">
        <f>IF(INPUT_CAD!E465="","",INPUT_CAD!E465)</f>
        <v/>
      </c>
      <c r="F465" s="4" t="str">
        <f>IF(INPUT_CAD!F465="","",INPUT_CAD!F465)</f>
        <v/>
      </c>
      <c r="G465" s="4" t="str">
        <f>IF(INPUT_CAD!G465="","",INPUT_CAD!G465)</f>
        <v/>
      </c>
      <c r="I465" s="4" t="str">
        <f t="shared" si="63"/>
        <v/>
      </c>
      <c r="J465" s="4" t="str">
        <f t="shared" si="64"/>
        <v/>
      </c>
      <c r="K465" s="4" t="str">
        <f t="shared" si="65"/>
        <v/>
      </c>
      <c r="L465" s="4" t="str">
        <f>IFERROR(VLOOKUP(ROUND(K465,0),correction_tag!$A$7:$C$253,3),"x")</f>
        <v>x</v>
      </c>
      <c r="N465" s="4">
        <f t="shared" si="66"/>
        <v>1</v>
      </c>
      <c r="O465" s="4">
        <f>IF(N464=0,O464+INPUT_CAD!$B$4,INPUT_CAD!$B$4)</f>
        <v>2</v>
      </c>
      <c r="Q465" s="4" t="str">
        <f t="shared" si="67"/>
        <v/>
      </c>
      <c r="R465" s="4" t="str">
        <f t="shared" si="68"/>
        <v/>
      </c>
      <c r="S465" s="4" t="str">
        <f t="shared" si="69"/>
        <v/>
      </c>
      <c r="T465" s="4" t="str">
        <f>IFERROR(Q465*Setup!$C$26+R465*Setup!$D$26+S465*Setup!$E$26,"")</f>
        <v/>
      </c>
      <c r="U465" s="4" t="str">
        <f t="shared" si="71"/>
        <v/>
      </c>
      <c r="V465" s="4">
        <f t="shared" si="70"/>
        <v>90</v>
      </c>
    </row>
    <row r="466" spans="1:22" hidden="1" x14ac:dyDescent="0.25">
      <c r="A466" s="4" t="str">
        <f>IF(INPUT_CAD!A466="","",INPUT_CAD!A466)</f>
        <v/>
      </c>
      <c r="B466" s="4" t="str">
        <f>IF(INPUT_CAD!B466="","",INPUT_CAD!B466)</f>
        <v/>
      </c>
      <c r="C466" s="4" t="str">
        <f>IF(INPUT_CAD!C466="","",INPUT_CAD!C466)</f>
        <v/>
      </c>
      <c r="D466" s="4" t="str">
        <f>IF(INPUT_CAD!D466="","",INPUT_CAD!D466)</f>
        <v/>
      </c>
      <c r="E466" s="4" t="str">
        <f>IF(INPUT_CAD!E466="","",INPUT_CAD!E466)</f>
        <v/>
      </c>
      <c r="F466" s="4" t="str">
        <f>IF(INPUT_CAD!F466="","",INPUT_CAD!F466)</f>
        <v/>
      </c>
      <c r="G466" s="4" t="str">
        <f>IF(INPUT_CAD!G466="","",INPUT_CAD!G466)</f>
        <v/>
      </c>
      <c r="I466" s="4" t="str">
        <f t="shared" si="63"/>
        <v/>
      </c>
      <c r="J466" s="4" t="str">
        <f t="shared" si="64"/>
        <v/>
      </c>
      <c r="K466" s="4" t="str">
        <f t="shared" si="65"/>
        <v/>
      </c>
      <c r="L466" s="4" t="str">
        <f>IFERROR(VLOOKUP(ROUND(K466,0),correction_tag!$A$7:$C$253,3),"x")</f>
        <v>x</v>
      </c>
      <c r="N466" s="4">
        <f t="shared" si="66"/>
        <v>1</v>
      </c>
      <c r="O466" s="4">
        <f>IF(N465=0,O465+INPUT_CAD!$B$4,INPUT_CAD!$B$4)</f>
        <v>2</v>
      </c>
      <c r="Q466" s="4" t="str">
        <f t="shared" si="67"/>
        <v/>
      </c>
      <c r="R466" s="4" t="str">
        <f t="shared" si="68"/>
        <v/>
      </c>
      <c r="S466" s="4" t="str">
        <f t="shared" si="69"/>
        <v/>
      </c>
      <c r="T466" s="4" t="str">
        <f>IFERROR(Q466*Setup!$C$26+R466*Setup!$D$26+S466*Setup!$E$26,"")</f>
        <v/>
      </c>
      <c r="U466" s="4" t="str">
        <f t="shared" si="71"/>
        <v/>
      </c>
      <c r="V466" s="4">
        <f t="shared" si="70"/>
        <v>90</v>
      </c>
    </row>
    <row r="467" spans="1:22" hidden="1" x14ac:dyDescent="0.25">
      <c r="A467" s="4" t="str">
        <f>IF(INPUT_CAD!A467="","",INPUT_CAD!A467)</f>
        <v/>
      </c>
      <c r="B467" s="4" t="str">
        <f>IF(INPUT_CAD!B467="","",INPUT_CAD!B467)</f>
        <v/>
      </c>
      <c r="C467" s="4" t="str">
        <f>IF(INPUT_CAD!C467="","",INPUT_CAD!C467)</f>
        <v/>
      </c>
      <c r="D467" s="4" t="str">
        <f>IF(INPUT_CAD!D467="","",INPUT_CAD!D467)</f>
        <v/>
      </c>
      <c r="E467" s="4" t="str">
        <f>IF(INPUT_CAD!E467="","",INPUT_CAD!E467)</f>
        <v/>
      </c>
      <c r="F467" s="4" t="str">
        <f>IF(INPUT_CAD!F467="","",INPUT_CAD!F467)</f>
        <v/>
      </c>
      <c r="G467" s="4" t="str">
        <f>IF(INPUT_CAD!G467="","",INPUT_CAD!G467)</f>
        <v/>
      </c>
      <c r="I467" s="4" t="str">
        <f t="shared" si="63"/>
        <v/>
      </c>
      <c r="J467" s="4" t="str">
        <f t="shared" si="64"/>
        <v/>
      </c>
      <c r="K467" s="4" t="str">
        <f t="shared" si="65"/>
        <v/>
      </c>
      <c r="L467" s="4" t="str">
        <f>IFERROR(VLOOKUP(ROUND(K467,0),correction_tag!$A$7:$C$253,3),"x")</f>
        <v>x</v>
      </c>
      <c r="N467" s="4">
        <f t="shared" si="66"/>
        <v>1</v>
      </c>
      <c r="O467" s="4">
        <f>IF(N466=0,O466+INPUT_CAD!$B$4,INPUT_CAD!$B$4)</f>
        <v>2</v>
      </c>
      <c r="Q467" s="4" t="str">
        <f t="shared" si="67"/>
        <v/>
      </c>
      <c r="R467" s="4" t="str">
        <f t="shared" si="68"/>
        <v/>
      </c>
      <c r="S467" s="4" t="str">
        <f t="shared" si="69"/>
        <v/>
      </c>
      <c r="T467" s="4" t="str">
        <f>IFERROR(Q467*Setup!$C$26+R467*Setup!$D$26+S467*Setup!$E$26,"")</f>
        <v/>
      </c>
      <c r="U467" s="4" t="str">
        <f t="shared" si="71"/>
        <v/>
      </c>
      <c r="V467" s="4">
        <f t="shared" si="70"/>
        <v>90</v>
      </c>
    </row>
    <row r="468" spans="1:22" hidden="1" x14ac:dyDescent="0.25">
      <c r="A468" s="4" t="str">
        <f>IF(INPUT_CAD!A468="","",INPUT_CAD!A468)</f>
        <v/>
      </c>
      <c r="B468" s="4" t="str">
        <f>IF(INPUT_CAD!B468="","",INPUT_CAD!B468)</f>
        <v/>
      </c>
      <c r="C468" s="4" t="str">
        <f>IF(INPUT_CAD!C468="","",INPUT_CAD!C468)</f>
        <v/>
      </c>
      <c r="D468" s="4" t="str">
        <f>IF(INPUT_CAD!D468="","",INPUT_CAD!D468)</f>
        <v/>
      </c>
      <c r="E468" s="4" t="str">
        <f>IF(INPUT_CAD!E468="","",INPUT_CAD!E468)</f>
        <v/>
      </c>
      <c r="F468" s="4" t="str">
        <f>IF(INPUT_CAD!F468="","",INPUT_CAD!F468)</f>
        <v/>
      </c>
      <c r="G468" s="4" t="str">
        <f>IF(INPUT_CAD!G468="","",INPUT_CAD!G468)</f>
        <v/>
      </c>
      <c r="I468" s="4" t="str">
        <f t="shared" si="63"/>
        <v/>
      </c>
      <c r="J468" s="4" t="str">
        <f t="shared" si="64"/>
        <v/>
      </c>
      <c r="K468" s="4" t="str">
        <f t="shared" si="65"/>
        <v/>
      </c>
      <c r="L468" s="4" t="str">
        <f>IFERROR(VLOOKUP(ROUND(K468,0),correction_tag!$A$7:$C$253,3),"x")</f>
        <v>x</v>
      </c>
      <c r="N468" s="4">
        <f t="shared" si="66"/>
        <v>1</v>
      </c>
      <c r="O468" s="4">
        <f>IF(N467=0,O467+INPUT_CAD!$B$4,INPUT_CAD!$B$4)</f>
        <v>2</v>
      </c>
      <c r="Q468" s="4" t="str">
        <f t="shared" si="67"/>
        <v/>
      </c>
      <c r="R468" s="4" t="str">
        <f t="shared" si="68"/>
        <v/>
      </c>
      <c r="S468" s="4" t="str">
        <f t="shared" si="69"/>
        <v/>
      </c>
      <c r="T468" s="4" t="str">
        <f>IFERROR(Q468*Setup!$C$26+R468*Setup!$D$26+S468*Setup!$E$26,"")</f>
        <v/>
      </c>
      <c r="U468" s="4" t="str">
        <f t="shared" si="71"/>
        <v/>
      </c>
      <c r="V468" s="4">
        <f t="shared" si="70"/>
        <v>90</v>
      </c>
    </row>
    <row r="469" spans="1:22" hidden="1" x14ac:dyDescent="0.25">
      <c r="A469" s="4" t="str">
        <f>IF(INPUT_CAD!A469="","",INPUT_CAD!A469)</f>
        <v/>
      </c>
      <c r="B469" s="4" t="str">
        <f>IF(INPUT_CAD!B469="","",INPUT_CAD!B469)</f>
        <v/>
      </c>
      <c r="C469" s="4" t="str">
        <f>IF(INPUT_CAD!C469="","",INPUT_CAD!C469)</f>
        <v/>
      </c>
      <c r="D469" s="4" t="str">
        <f>IF(INPUT_CAD!D469="","",INPUT_CAD!D469)</f>
        <v/>
      </c>
      <c r="E469" s="4" t="str">
        <f>IF(INPUT_CAD!E469="","",INPUT_CAD!E469)</f>
        <v/>
      </c>
      <c r="F469" s="4" t="str">
        <f>IF(INPUT_CAD!F469="","",INPUT_CAD!F469)</f>
        <v/>
      </c>
      <c r="G469" s="4" t="str">
        <f>IF(INPUT_CAD!G469="","",INPUT_CAD!G469)</f>
        <v/>
      </c>
      <c r="I469" s="4" t="str">
        <f t="shared" si="63"/>
        <v/>
      </c>
      <c r="J469" s="4" t="str">
        <f t="shared" si="64"/>
        <v/>
      </c>
      <c r="K469" s="4" t="str">
        <f t="shared" si="65"/>
        <v/>
      </c>
      <c r="L469" s="4" t="str">
        <f>IFERROR(VLOOKUP(ROUND(K469,0),correction_tag!$A$7:$C$253,3),"x")</f>
        <v>x</v>
      </c>
      <c r="N469" s="4">
        <f t="shared" si="66"/>
        <v>1</v>
      </c>
      <c r="O469" s="4">
        <f>IF(N468=0,O468+INPUT_CAD!$B$4,INPUT_CAD!$B$4)</f>
        <v>2</v>
      </c>
      <c r="Q469" s="4" t="str">
        <f t="shared" si="67"/>
        <v/>
      </c>
      <c r="R469" s="4" t="str">
        <f t="shared" si="68"/>
        <v/>
      </c>
      <c r="S469" s="4" t="str">
        <f t="shared" si="69"/>
        <v/>
      </c>
      <c r="T469" s="4" t="str">
        <f>IFERROR(Q469*Setup!$C$26+R469*Setup!$D$26+S469*Setup!$E$26,"")</f>
        <v/>
      </c>
      <c r="U469" s="4" t="str">
        <f t="shared" si="71"/>
        <v/>
      </c>
      <c r="V469" s="4">
        <f t="shared" si="70"/>
        <v>90</v>
      </c>
    </row>
    <row r="470" spans="1:22" hidden="1" x14ac:dyDescent="0.25">
      <c r="A470" s="4" t="str">
        <f>IF(INPUT_CAD!A470="","",INPUT_CAD!A470)</f>
        <v/>
      </c>
      <c r="B470" s="4" t="str">
        <f>IF(INPUT_CAD!B470="","",INPUT_CAD!B470)</f>
        <v/>
      </c>
      <c r="C470" s="4" t="str">
        <f>IF(INPUT_CAD!C470="","",INPUT_CAD!C470)</f>
        <v/>
      </c>
      <c r="D470" s="4" t="str">
        <f>IF(INPUT_CAD!D470="","",INPUT_CAD!D470)</f>
        <v/>
      </c>
      <c r="E470" s="4" t="str">
        <f>IF(INPUT_CAD!E470="","",INPUT_CAD!E470)</f>
        <v/>
      </c>
      <c r="F470" s="4" t="str">
        <f>IF(INPUT_CAD!F470="","",INPUT_CAD!F470)</f>
        <v/>
      </c>
      <c r="G470" s="4" t="str">
        <f>IF(INPUT_CAD!G470="","",INPUT_CAD!G470)</f>
        <v/>
      </c>
      <c r="I470" s="4" t="str">
        <f t="shared" ref="I470:I510" si="72">IFERROR(E469*E470+F469*F470+G469*G470,"")</f>
        <v/>
      </c>
      <c r="J470" s="4" t="str">
        <f t="shared" ref="J470:J510" si="73">IFERROR(SQRT(E470^2+F470^2+G470^2),"")</f>
        <v/>
      </c>
      <c r="K470" s="4" t="str">
        <f t="shared" ref="K470:K510" si="74">IFERROR(DEGREES(ACOS(I470/(J469*J470))),"")</f>
        <v/>
      </c>
      <c r="L470" s="4" t="str">
        <f>IFERROR(VLOOKUP(ROUND(K470,0),correction_tag!$A$7:$C$253,3),"x")</f>
        <v>x</v>
      </c>
      <c r="N470" s="4">
        <f t="shared" si="66"/>
        <v>1</v>
      </c>
      <c r="O470" s="4">
        <f>IF(N469=0,O469+INPUT_CAD!$B$4,INPUT_CAD!$B$4)</f>
        <v>2</v>
      </c>
      <c r="Q470" s="4" t="str">
        <f t="shared" si="67"/>
        <v/>
      </c>
      <c r="R470" s="4" t="str">
        <f t="shared" si="68"/>
        <v/>
      </c>
      <c r="S470" s="4" t="str">
        <f t="shared" si="69"/>
        <v/>
      </c>
      <c r="T470" s="4" t="str">
        <f>IFERROR(Q470*Setup!$C$26+R470*Setup!$D$26+S470*Setup!$E$26,"")</f>
        <v/>
      </c>
      <c r="U470" s="4" t="str">
        <f t="shared" si="71"/>
        <v/>
      </c>
      <c r="V470" s="4">
        <f t="shared" si="70"/>
        <v>90</v>
      </c>
    </row>
    <row r="471" spans="1:22" hidden="1" x14ac:dyDescent="0.25">
      <c r="A471" s="4" t="str">
        <f>IF(INPUT_CAD!A471="","",INPUT_CAD!A471)</f>
        <v/>
      </c>
      <c r="B471" s="4" t="str">
        <f>IF(INPUT_CAD!B471="","",INPUT_CAD!B471)</f>
        <v/>
      </c>
      <c r="C471" s="4" t="str">
        <f>IF(INPUT_CAD!C471="","",INPUT_CAD!C471)</f>
        <v/>
      </c>
      <c r="D471" s="4" t="str">
        <f>IF(INPUT_CAD!D471="","",INPUT_CAD!D471)</f>
        <v/>
      </c>
      <c r="E471" s="4" t="str">
        <f>IF(INPUT_CAD!E471="","",INPUT_CAD!E471)</f>
        <v/>
      </c>
      <c r="F471" s="4" t="str">
        <f>IF(INPUT_CAD!F471="","",INPUT_CAD!F471)</f>
        <v/>
      </c>
      <c r="G471" s="4" t="str">
        <f>IF(INPUT_CAD!G471="","",INPUT_CAD!G471)</f>
        <v/>
      </c>
      <c r="I471" s="4" t="str">
        <f t="shared" si="72"/>
        <v/>
      </c>
      <c r="J471" s="4" t="str">
        <f t="shared" si="73"/>
        <v/>
      </c>
      <c r="K471" s="4" t="str">
        <f t="shared" si="74"/>
        <v/>
      </c>
      <c r="L471" s="4" t="str">
        <f>IFERROR(VLOOKUP(ROUND(K471,0),correction_tag!$A$7:$C$253,3),"x")</f>
        <v>x</v>
      </c>
      <c r="N471" s="4">
        <f t="shared" si="66"/>
        <v>1</v>
      </c>
      <c r="O471" s="4">
        <f>IF(N470=0,O470+INPUT_CAD!$B$4,INPUT_CAD!$B$4)</f>
        <v>2</v>
      </c>
      <c r="Q471" s="4" t="str">
        <f t="shared" si="67"/>
        <v/>
      </c>
      <c r="R471" s="4" t="str">
        <f t="shared" si="68"/>
        <v/>
      </c>
      <c r="S471" s="4" t="str">
        <f t="shared" si="69"/>
        <v/>
      </c>
      <c r="T471" s="4" t="str">
        <f>IFERROR(Q471*Setup!$C$26+R471*Setup!$D$26+S471*Setup!$E$26,"")</f>
        <v/>
      </c>
      <c r="U471" s="4" t="str">
        <f t="shared" si="71"/>
        <v/>
      </c>
      <c r="V471" s="4">
        <f t="shared" si="70"/>
        <v>90</v>
      </c>
    </row>
    <row r="472" spans="1:22" hidden="1" x14ac:dyDescent="0.25">
      <c r="A472" s="4" t="str">
        <f>IF(INPUT_CAD!A472="","",INPUT_CAD!A472)</f>
        <v/>
      </c>
      <c r="B472" s="4" t="str">
        <f>IF(INPUT_CAD!B472="","",INPUT_CAD!B472)</f>
        <v/>
      </c>
      <c r="C472" s="4" t="str">
        <f>IF(INPUT_CAD!C472="","",INPUT_CAD!C472)</f>
        <v/>
      </c>
      <c r="D472" s="4" t="str">
        <f>IF(INPUT_CAD!D472="","",INPUT_CAD!D472)</f>
        <v/>
      </c>
      <c r="E472" s="4" t="str">
        <f>IF(INPUT_CAD!E472="","",INPUT_CAD!E472)</f>
        <v/>
      </c>
      <c r="F472" s="4" t="str">
        <f>IF(INPUT_CAD!F472="","",INPUT_CAD!F472)</f>
        <v/>
      </c>
      <c r="G472" s="4" t="str">
        <f>IF(INPUT_CAD!G472="","",INPUT_CAD!G472)</f>
        <v/>
      </c>
      <c r="I472" s="4" t="str">
        <f t="shared" si="72"/>
        <v/>
      </c>
      <c r="J472" s="4" t="str">
        <f t="shared" si="73"/>
        <v/>
      </c>
      <c r="K472" s="4" t="str">
        <f t="shared" si="74"/>
        <v/>
      </c>
      <c r="L472" s="4" t="str">
        <f>IFERROR(VLOOKUP(ROUND(K472,0),correction_tag!$A$7:$C$253,3),"x")</f>
        <v>x</v>
      </c>
      <c r="N472" s="4">
        <f t="shared" si="66"/>
        <v>1</v>
      </c>
      <c r="O472" s="4">
        <f>IF(N471=0,O471+INPUT_CAD!$B$4,INPUT_CAD!$B$4)</f>
        <v>2</v>
      </c>
      <c r="Q472" s="4" t="str">
        <f t="shared" si="67"/>
        <v/>
      </c>
      <c r="R472" s="4" t="str">
        <f t="shared" si="68"/>
        <v/>
      </c>
      <c r="S472" s="4" t="str">
        <f t="shared" si="69"/>
        <v/>
      </c>
      <c r="T472" s="4" t="str">
        <f>IFERROR(Q472*Setup!$C$26+R472*Setup!$D$26+S472*Setup!$E$26,"")</f>
        <v/>
      </c>
      <c r="U472" s="4" t="str">
        <f t="shared" si="71"/>
        <v/>
      </c>
      <c r="V472" s="4">
        <f t="shared" si="70"/>
        <v>90</v>
      </c>
    </row>
    <row r="473" spans="1:22" hidden="1" x14ac:dyDescent="0.25">
      <c r="A473" s="4" t="str">
        <f>IF(INPUT_CAD!A473="","",INPUT_CAD!A473)</f>
        <v/>
      </c>
      <c r="B473" s="4" t="str">
        <f>IF(INPUT_CAD!B473="","",INPUT_CAD!B473)</f>
        <v/>
      </c>
      <c r="C473" s="4" t="str">
        <f>IF(INPUT_CAD!C473="","",INPUT_CAD!C473)</f>
        <v/>
      </c>
      <c r="D473" s="4" t="str">
        <f>IF(INPUT_CAD!D473="","",INPUT_CAD!D473)</f>
        <v/>
      </c>
      <c r="E473" s="4" t="str">
        <f>IF(INPUT_CAD!E473="","",INPUT_CAD!E473)</f>
        <v/>
      </c>
      <c r="F473" s="4" t="str">
        <f>IF(INPUT_CAD!F473="","",INPUT_CAD!F473)</f>
        <v/>
      </c>
      <c r="G473" s="4" t="str">
        <f>IF(INPUT_CAD!G473="","",INPUT_CAD!G473)</f>
        <v/>
      </c>
      <c r="I473" s="4" t="str">
        <f t="shared" si="72"/>
        <v/>
      </c>
      <c r="J473" s="4" t="str">
        <f t="shared" si="73"/>
        <v/>
      </c>
      <c r="K473" s="4" t="str">
        <f t="shared" si="74"/>
        <v/>
      </c>
      <c r="L473" s="4" t="str">
        <f>IFERROR(VLOOKUP(ROUND(K473,0),correction_tag!$A$7:$C$253,3),"x")</f>
        <v>x</v>
      </c>
      <c r="N473" s="4">
        <f t="shared" si="66"/>
        <v>1</v>
      </c>
      <c r="O473" s="4">
        <f>IF(N472=0,O472+INPUT_CAD!$B$4,INPUT_CAD!$B$4)</f>
        <v>2</v>
      </c>
      <c r="Q473" s="4" t="str">
        <f t="shared" si="67"/>
        <v/>
      </c>
      <c r="R473" s="4" t="str">
        <f t="shared" si="68"/>
        <v/>
      </c>
      <c r="S473" s="4" t="str">
        <f t="shared" si="69"/>
        <v/>
      </c>
      <c r="T473" s="4" t="str">
        <f>IFERROR(Q473*Setup!$C$26+R473*Setup!$D$26+S473*Setup!$E$26,"")</f>
        <v/>
      </c>
      <c r="U473" s="4" t="str">
        <f t="shared" si="71"/>
        <v/>
      </c>
      <c r="V473" s="4">
        <f t="shared" si="70"/>
        <v>90</v>
      </c>
    </row>
    <row r="474" spans="1:22" hidden="1" x14ac:dyDescent="0.25">
      <c r="A474" s="4" t="str">
        <f>IF(INPUT_CAD!A474="","",INPUT_CAD!A474)</f>
        <v/>
      </c>
      <c r="B474" s="4" t="str">
        <f>IF(INPUT_CAD!B474="","",INPUT_CAD!B474)</f>
        <v/>
      </c>
      <c r="C474" s="4" t="str">
        <f>IF(INPUT_CAD!C474="","",INPUT_CAD!C474)</f>
        <v/>
      </c>
      <c r="D474" s="4" t="str">
        <f>IF(INPUT_CAD!D474="","",INPUT_CAD!D474)</f>
        <v/>
      </c>
      <c r="E474" s="4" t="str">
        <f>IF(INPUT_CAD!E474="","",INPUT_CAD!E474)</f>
        <v/>
      </c>
      <c r="F474" s="4" t="str">
        <f>IF(INPUT_CAD!F474="","",INPUT_CAD!F474)</f>
        <v/>
      </c>
      <c r="G474" s="4" t="str">
        <f>IF(INPUT_CAD!G474="","",INPUT_CAD!G474)</f>
        <v/>
      </c>
      <c r="I474" s="4" t="str">
        <f t="shared" si="72"/>
        <v/>
      </c>
      <c r="J474" s="4" t="str">
        <f t="shared" si="73"/>
        <v/>
      </c>
      <c r="K474" s="4" t="str">
        <f t="shared" si="74"/>
        <v/>
      </c>
      <c r="L474" s="4" t="str">
        <f>IFERROR(VLOOKUP(ROUND(K474,0),correction_tag!$A$7:$C$253,3),"x")</f>
        <v>x</v>
      </c>
      <c r="N474" s="4">
        <f t="shared" si="66"/>
        <v>1</v>
      </c>
      <c r="O474" s="4">
        <f>IF(N473=0,O473+INPUT_CAD!$B$4,INPUT_CAD!$B$4)</f>
        <v>2</v>
      </c>
      <c r="Q474" s="4" t="str">
        <f t="shared" si="67"/>
        <v/>
      </c>
      <c r="R474" s="4" t="str">
        <f t="shared" si="68"/>
        <v/>
      </c>
      <c r="S474" s="4" t="str">
        <f t="shared" si="69"/>
        <v/>
      </c>
      <c r="T474" s="4" t="str">
        <f>IFERROR(Q474*Setup!$C$26+R474*Setup!$D$26+S474*Setup!$E$26,"")</f>
        <v/>
      </c>
      <c r="U474" s="4" t="str">
        <f t="shared" si="71"/>
        <v/>
      </c>
      <c r="V474" s="4">
        <f t="shared" si="70"/>
        <v>90</v>
      </c>
    </row>
    <row r="475" spans="1:22" hidden="1" x14ac:dyDescent="0.25">
      <c r="A475" s="4" t="str">
        <f>IF(INPUT_CAD!A475="","",INPUT_CAD!A475)</f>
        <v/>
      </c>
      <c r="B475" s="4" t="str">
        <f>IF(INPUT_CAD!B475="","",INPUT_CAD!B475)</f>
        <v/>
      </c>
      <c r="C475" s="4" t="str">
        <f>IF(INPUT_CAD!C475="","",INPUT_CAD!C475)</f>
        <v/>
      </c>
      <c r="D475" s="4" t="str">
        <f>IF(INPUT_CAD!D475="","",INPUT_CAD!D475)</f>
        <v/>
      </c>
      <c r="E475" s="4" t="str">
        <f>IF(INPUT_CAD!E475="","",INPUT_CAD!E475)</f>
        <v/>
      </c>
      <c r="F475" s="4" t="str">
        <f>IF(INPUT_CAD!F475="","",INPUT_CAD!F475)</f>
        <v/>
      </c>
      <c r="G475" s="4" t="str">
        <f>IF(INPUT_CAD!G475="","",INPUT_CAD!G475)</f>
        <v/>
      </c>
      <c r="I475" s="4" t="str">
        <f t="shared" si="72"/>
        <v/>
      </c>
      <c r="J475" s="4" t="str">
        <f t="shared" si="73"/>
        <v/>
      </c>
      <c r="K475" s="4" t="str">
        <f t="shared" si="74"/>
        <v/>
      </c>
      <c r="L475" s="4" t="str">
        <f>IFERROR(VLOOKUP(ROUND(K475,0),correction_tag!$A$7:$C$253,3),"x")</f>
        <v>x</v>
      </c>
      <c r="N475" s="4">
        <f t="shared" si="66"/>
        <v>1</v>
      </c>
      <c r="O475" s="4">
        <f>IF(N474=0,O474+INPUT_CAD!$B$4,INPUT_CAD!$B$4)</f>
        <v>2</v>
      </c>
      <c r="Q475" s="4" t="str">
        <f t="shared" si="67"/>
        <v/>
      </c>
      <c r="R475" s="4" t="str">
        <f t="shared" si="68"/>
        <v/>
      </c>
      <c r="S475" s="4" t="str">
        <f t="shared" si="69"/>
        <v/>
      </c>
      <c r="T475" s="4" t="str">
        <f>IFERROR(Q475*Setup!$C$26+R475*Setup!$D$26+S475*Setup!$E$26,"")</f>
        <v/>
      </c>
      <c r="U475" s="4" t="str">
        <f t="shared" si="71"/>
        <v/>
      </c>
      <c r="V475" s="4">
        <f t="shared" si="70"/>
        <v>90</v>
      </c>
    </row>
    <row r="476" spans="1:22" hidden="1" x14ac:dyDescent="0.25">
      <c r="A476" s="4" t="str">
        <f>IF(INPUT_CAD!A476="","",INPUT_CAD!A476)</f>
        <v/>
      </c>
      <c r="B476" s="4" t="str">
        <f>IF(INPUT_CAD!B476="","",INPUT_CAD!B476)</f>
        <v/>
      </c>
      <c r="C476" s="4" t="str">
        <f>IF(INPUT_CAD!C476="","",INPUT_CAD!C476)</f>
        <v/>
      </c>
      <c r="D476" s="4" t="str">
        <f>IF(INPUT_CAD!D476="","",INPUT_CAD!D476)</f>
        <v/>
      </c>
      <c r="E476" s="4" t="str">
        <f>IF(INPUT_CAD!E476="","",INPUT_CAD!E476)</f>
        <v/>
      </c>
      <c r="F476" s="4" t="str">
        <f>IF(INPUT_CAD!F476="","",INPUT_CAD!F476)</f>
        <v/>
      </c>
      <c r="G476" s="4" t="str">
        <f>IF(INPUT_CAD!G476="","",INPUT_CAD!G476)</f>
        <v/>
      </c>
      <c r="I476" s="4" t="str">
        <f t="shared" si="72"/>
        <v/>
      </c>
      <c r="J476" s="4" t="str">
        <f t="shared" si="73"/>
        <v/>
      </c>
      <c r="K476" s="4" t="str">
        <f t="shared" si="74"/>
        <v/>
      </c>
      <c r="L476" s="4" t="str">
        <f>IFERROR(VLOOKUP(ROUND(K476,0),correction_tag!$A$7:$C$253,3),"x")</f>
        <v>x</v>
      </c>
      <c r="N476" s="4">
        <f t="shared" si="66"/>
        <v>1</v>
      </c>
      <c r="O476" s="4">
        <f>IF(N475=0,O475+INPUT_CAD!$B$4,INPUT_CAD!$B$4)</f>
        <v>2</v>
      </c>
      <c r="Q476" s="4" t="str">
        <f t="shared" si="67"/>
        <v/>
      </c>
      <c r="R476" s="4" t="str">
        <f t="shared" si="68"/>
        <v/>
      </c>
      <c r="S476" s="4" t="str">
        <f t="shared" si="69"/>
        <v/>
      </c>
      <c r="T476" s="4" t="str">
        <f>IFERROR(Q476*Setup!$C$26+R476*Setup!$D$26+S476*Setup!$E$26,"")</f>
        <v/>
      </c>
      <c r="U476" s="4" t="str">
        <f t="shared" si="71"/>
        <v/>
      </c>
      <c r="V476" s="4">
        <f t="shared" si="70"/>
        <v>90</v>
      </c>
    </row>
    <row r="477" spans="1:22" hidden="1" x14ac:dyDescent="0.25">
      <c r="A477" s="4" t="str">
        <f>IF(INPUT_CAD!A477="","",INPUT_CAD!A477)</f>
        <v/>
      </c>
      <c r="B477" s="4" t="str">
        <f>IF(INPUT_CAD!B477="","",INPUT_CAD!B477)</f>
        <v/>
      </c>
      <c r="C477" s="4" t="str">
        <f>IF(INPUT_CAD!C477="","",INPUT_CAD!C477)</f>
        <v/>
      </c>
      <c r="D477" s="4" t="str">
        <f>IF(INPUT_CAD!D477="","",INPUT_CAD!D477)</f>
        <v/>
      </c>
      <c r="E477" s="4" t="str">
        <f>IF(INPUT_CAD!E477="","",INPUT_CAD!E477)</f>
        <v/>
      </c>
      <c r="F477" s="4" t="str">
        <f>IF(INPUT_CAD!F477="","",INPUT_CAD!F477)</f>
        <v/>
      </c>
      <c r="G477" s="4" t="str">
        <f>IF(INPUT_CAD!G477="","",INPUT_CAD!G477)</f>
        <v/>
      </c>
      <c r="I477" s="4" t="str">
        <f t="shared" si="72"/>
        <v/>
      </c>
      <c r="J477" s="4" t="str">
        <f t="shared" si="73"/>
        <v/>
      </c>
      <c r="K477" s="4" t="str">
        <f t="shared" si="74"/>
        <v/>
      </c>
      <c r="L477" s="4" t="str">
        <f>IFERROR(VLOOKUP(ROUND(K477,0),correction_tag!$A$7:$C$253,3),"x")</f>
        <v>x</v>
      </c>
      <c r="N477" s="4">
        <f t="shared" si="66"/>
        <v>1</v>
      </c>
      <c r="O477" s="4">
        <f>IF(N476=0,O476+INPUT_CAD!$B$4,INPUT_CAD!$B$4)</f>
        <v>2</v>
      </c>
      <c r="Q477" s="4" t="str">
        <f t="shared" si="67"/>
        <v/>
      </c>
      <c r="R477" s="4" t="str">
        <f t="shared" si="68"/>
        <v/>
      </c>
      <c r="S477" s="4" t="str">
        <f t="shared" si="69"/>
        <v/>
      </c>
      <c r="T477" s="4" t="str">
        <f>IFERROR(Q477*Setup!$C$26+R477*Setup!$D$26+S477*Setup!$E$26,"")</f>
        <v/>
      </c>
      <c r="U477" s="4" t="str">
        <f t="shared" si="71"/>
        <v/>
      </c>
      <c r="V477" s="4">
        <f t="shared" si="70"/>
        <v>90</v>
      </c>
    </row>
    <row r="478" spans="1:22" hidden="1" x14ac:dyDescent="0.25">
      <c r="A478" s="4" t="str">
        <f>IF(INPUT_CAD!A478="","",INPUT_CAD!A478)</f>
        <v/>
      </c>
      <c r="B478" s="4" t="str">
        <f>IF(INPUT_CAD!B478="","",INPUT_CAD!B478)</f>
        <v/>
      </c>
      <c r="C478" s="4" t="str">
        <f>IF(INPUT_CAD!C478="","",INPUT_CAD!C478)</f>
        <v/>
      </c>
      <c r="D478" s="4" t="str">
        <f>IF(INPUT_CAD!D478="","",INPUT_CAD!D478)</f>
        <v/>
      </c>
      <c r="E478" s="4" t="str">
        <f>IF(INPUT_CAD!E478="","",INPUT_CAD!E478)</f>
        <v/>
      </c>
      <c r="F478" s="4" t="str">
        <f>IF(INPUT_CAD!F478="","",INPUT_CAD!F478)</f>
        <v/>
      </c>
      <c r="G478" s="4" t="str">
        <f>IF(INPUT_CAD!G478="","",INPUT_CAD!G478)</f>
        <v/>
      </c>
      <c r="I478" s="4" t="str">
        <f t="shared" si="72"/>
        <v/>
      </c>
      <c r="J478" s="4" t="str">
        <f t="shared" si="73"/>
        <v/>
      </c>
      <c r="K478" s="4" t="str">
        <f t="shared" si="74"/>
        <v/>
      </c>
      <c r="L478" s="4" t="str">
        <f>IFERROR(VLOOKUP(ROUND(K478,0),correction_tag!$A$7:$C$253,3),"x")</f>
        <v>x</v>
      </c>
      <c r="N478" s="4">
        <f t="shared" si="66"/>
        <v>1</v>
      </c>
      <c r="O478" s="4">
        <f>IF(N477=0,O477+INPUT_CAD!$B$4,INPUT_CAD!$B$4)</f>
        <v>2</v>
      </c>
      <c r="Q478" s="4" t="str">
        <f t="shared" si="67"/>
        <v/>
      </c>
      <c r="R478" s="4" t="str">
        <f t="shared" si="68"/>
        <v/>
      </c>
      <c r="S478" s="4" t="str">
        <f t="shared" si="69"/>
        <v/>
      </c>
      <c r="T478" s="4" t="str">
        <f>IFERROR(Q478*Setup!$C$26+R478*Setup!$D$26+S478*Setup!$E$26,"")</f>
        <v/>
      </c>
      <c r="U478" s="4" t="str">
        <f t="shared" si="71"/>
        <v/>
      </c>
      <c r="V478" s="4">
        <f t="shared" si="70"/>
        <v>90</v>
      </c>
    </row>
    <row r="479" spans="1:22" hidden="1" x14ac:dyDescent="0.25">
      <c r="A479" s="4" t="str">
        <f>IF(INPUT_CAD!A479="","",INPUT_CAD!A479)</f>
        <v/>
      </c>
      <c r="B479" s="4" t="str">
        <f>IF(INPUT_CAD!B479="","",INPUT_CAD!B479)</f>
        <v/>
      </c>
      <c r="C479" s="4" t="str">
        <f>IF(INPUT_CAD!C479="","",INPUT_CAD!C479)</f>
        <v/>
      </c>
      <c r="D479" s="4" t="str">
        <f>IF(INPUT_CAD!D479="","",INPUT_CAD!D479)</f>
        <v/>
      </c>
      <c r="E479" s="4" t="str">
        <f>IF(INPUT_CAD!E479="","",INPUT_CAD!E479)</f>
        <v/>
      </c>
      <c r="F479" s="4" t="str">
        <f>IF(INPUT_CAD!F479="","",INPUT_CAD!F479)</f>
        <v/>
      </c>
      <c r="G479" s="4" t="str">
        <f>IF(INPUT_CAD!G479="","",INPUT_CAD!G479)</f>
        <v/>
      </c>
      <c r="I479" s="4" t="str">
        <f t="shared" si="72"/>
        <v/>
      </c>
      <c r="J479" s="4" t="str">
        <f t="shared" si="73"/>
        <v/>
      </c>
      <c r="K479" s="4" t="str">
        <f t="shared" si="74"/>
        <v/>
      </c>
      <c r="L479" s="4" t="str">
        <f>IFERROR(VLOOKUP(ROUND(K479,0),correction_tag!$A$7:$C$253,3),"x")</f>
        <v>x</v>
      </c>
      <c r="N479" s="4">
        <f t="shared" si="66"/>
        <v>1</v>
      </c>
      <c r="O479" s="4">
        <f>IF(N478=0,O478+INPUT_CAD!$B$4,INPUT_CAD!$B$4)</f>
        <v>2</v>
      </c>
      <c r="Q479" s="4" t="str">
        <f t="shared" si="67"/>
        <v/>
      </c>
      <c r="R479" s="4" t="str">
        <f t="shared" si="68"/>
        <v/>
      </c>
      <c r="S479" s="4" t="str">
        <f t="shared" si="69"/>
        <v/>
      </c>
      <c r="T479" s="4" t="str">
        <f>IFERROR(Q479*Setup!$C$26+R479*Setup!$D$26+S479*Setup!$E$26,"")</f>
        <v/>
      </c>
      <c r="U479" s="4" t="str">
        <f t="shared" si="71"/>
        <v/>
      </c>
      <c r="V479" s="4">
        <f t="shared" si="70"/>
        <v>90</v>
      </c>
    </row>
    <row r="480" spans="1:22" hidden="1" x14ac:dyDescent="0.25">
      <c r="A480" s="4" t="str">
        <f>IF(INPUT_CAD!A480="","",INPUT_CAD!A480)</f>
        <v/>
      </c>
      <c r="B480" s="4" t="str">
        <f>IF(INPUT_CAD!B480="","",INPUT_CAD!B480)</f>
        <v/>
      </c>
      <c r="C480" s="4" t="str">
        <f>IF(INPUT_CAD!C480="","",INPUT_CAD!C480)</f>
        <v/>
      </c>
      <c r="D480" s="4" t="str">
        <f>IF(INPUT_CAD!D480="","",INPUT_CAD!D480)</f>
        <v/>
      </c>
      <c r="E480" s="4" t="str">
        <f>IF(INPUT_CAD!E480="","",INPUT_CAD!E480)</f>
        <v/>
      </c>
      <c r="F480" s="4" t="str">
        <f>IF(INPUT_CAD!F480="","",INPUT_CAD!F480)</f>
        <v/>
      </c>
      <c r="G480" s="4" t="str">
        <f>IF(INPUT_CAD!G480="","",INPUT_CAD!G480)</f>
        <v/>
      </c>
      <c r="I480" s="4" t="str">
        <f t="shared" si="72"/>
        <v/>
      </c>
      <c r="J480" s="4" t="str">
        <f t="shared" si="73"/>
        <v/>
      </c>
      <c r="K480" s="4" t="str">
        <f t="shared" si="74"/>
        <v/>
      </c>
      <c r="L480" s="4" t="str">
        <f>IFERROR(VLOOKUP(ROUND(K480,0),correction_tag!$A$7:$C$253,3),"x")</f>
        <v>x</v>
      </c>
      <c r="N480" s="4">
        <f t="shared" si="66"/>
        <v>1</v>
      </c>
      <c r="O480" s="4">
        <f>IF(N479=0,O479+INPUT_CAD!$B$4,INPUT_CAD!$B$4)</f>
        <v>2</v>
      </c>
      <c r="Q480" s="4" t="str">
        <f t="shared" si="67"/>
        <v/>
      </c>
      <c r="R480" s="4" t="str">
        <f t="shared" si="68"/>
        <v/>
      </c>
      <c r="S480" s="4" t="str">
        <f t="shared" si="69"/>
        <v/>
      </c>
      <c r="T480" s="4" t="str">
        <f>IFERROR(Q480*Setup!$C$26+R480*Setup!$D$26+S480*Setup!$E$26,"")</f>
        <v/>
      </c>
      <c r="U480" s="4" t="str">
        <f t="shared" si="71"/>
        <v/>
      </c>
      <c r="V480" s="4">
        <f t="shared" si="70"/>
        <v>90</v>
      </c>
    </row>
    <row r="481" spans="1:22" hidden="1" x14ac:dyDescent="0.25">
      <c r="A481" s="4" t="str">
        <f>IF(INPUT_CAD!A481="","",INPUT_CAD!A481)</f>
        <v/>
      </c>
      <c r="B481" s="4" t="str">
        <f>IF(INPUT_CAD!B481="","",INPUT_CAD!B481)</f>
        <v/>
      </c>
      <c r="C481" s="4" t="str">
        <f>IF(INPUT_CAD!C481="","",INPUT_CAD!C481)</f>
        <v/>
      </c>
      <c r="D481" s="4" t="str">
        <f>IF(INPUT_CAD!D481="","",INPUT_CAD!D481)</f>
        <v/>
      </c>
      <c r="E481" s="4" t="str">
        <f>IF(INPUT_CAD!E481="","",INPUT_CAD!E481)</f>
        <v/>
      </c>
      <c r="F481" s="4" t="str">
        <f>IF(INPUT_CAD!F481="","",INPUT_CAD!F481)</f>
        <v/>
      </c>
      <c r="G481" s="4" t="str">
        <f>IF(INPUT_CAD!G481="","",INPUT_CAD!G481)</f>
        <v/>
      </c>
      <c r="I481" s="4" t="str">
        <f t="shared" si="72"/>
        <v/>
      </c>
      <c r="J481" s="4" t="str">
        <f t="shared" si="73"/>
        <v/>
      </c>
      <c r="K481" s="4" t="str">
        <f t="shared" si="74"/>
        <v/>
      </c>
      <c r="L481" s="4" t="str">
        <f>IFERROR(VLOOKUP(ROUND(K481,0),correction_tag!$A$7:$C$253,3),"x")</f>
        <v>x</v>
      </c>
      <c r="N481" s="4">
        <f t="shared" si="66"/>
        <v>1</v>
      </c>
      <c r="O481" s="4">
        <f>IF(N480=0,O480+INPUT_CAD!$B$4,INPUT_CAD!$B$4)</f>
        <v>2</v>
      </c>
      <c r="Q481" s="4" t="str">
        <f t="shared" si="67"/>
        <v/>
      </c>
      <c r="R481" s="4" t="str">
        <f t="shared" si="68"/>
        <v/>
      </c>
      <c r="S481" s="4" t="str">
        <f t="shared" si="69"/>
        <v/>
      </c>
      <c r="T481" s="4" t="str">
        <f>IFERROR(Q481*Setup!$C$26+R481*Setup!$D$26+S481*Setup!$E$26,"")</f>
        <v/>
      </c>
      <c r="U481" s="4" t="str">
        <f t="shared" si="71"/>
        <v/>
      </c>
      <c r="V481" s="4">
        <f t="shared" si="70"/>
        <v>90</v>
      </c>
    </row>
    <row r="482" spans="1:22" hidden="1" x14ac:dyDescent="0.25">
      <c r="A482" s="4" t="str">
        <f>IF(INPUT_CAD!A482="","",INPUT_CAD!A482)</f>
        <v/>
      </c>
      <c r="B482" s="4" t="str">
        <f>IF(INPUT_CAD!B482="","",INPUT_CAD!B482)</f>
        <v/>
      </c>
      <c r="C482" s="4" t="str">
        <f>IF(INPUT_CAD!C482="","",INPUT_CAD!C482)</f>
        <v/>
      </c>
      <c r="D482" s="4" t="str">
        <f>IF(INPUT_CAD!D482="","",INPUT_CAD!D482)</f>
        <v/>
      </c>
      <c r="E482" s="4" t="str">
        <f>IF(INPUT_CAD!E482="","",INPUT_CAD!E482)</f>
        <v/>
      </c>
      <c r="F482" s="4" t="str">
        <f>IF(INPUT_CAD!F482="","",INPUT_CAD!F482)</f>
        <v/>
      </c>
      <c r="G482" s="4" t="str">
        <f>IF(INPUT_CAD!G482="","",INPUT_CAD!G482)</f>
        <v/>
      </c>
      <c r="I482" s="4" t="str">
        <f t="shared" si="72"/>
        <v/>
      </c>
      <c r="J482" s="4" t="str">
        <f t="shared" si="73"/>
        <v/>
      </c>
      <c r="K482" s="4" t="str">
        <f t="shared" si="74"/>
        <v/>
      </c>
      <c r="L482" s="4" t="str">
        <f>IFERROR(VLOOKUP(ROUND(K482,0),correction_tag!$A$7:$C$253,3),"x")</f>
        <v>x</v>
      </c>
      <c r="N482" s="4">
        <f t="shared" si="66"/>
        <v>1</v>
      </c>
      <c r="O482" s="4">
        <f>IF(N481=0,O481+INPUT_CAD!$B$4,INPUT_CAD!$B$4)</f>
        <v>2</v>
      </c>
      <c r="Q482" s="4" t="str">
        <f t="shared" si="67"/>
        <v/>
      </c>
      <c r="R482" s="4" t="str">
        <f t="shared" si="68"/>
        <v/>
      </c>
      <c r="S482" s="4" t="str">
        <f t="shared" si="69"/>
        <v/>
      </c>
      <c r="T482" s="4" t="str">
        <f>IFERROR(Q482*Setup!$C$26+R482*Setup!$D$26+S482*Setup!$E$26,"")</f>
        <v/>
      </c>
      <c r="U482" s="4" t="str">
        <f t="shared" si="71"/>
        <v/>
      </c>
      <c r="V482" s="4">
        <f t="shared" si="70"/>
        <v>90</v>
      </c>
    </row>
    <row r="483" spans="1:22" hidden="1" x14ac:dyDescent="0.25">
      <c r="A483" s="4" t="str">
        <f>IF(INPUT_CAD!A483="","",INPUT_CAD!A483)</f>
        <v/>
      </c>
      <c r="B483" s="4" t="str">
        <f>IF(INPUT_CAD!B483="","",INPUT_CAD!B483)</f>
        <v/>
      </c>
      <c r="C483" s="4" t="str">
        <f>IF(INPUT_CAD!C483="","",INPUT_CAD!C483)</f>
        <v/>
      </c>
      <c r="D483" s="4" t="str">
        <f>IF(INPUT_CAD!D483="","",INPUT_CAD!D483)</f>
        <v/>
      </c>
      <c r="E483" s="4" t="str">
        <f>IF(INPUT_CAD!E483="","",INPUT_CAD!E483)</f>
        <v/>
      </c>
      <c r="F483" s="4" t="str">
        <f>IF(INPUT_CAD!F483="","",INPUT_CAD!F483)</f>
        <v/>
      </c>
      <c r="G483" s="4" t="str">
        <f>IF(INPUT_CAD!G483="","",INPUT_CAD!G483)</f>
        <v/>
      </c>
      <c r="I483" s="4" t="str">
        <f t="shared" si="72"/>
        <v/>
      </c>
      <c r="J483" s="4" t="str">
        <f t="shared" si="73"/>
        <v/>
      </c>
      <c r="K483" s="4" t="str">
        <f t="shared" si="74"/>
        <v/>
      </c>
      <c r="L483" s="4" t="str">
        <f>IFERROR(VLOOKUP(ROUND(K483,0),correction_tag!$A$7:$C$253,3),"x")</f>
        <v>x</v>
      </c>
      <c r="N483" s="4">
        <f t="shared" si="66"/>
        <v>1</v>
      </c>
      <c r="O483" s="4">
        <f>IF(N482=0,O482+INPUT_CAD!$B$4,INPUT_CAD!$B$4)</f>
        <v>2</v>
      </c>
      <c r="Q483" s="4" t="str">
        <f t="shared" si="67"/>
        <v/>
      </c>
      <c r="R483" s="4" t="str">
        <f t="shared" si="68"/>
        <v/>
      </c>
      <c r="S483" s="4" t="str">
        <f t="shared" si="69"/>
        <v/>
      </c>
      <c r="T483" s="4" t="str">
        <f>IFERROR(Q483*Setup!$C$26+R483*Setup!$D$26+S483*Setup!$E$26,"")</f>
        <v/>
      </c>
      <c r="U483" s="4" t="str">
        <f t="shared" si="71"/>
        <v/>
      </c>
      <c r="V483" s="4">
        <f t="shared" si="70"/>
        <v>90</v>
      </c>
    </row>
    <row r="484" spans="1:22" hidden="1" x14ac:dyDescent="0.25">
      <c r="A484" s="4" t="str">
        <f>IF(INPUT_CAD!A484="","",INPUT_CAD!A484)</f>
        <v/>
      </c>
      <c r="B484" s="4" t="str">
        <f>IF(INPUT_CAD!B484="","",INPUT_CAD!B484)</f>
        <v/>
      </c>
      <c r="C484" s="4" t="str">
        <f>IF(INPUT_CAD!C484="","",INPUT_CAD!C484)</f>
        <v/>
      </c>
      <c r="D484" s="4" t="str">
        <f>IF(INPUT_CAD!D484="","",INPUT_CAD!D484)</f>
        <v/>
      </c>
      <c r="E484" s="4" t="str">
        <f>IF(INPUT_CAD!E484="","",INPUT_CAD!E484)</f>
        <v/>
      </c>
      <c r="F484" s="4" t="str">
        <f>IF(INPUT_CAD!F484="","",INPUT_CAD!F484)</f>
        <v/>
      </c>
      <c r="G484" s="4" t="str">
        <f>IF(INPUT_CAD!G484="","",INPUT_CAD!G484)</f>
        <v/>
      </c>
      <c r="I484" s="4" t="str">
        <f t="shared" si="72"/>
        <v/>
      </c>
      <c r="J484" s="4" t="str">
        <f t="shared" si="73"/>
        <v/>
      </c>
      <c r="K484" s="4" t="str">
        <f t="shared" si="74"/>
        <v/>
      </c>
      <c r="L484" s="4" t="str">
        <f>IFERROR(VLOOKUP(ROUND(K484,0),correction_tag!$A$7:$C$253,3),"x")</f>
        <v>x</v>
      </c>
      <c r="N484" s="4">
        <f t="shared" si="66"/>
        <v>1</v>
      </c>
      <c r="O484" s="4">
        <f>IF(N483=0,O483+INPUT_CAD!$B$4,INPUT_CAD!$B$4)</f>
        <v>2</v>
      </c>
      <c r="Q484" s="4" t="str">
        <f t="shared" si="67"/>
        <v/>
      </c>
      <c r="R484" s="4" t="str">
        <f t="shared" si="68"/>
        <v/>
      </c>
      <c r="S484" s="4" t="str">
        <f t="shared" si="69"/>
        <v/>
      </c>
      <c r="T484" s="4" t="str">
        <f>IFERROR(Q484*Setup!$C$26+R484*Setup!$D$26+S484*Setup!$E$26,"")</f>
        <v/>
      </c>
      <c r="U484" s="4" t="str">
        <f t="shared" si="71"/>
        <v/>
      </c>
      <c r="V484" s="4">
        <f t="shared" si="70"/>
        <v>90</v>
      </c>
    </row>
    <row r="485" spans="1:22" hidden="1" x14ac:dyDescent="0.25">
      <c r="A485" s="4" t="str">
        <f>IF(INPUT_CAD!A485="","",INPUT_CAD!A485)</f>
        <v/>
      </c>
      <c r="B485" s="4" t="str">
        <f>IF(INPUT_CAD!B485="","",INPUT_CAD!B485)</f>
        <v/>
      </c>
      <c r="C485" s="4" t="str">
        <f>IF(INPUT_CAD!C485="","",INPUT_CAD!C485)</f>
        <v/>
      </c>
      <c r="D485" s="4" t="str">
        <f>IF(INPUT_CAD!D485="","",INPUT_CAD!D485)</f>
        <v/>
      </c>
      <c r="E485" s="4" t="str">
        <f>IF(INPUT_CAD!E485="","",INPUT_CAD!E485)</f>
        <v/>
      </c>
      <c r="F485" s="4" t="str">
        <f>IF(INPUT_CAD!F485="","",INPUT_CAD!F485)</f>
        <v/>
      </c>
      <c r="G485" s="4" t="str">
        <f>IF(INPUT_CAD!G485="","",INPUT_CAD!G485)</f>
        <v/>
      </c>
      <c r="I485" s="4" t="str">
        <f t="shared" si="72"/>
        <v/>
      </c>
      <c r="J485" s="4" t="str">
        <f t="shared" si="73"/>
        <v/>
      </c>
      <c r="K485" s="4" t="str">
        <f t="shared" si="74"/>
        <v/>
      </c>
      <c r="L485" s="4" t="str">
        <f>IFERROR(VLOOKUP(ROUND(K485,0),correction_tag!$A$7:$C$253,3),"x")</f>
        <v>x</v>
      </c>
      <c r="N485" s="4">
        <f t="shared" si="66"/>
        <v>1</v>
      </c>
      <c r="O485" s="4">
        <f>IF(N484=0,O484+INPUT_CAD!$B$4,INPUT_CAD!$B$4)</f>
        <v>2</v>
      </c>
      <c r="Q485" s="4" t="str">
        <f t="shared" si="67"/>
        <v/>
      </c>
      <c r="R485" s="4" t="str">
        <f t="shared" si="68"/>
        <v/>
      </c>
      <c r="S485" s="4" t="str">
        <f t="shared" si="69"/>
        <v/>
      </c>
      <c r="T485" s="4" t="str">
        <f>IFERROR(Q485*Setup!$C$26+R485*Setup!$D$26+S485*Setup!$E$26,"")</f>
        <v/>
      </c>
      <c r="U485" s="4" t="str">
        <f t="shared" si="71"/>
        <v/>
      </c>
      <c r="V485" s="4">
        <f t="shared" si="70"/>
        <v>90</v>
      </c>
    </row>
    <row r="486" spans="1:22" hidden="1" x14ac:dyDescent="0.25">
      <c r="A486" s="4" t="str">
        <f>IF(INPUT_CAD!A486="","",INPUT_CAD!A486)</f>
        <v/>
      </c>
      <c r="B486" s="4" t="str">
        <f>IF(INPUT_CAD!B486="","",INPUT_CAD!B486)</f>
        <v/>
      </c>
      <c r="C486" s="4" t="str">
        <f>IF(INPUT_CAD!C486="","",INPUT_CAD!C486)</f>
        <v/>
      </c>
      <c r="D486" s="4" t="str">
        <f>IF(INPUT_CAD!D486="","",INPUT_CAD!D486)</f>
        <v/>
      </c>
      <c r="E486" s="4" t="str">
        <f>IF(INPUT_CAD!E486="","",INPUT_CAD!E486)</f>
        <v/>
      </c>
      <c r="F486" s="4" t="str">
        <f>IF(INPUT_CAD!F486="","",INPUT_CAD!F486)</f>
        <v/>
      </c>
      <c r="G486" s="4" t="str">
        <f>IF(INPUT_CAD!G486="","",INPUT_CAD!G486)</f>
        <v/>
      </c>
      <c r="I486" s="4" t="str">
        <f t="shared" si="72"/>
        <v/>
      </c>
      <c r="J486" s="4" t="str">
        <f t="shared" si="73"/>
        <v/>
      </c>
      <c r="K486" s="4" t="str">
        <f t="shared" si="74"/>
        <v/>
      </c>
      <c r="L486" s="4" t="str">
        <f>IFERROR(VLOOKUP(ROUND(K486,0),correction_tag!$A$7:$C$253,3),"x")</f>
        <v>x</v>
      </c>
      <c r="N486" s="4">
        <f t="shared" si="66"/>
        <v>1</v>
      </c>
      <c r="O486" s="4">
        <f>IF(N485=0,O485+INPUT_CAD!$B$4,INPUT_CAD!$B$4)</f>
        <v>2</v>
      </c>
      <c r="Q486" s="4" t="str">
        <f t="shared" si="67"/>
        <v/>
      </c>
      <c r="R486" s="4" t="str">
        <f t="shared" si="68"/>
        <v/>
      </c>
      <c r="S486" s="4" t="str">
        <f t="shared" si="69"/>
        <v/>
      </c>
      <c r="T486" s="4" t="str">
        <f>IFERROR(Q486*Setup!$C$26+R486*Setup!$D$26+S486*Setup!$E$26,"")</f>
        <v/>
      </c>
      <c r="U486" s="4" t="str">
        <f t="shared" si="71"/>
        <v/>
      </c>
      <c r="V486" s="4">
        <f t="shared" si="70"/>
        <v>90</v>
      </c>
    </row>
    <row r="487" spans="1:22" hidden="1" x14ac:dyDescent="0.25">
      <c r="A487" s="4" t="str">
        <f>IF(INPUT_CAD!A487="","",INPUT_CAD!A487)</f>
        <v/>
      </c>
      <c r="B487" s="4" t="str">
        <f>IF(INPUT_CAD!B487="","",INPUT_CAD!B487)</f>
        <v/>
      </c>
      <c r="C487" s="4" t="str">
        <f>IF(INPUT_CAD!C487="","",INPUT_CAD!C487)</f>
        <v/>
      </c>
      <c r="D487" s="4" t="str">
        <f>IF(INPUT_CAD!D487="","",INPUT_CAD!D487)</f>
        <v/>
      </c>
      <c r="E487" s="4" t="str">
        <f>IF(INPUT_CAD!E487="","",INPUT_CAD!E487)</f>
        <v/>
      </c>
      <c r="F487" s="4" t="str">
        <f>IF(INPUT_CAD!F487="","",INPUT_CAD!F487)</f>
        <v/>
      </c>
      <c r="G487" s="4" t="str">
        <f>IF(INPUT_CAD!G487="","",INPUT_CAD!G487)</f>
        <v/>
      </c>
      <c r="I487" s="4" t="str">
        <f t="shared" si="72"/>
        <v/>
      </c>
      <c r="J487" s="4" t="str">
        <f t="shared" si="73"/>
        <v/>
      </c>
      <c r="K487" s="4" t="str">
        <f t="shared" si="74"/>
        <v/>
      </c>
      <c r="L487" s="4" t="str">
        <f>IFERROR(VLOOKUP(ROUND(K487,0),correction_tag!$A$7:$C$253,3),"x")</f>
        <v>x</v>
      </c>
      <c r="N487" s="4">
        <f t="shared" si="66"/>
        <v>1</v>
      </c>
      <c r="O487" s="4">
        <f>IF(N486=0,O486+INPUT_CAD!$B$4,INPUT_CAD!$B$4)</f>
        <v>2</v>
      </c>
      <c r="Q487" s="4" t="str">
        <f t="shared" si="67"/>
        <v/>
      </c>
      <c r="R487" s="4" t="str">
        <f t="shared" si="68"/>
        <v/>
      </c>
      <c r="S487" s="4" t="str">
        <f t="shared" si="69"/>
        <v/>
      </c>
      <c r="T487" s="4" t="str">
        <f>IFERROR(Q487*Setup!$C$26+R487*Setup!$D$26+S487*Setup!$E$26,"")</f>
        <v/>
      </c>
      <c r="U487" s="4" t="str">
        <f t="shared" si="71"/>
        <v/>
      </c>
      <c r="V487" s="4">
        <f t="shared" si="70"/>
        <v>90</v>
      </c>
    </row>
    <row r="488" spans="1:22" hidden="1" x14ac:dyDescent="0.25">
      <c r="A488" s="4" t="str">
        <f>IF(INPUT_CAD!A488="","",INPUT_CAD!A488)</f>
        <v/>
      </c>
      <c r="B488" s="4" t="str">
        <f>IF(INPUT_CAD!B488="","",INPUT_CAD!B488)</f>
        <v/>
      </c>
      <c r="C488" s="4" t="str">
        <f>IF(INPUT_CAD!C488="","",INPUT_CAD!C488)</f>
        <v/>
      </c>
      <c r="D488" s="4" t="str">
        <f>IF(INPUT_CAD!D488="","",INPUT_CAD!D488)</f>
        <v/>
      </c>
      <c r="E488" s="4" t="str">
        <f>IF(INPUT_CAD!E488="","",INPUT_CAD!E488)</f>
        <v/>
      </c>
      <c r="F488" s="4" t="str">
        <f>IF(INPUT_CAD!F488="","",INPUT_CAD!F488)</f>
        <v/>
      </c>
      <c r="G488" s="4" t="str">
        <f>IF(INPUT_CAD!G488="","",INPUT_CAD!G488)</f>
        <v/>
      </c>
      <c r="I488" s="4" t="str">
        <f t="shared" si="72"/>
        <v/>
      </c>
      <c r="J488" s="4" t="str">
        <f t="shared" si="73"/>
        <v/>
      </c>
      <c r="K488" s="4" t="str">
        <f t="shared" si="74"/>
        <v/>
      </c>
      <c r="L488" s="4" t="str">
        <f>IFERROR(VLOOKUP(ROUND(K488,0),correction_tag!$A$7:$C$253,3),"x")</f>
        <v>x</v>
      </c>
      <c r="N488" s="4">
        <f t="shared" si="66"/>
        <v>1</v>
      </c>
      <c r="O488" s="4">
        <f>IF(N487=0,O487+INPUT_CAD!$B$4,INPUT_CAD!$B$4)</f>
        <v>2</v>
      </c>
      <c r="Q488" s="4" t="str">
        <f t="shared" si="67"/>
        <v/>
      </c>
      <c r="R488" s="4" t="str">
        <f t="shared" si="68"/>
        <v/>
      </c>
      <c r="S488" s="4" t="str">
        <f t="shared" si="69"/>
        <v/>
      </c>
      <c r="T488" s="4" t="str">
        <f>IFERROR(Q488*Setup!$C$26+R488*Setup!$D$26+S488*Setup!$E$26,"")</f>
        <v/>
      </c>
      <c r="U488" s="4" t="str">
        <f t="shared" si="71"/>
        <v/>
      </c>
      <c r="V488" s="4">
        <f t="shared" si="70"/>
        <v>90</v>
      </c>
    </row>
    <row r="489" spans="1:22" hidden="1" x14ac:dyDescent="0.25">
      <c r="A489" s="4" t="str">
        <f>IF(INPUT_CAD!A489="","",INPUT_CAD!A489)</f>
        <v/>
      </c>
      <c r="B489" s="4" t="str">
        <f>IF(INPUT_CAD!B489="","",INPUT_CAD!B489)</f>
        <v/>
      </c>
      <c r="C489" s="4" t="str">
        <f>IF(INPUT_CAD!C489="","",INPUT_CAD!C489)</f>
        <v/>
      </c>
      <c r="D489" s="4" t="str">
        <f>IF(INPUT_CAD!D489="","",INPUT_CAD!D489)</f>
        <v/>
      </c>
      <c r="E489" s="4" t="str">
        <f>IF(INPUT_CAD!E489="","",INPUT_CAD!E489)</f>
        <v/>
      </c>
      <c r="F489" s="4" t="str">
        <f>IF(INPUT_CAD!F489="","",INPUT_CAD!F489)</f>
        <v/>
      </c>
      <c r="G489" s="4" t="str">
        <f>IF(INPUT_CAD!G489="","",INPUT_CAD!G489)</f>
        <v/>
      </c>
      <c r="I489" s="4" t="str">
        <f t="shared" si="72"/>
        <v/>
      </c>
      <c r="J489" s="4" t="str">
        <f t="shared" si="73"/>
        <v/>
      </c>
      <c r="K489" s="4" t="str">
        <f t="shared" si="74"/>
        <v/>
      </c>
      <c r="L489" s="4" t="str">
        <f>IFERROR(VLOOKUP(ROUND(K489,0),correction_tag!$A$7:$C$253,3),"x")</f>
        <v>x</v>
      </c>
      <c r="N489" s="4">
        <f t="shared" si="66"/>
        <v>1</v>
      </c>
      <c r="O489" s="4">
        <f>IF(N488=0,O488+INPUT_CAD!$B$4,INPUT_CAD!$B$4)</f>
        <v>2</v>
      </c>
      <c r="Q489" s="4" t="str">
        <f t="shared" si="67"/>
        <v/>
      </c>
      <c r="R489" s="4" t="str">
        <f t="shared" si="68"/>
        <v/>
      </c>
      <c r="S489" s="4" t="str">
        <f t="shared" si="69"/>
        <v/>
      </c>
      <c r="T489" s="4" t="str">
        <f>IFERROR(Q489*Setup!$C$26+R489*Setup!$D$26+S489*Setup!$E$26,"")</f>
        <v/>
      </c>
      <c r="U489" s="4" t="str">
        <f t="shared" si="71"/>
        <v/>
      </c>
      <c r="V489" s="4">
        <f t="shared" si="70"/>
        <v>90</v>
      </c>
    </row>
    <row r="490" spans="1:22" hidden="1" x14ac:dyDescent="0.25">
      <c r="A490" s="4" t="str">
        <f>IF(INPUT_CAD!A490="","",INPUT_CAD!A490)</f>
        <v/>
      </c>
      <c r="B490" s="4" t="str">
        <f>IF(INPUT_CAD!B490="","",INPUT_CAD!B490)</f>
        <v/>
      </c>
      <c r="C490" s="4" t="str">
        <f>IF(INPUT_CAD!C490="","",INPUT_CAD!C490)</f>
        <v/>
      </c>
      <c r="D490" s="4" t="str">
        <f>IF(INPUT_CAD!D490="","",INPUT_CAD!D490)</f>
        <v/>
      </c>
      <c r="E490" s="4" t="str">
        <f>IF(INPUT_CAD!E490="","",INPUT_CAD!E490)</f>
        <v/>
      </c>
      <c r="F490" s="4" t="str">
        <f>IF(INPUT_CAD!F490="","",INPUT_CAD!F490)</f>
        <v/>
      </c>
      <c r="G490" s="4" t="str">
        <f>IF(INPUT_CAD!G490="","",INPUT_CAD!G490)</f>
        <v/>
      </c>
      <c r="I490" s="4" t="str">
        <f t="shared" si="72"/>
        <v/>
      </c>
      <c r="J490" s="4" t="str">
        <f t="shared" si="73"/>
        <v/>
      </c>
      <c r="K490" s="4" t="str">
        <f t="shared" si="74"/>
        <v/>
      </c>
      <c r="L490" s="4" t="str">
        <f>IFERROR(VLOOKUP(ROUND(K490,0),correction_tag!$A$7:$C$253,3),"x")</f>
        <v>x</v>
      </c>
      <c r="N490" s="4">
        <f t="shared" si="66"/>
        <v>1</v>
      </c>
      <c r="O490" s="4">
        <f>IF(N489=0,O489+INPUT_CAD!$B$4,INPUT_CAD!$B$4)</f>
        <v>2</v>
      </c>
      <c r="Q490" s="4" t="str">
        <f t="shared" si="67"/>
        <v/>
      </c>
      <c r="R490" s="4" t="str">
        <f t="shared" si="68"/>
        <v/>
      </c>
      <c r="S490" s="4" t="str">
        <f t="shared" si="69"/>
        <v/>
      </c>
      <c r="T490" s="4" t="str">
        <f>IFERROR(Q490*Setup!$C$26+R490*Setup!$D$26+S490*Setup!$E$26,"")</f>
        <v/>
      </c>
      <c r="U490" s="4" t="str">
        <f t="shared" si="71"/>
        <v/>
      </c>
      <c r="V490" s="4">
        <f t="shared" si="70"/>
        <v>90</v>
      </c>
    </row>
    <row r="491" spans="1:22" hidden="1" x14ac:dyDescent="0.25">
      <c r="A491" s="4" t="str">
        <f>IF(INPUT_CAD!A491="","",INPUT_CAD!A491)</f>
        <v/>
      </c>
      <c r="B491" s="4" t="str">
        <f>IF(INPUT_CAD!B491="","",INPUT_CAD!B491)</f>
        <v/>
      </c>
      <c r="C491" s="4" t="str">
        <f>IF(INPUT_CAD!C491="","",INPUT_CAD!C491)</f>
        <v/>
      </c>
      <c r="D491" s="4" t="str">
        <f>IF(INPUT_CAD!D491="","",INPUT_CAD!D491)</f>
        <v/>
      </c>
      <c r="E491" s="4" t="str">
        <f>IF(INPUT_CAD!E491="","",INPUT_CAD!E491)</f>
        <v/>
      </c>
      <c r="F491" s="4" t="str">
        <f>IF(INPUT_CAD!F491="","",INPUT_CAD!F491)</f>
        <v/>
      </c>
      <c r="G491" s="4" t="str">
        <f>IF(INPUT_CAD!G491="","",INPUT_CAD!G491)</f>
        <v/>
      </c>
      <c r="I491" s="4" t="str">
        <f t="shared" si="72"/>
        <v/>
      </c>
      <c r="J491" s="4" t="str">
        <f t="shared" si="73"/>
        <v/>
      </c>
      <c r="K491" s="4" t="str">
        <f t="shared" si="74"/>
        <v/>
      </c>
      <c r="L491" s="4" t="str">
        <f>IFERROR(VLOOKUP(ROUND(K491,0),correction_tag!$A$7:$C$253,3),"x")</f>
        <v>x</v>
      </c>
      <c r="N491" s="4">
        <f t="shared" si="66"/>
        <v>1</v>
      </c>
      <c r="O491" s="4">
        <f>IF(N490=0,O490+INPUT_CAD!$B$4,INPUT_CAD!$B$4)</f>
        <v>2</v>
      </c>
      <c r="Q491" s="4" t="str">
        <f t="shared" si="67"/>
        <v/>
      </c>
      <c r="R491" s="4" t="str">
        <f t="shared" si="68"/>
        <v/>
      </c>
      <c r="S491" s="4" t="str">
        <f t="shared" si="69"/>
        <v/>
      </c>
      <c r="T491" s="4" t="str">
        <f>IFERROR(Q491*Setup!$C$26+R491*Setup!$D$26+S491*Setup!$E$26,"")</f>
        <v/>
      </c>
      <c r="U491" s="4" t="str">
        <f t="shared" si="71"/>
        <v/>
      </c>
      <c r="V491" s="4">
        <f t="shared" si="70"/>
        <v>90</v>
      </c>
    </row>
    <row r="492" spans="1:22" hidden="1" x14ac:dyDescent="0.25">
      <c r="A492" s="4" t="str">
        <f>IF(INPUT_CAD!A492="","",INPUT_CAD!A492)</f>
        <v/>
      </c>
      <c r="B492" s="4" t="str">
        <f>IF(INPUT_CAD!B492="","",INPUT_CAD!B492)</f>
        <v/>
      </c>
      <c r="C492" s="4" t="str">
        <f>IF(INPUT_CAD!C492="","",INPUT_CAD!C492)</f>
        <v/>
      </c>
      <c r="D492" s="4" t="str">
        <f>IF(INPUT_CAD!D492="","",INPUT_CAD!D492)</f>
        <v/>
      </c>
      <c r="E492" s="4" t="str">
        <f>IF(INPUT_CAD!E492="","",INPUT_CAD!E492)</f>
        <v/>
      </c>
      <c r="F492" s="4" t="str">
        <f>IF(INPUT_CAD!F492="","",INPUT_CAD!F492)</f>
        <v/>
      </c>
      <c r="G492" s="4" t="str">
        <f>IF(INPUT_CAD!G492="","",INPUT_CAD!G492)</f>
        <v/>
      </c>
      <c r="I492" s="4" t="str">
        <f t="shared" si="72"/>
        <v/>
      </c>
      <c r="J492" s="4" t="str">
        <f t="shared" si="73"/>
        <v/>
      </c>
      <c r="K492" s="4" t="str">
        <f t="shared" si="74"/>
        <v/>
      </c>
      <c r="L492" s="4" t="str">
        <f>IFERROR(VLOOKUP(ROUND(K492,0),correction_tag!$A$7:$C$253,3),"x")</f>
        <v>x</v>
      </c>
      <c r="N492" s="4">
        <f t="shared" si="66"/>
        <v>1</v>
      </c>
      <c r="O492" s="4">
        <f>IF(N491=0,O491+INPUT_CAD!$B$4,INPUT_CAD!$B$4)</f>
        <v>2</v>
      </c>
      <c r="Q492" s="4" t="str">
        <f t="shared" si="67"/>
        <v/>
      </c>
      <c r="R492" s="4" t="str">
        <f t="shared" si="68"/>
        <v/>
      </c>
      <c r="S492" s="4" t="str">
        <f t="shared" si="69"/>
        <v/>
      </c>
      <c r="T492" s="4" t="str">
        <f>IFERROR(Q492*Setup!$C$26+R492*Setup!$D$26+S492*Setup!$E$26,"")</f>
        <v/>
      </c>
      <c r="U492" s="4" t="str">
        <f t="shared" si="71"/>
        <v/>
      </c>
      <c r="V492" s="4">
        <f t="shared" si="70"/>
        <v>90</v>
      </c>
    </row>
    <row r="493" spans="1:22" hidden="1" x14ac:dyDescent="0.25">
      <c r="A493" s="4" t="str">
        <f>IF(INPUT_CAD!A493="","",INPUT_CAD!A493)</f>
        <v/>
      </c>
      <c r="B493" s="4" t="str">
        <f>IF(INPUT_CAD!B493="","",INPUT_CAD!B493)</f>
        <v/>
      </c>
      <c r="C493" s="4" t="str">
        <f>IF(INPUT_CAD!C493="","",INPUT_CAD!C493)</f>
        <v/>
      </c>
      <c r="D493" s="4" t="str">
        <f>IF(INPUT_CAD!D493="","",INPUT_CAD!D493)</f>
        <v/>
      </c>
      <c r="E493" s="4" t="str">
        <f>IF(INPUT_CAD!E493="","",INPUT_CAD!E493)</f>
        <v/>
      </c>
      <c r="F493" s="4" t="str">
        <f>IF(INPUT_CAD!F493="","",INPUT_CAD!F493)</f>
        <v/>
      </c>
      <c r="G493" s="4" t="str">
        <f>IF(INPUT_CAD!G493="","",INPUT_CAD!G493)</f>
        <v/>
      </c>
      <c r="I493" s="4" t="str">
        <f t="shared" si="72"/>
        <v/>
      </c>
      <c r="J493" s="4" t="str">
        <f t="shared" si="73"/>
        <v/>
      </c>
      <c r="K493" s="4" t="str">
        <f t="shared" si="74"/>
        <v/>
      </c>
      <c r="L493" s="4" t="str">
        <f>IFERROR(VLOOKUP(ROUND(K493,0),correction_tag!$A$7:$C$253,3),"x")</f>
        <v>x</v>
      </c>
      <c r="N493" s="4">
        <f t="shared" si="66"/>
        <v>1</v>
      </c>
      <c r="O493" s="4">
        <f>IF(N492=0,O492+INPUT_CAD!$B$4,INPUT_CAD!$B$4)</f>
        <v>2</v>
      </c>
      <c r="Q493" s="4" t="str">
        <f t="shared" si="67"/>
        <v/>
      </c>
      <c r="R493" s="4" t="str">
        <f t="shared" si="68"/>
        <v/>
      </c>
      <c r="S493" s="4" t="str">
        <f t="shared" si="69"/>
        <v/>
      </c>
      <c r="T493" s="4" t="str">
        <f>IFERROR(Q493*Setup!$C$26+R493*Setup!$D$26+S493*Setup!$E$26,"")</f>
        <v/>
      </c>
      <c r="U493" s="4" t="str">
        <f t="shared" si="71"/>
        <v/>
      </c>
      <c r="V493" s="4">
        <f t="shared" si="70"/>
        <v>90</v>
      </c>
    </row>
    <row r="494" spans="1:22" hidden="1" x14ac:dyDescent="0.25">
      <c r="A494" s="4" t="str">
        <f>IF(INPUT_CAD!A494="","",INPUT_CAD!A494)</f>
        <v/>
      </c>
      <c r="B494" s="4" t="str">
        <f>IF(INPUT_CAD!B494="","",INPUT_CAD!B494)</f>
        <v/>
      </c>
      <c r="C494" s="4" t="str">
        <f>IF(INPUT_CAD!C494="","",INPUT_CAD!C494)</f>
        <v/>
      </c>
      <c r="D494" s="4" t="str">
        <f>IF(INPUT_CAD!D494="","",INPUT_CAD!D494)</f>
        <v/>
      </c>
      <c r="E494" s="4" t="str">
        <f>IF(INPUT_CAD!E494="","",INPUT_CAD!E494)</f>
        <v/>
      </c>
      <c r="F494" s="4" t="str">
        <f>IF(INPUT_CAD!F494="","",INPUT_CAD!F494)</f>
        <v/>
      </c>
      <c r="G494" s="4" t="str">
        <f>IF(INPUT_CAD!G494="","",INPUT_CAD!G494)</f>
        <v/>
      </c>
      <c r="I494" s="4" t="str">
        <f t="shared" si="72"/>
        <v/>
      </c>
      <c r="J494" s="4" t="str">
        <f t="shared" si="73"/>
        <v/>
      </c>
      <c r="K494" s="4" t="str">
        <f t="shared" si="74"/>
        <v/>
      </c>
      <c r="L494" s="4" t="str">
        <f>IFERROR(VLOOKUP(ROUND(K494,0),correction_tag!$A$7:$C$253,3),"x")</f>
        <v>x</v>
      </c>
      <c r="N494" s="4">
        <f t="shared" si="66"/>
        <v>1</v>
      </c>
      <c r="O494" s="4">
        <f>IF(N493=0,O493+INPUT_CAD!$B$4,INPUT_CAD!$B$4)</f>
        <v>2</v>
      </c>
      <c r="Q494" s="4" t="str">
        <f t="shared" si="67"/>
        <v/>
      </c>
      <c r="R494" s="4" t="str">
        <f t="shared" si="68"/>
        <v/>
      </c>
      <c r="S494" s="4" t="str">
        <f t="shared" si="69"/>
        <v/>
      </c>
      <c r="T494" s="4" t="str">
        <f>IFERROR(Q494*Setup!$C$26+R494*Setup!$D$26+S494*Setup!$E$26,"")</f>
        <v/>
      </c>
      <c r="U494" s="4" t="str">
        <f t="shared" si="71"/>
        <v/>
      </c>
      <c r="V494" s="4">
        <f t="shared" si="70"/>
        <v>90</v>
      </c>
    </row>
    <row r="495" spans="1:22" hidden="1" x14ac:dyDescent="0.25">
      <c r="A495" s="4" t="str">
        <f>IF(INPUT_CAD!A495="","",INPUT_CAD!A495)</f>
        <v/>
      </c>
      <c r="B495" s="4" t="str">
        <f>IF(INPUT_CAD!B495="","",INPUT_CAD!B495)</f>
        <v/>
      </c>
      <c r="C495" s="4" t="str">
        <f>IF(INPUT_CAD!C495="","",INPUT_CAD!C495)</f>
        <v/>
      </c>
      <c r="D495" s="4" t="str">
        <f>IF(INPUT_CAD!D495="","",INPUT_CAD!D495)</f>
        <v/>
      </c>
      <c r="E495" s="4" t="str">
        <f>IF(INPUT_CAD!E495="","",INPUT_CAD!E495)</f>
        <v/>
      </c>
      <c r="F495" s="4" t="str">
        <f>IF(INPUT_CAD!F495="","",INPUT_CAD!F495)</f>
        <v/>
      </c>
      <c r="G495" s="4" t="str">
        <f>IF(INPUT_CAD!G495="","",INPUT_CAD!G495)</f>
        <v/>
      </c>
      <c r="I495" s="4" t="str">
        <f t="shared" si="72"/>
        <v/>
      </c>
      <c r="J495" s="4" t="str">
        <f t="shared" si="73"/>
        <v/>
      </c>
      <c r="K495" s="4" t="str">
        <f t="shared" si="74"/>
        <v/>
      </c>
      <c r="L495" s="4" t="str">
        <f>IFERROR(VLOOKUP(ROUND(K495,0),correction_tag!$A$7:$C$253,3),"x")</f>
        <v>x</v>
      </c>
      <c r="N495" s="4">
        <f t="shared" si="66"/>
        <v>1</v>
      </c>
      <c r="O495" s="4">
        <f>IF(N494=0,O494+INPUT_CAD!$B$4,INPUT_CAD!$B$4)</f>
        <v>2</v>
      </c>
      <c r="Q495" s="4" t="str">
        <f t="shared" si="67"/>
        <v/>
      </c>
      <c r="R495" s="4" t="str">
        <f t="shared" si="68"/>
        <v/>
      </c>
      <c r="S495" s="4" t="str">
        <f t="shared" si="69"/>
        <v/>
      </c>
      <c r="T495" s="4" t="str">
        <f>IFERROR(Q495*Setup!$C$26+R495*Setup!$D$26+S495*Setup!$E$26,"")</f>
        <v/>
      </c>
      <c r="U495" s="4" t="str">
        <f t="shared" si="71"/>
        <v/>
      </c>
      <c r="V495" s="4">
        <f t="shared" si="70"/>
        <v>90</v>
      </c>
    </row>
    <row r="496" spans="1:22" hidden="1" x14ac:dyDescent="0.25">
      <c r="A496" s="4" t="str">
        <f>IF(INPUT_CAD!A496="","",INPUT_CAD!A496)</f>
        <v/>
      </c>
      <c r="B496" s="4" t="str">
        <f>IF(INPUT_CAD!B496="","",INPUT_CAD!B496)</f>
        <v/>
      </c>
      <c r="C496" s="4" t="str">
        <f>IF(INPUT_CAD!C496="","",INPUT_CAD!C496)</f>
        <v/>
      </c>
      <c r="D496" s="4" t="str">
        <f>IF(INPUT_CAD!D496="","",INPUT_CAD!D496)</f>
        <v/>
      </c>
      <c r="E496" s="4" t="str">
        <f>IF(INPUT_CAD!E496="","",INPUT_CAD!E496)</f>
        <v/>
      </c>
      <c r="F496" s="4" t="str">
        <f>IF(INPUT_CAD!F496="","",INPUT_CAD!F496)</f>
        <v/>
      </c>
      <c r="G496" s="4" t="str">
        <f>IF(INPUT_CAD!G496="","",INPUT_CAD!G496)</f>
        <v/>
      </c>
      <c r="I496" s="4" t="str">
        <f t="shared" si="72"/>
        <v/>
      </c>
      <c r="J496" s="4" t="str">
        <f t="shared" si="73"/>
        <v/>
      </c>
      <c r="K496" s="4" t="str">
        <f t="shared" si="74"/>
        <v/>
      </c>
      <c r="L496" s="4" t="str">
        <f>IFERROR(VLOOKUP(ROUND(K496,0),correction_tag!$A$7:$C$253,3),"x")</f>
        <v>x</v>
      </c>
      <c r="N496" s="4">
        <f t="shared" si="66"/>
        <v>1</v>
      </c>
      <c r="O496" s="4">
        <f>IF(N495=0,O495+INPUT_CAD!$B$4,INPUT_CAD!$B$4)</f>
        <v>2</v>
      </c>
      <c r="Q496" s="4" t="str">
        <f t="shared" si="67"/>
        <v/>
      </c>
      <c r="R496" s="4" t="str">
        <f t="shared" si="68"/>
        <v/>
      </c>
      <c r="S496" s="4" t="str">
        <f t="shared" si="69"/>
        <v/>
      </c>
      <c r="T496" s="4" t="str">
        <f>IFERROR(Q496*Setup!$C$26+R496*Setup!$D$26+S496*Setup!$E$26,"")</f>
        <v/>
      </c>
      <c r="U496" s="4" t="str">
        <f t="shared" si="71"/>
        <v/>
      </c>
      <c r="V496" s="4">
        <f t="shared" si="70"/>
        <v>90</v>
      </c>
    </row>
    <row r="497" spans="1:22" hidden="1" x14ac:dyDescent="0.25">
      <c r="A497" s="4" t="str">
        <f>IF(INPUT_CAD!A497="","",INPUT_CAD!A497)</f>
        <v/>
      </c>
      <c r="B497" s="4" t="str">
        <f>IF(INPUT_CAD!B497="","",INPUT_CAD!B497)</f>
        <v/>
      </c>
      <c r="C497" s="4" t="str">
        <f>IF(INPUT_CAD!C497="","",INPUT_CAD!C497)</f>
        <v/>
      </c>
      <c r="D497" s="4" t="str">
        <f>IF(INPUT_CAD!D497="","",INPUT_CAD!D497)</f>
        <v/>
      </c>
      <c r="E497" s="4" t="str">
        <f>IF(INPUT_CAD!E497="","",INPUT_CAD!E497)</f>
        <v/>
      </c>
      <c r="F497" s="4" t="str">
        <f>IF(INPUT_CAD!F497="","",INPUT_CAD!F497)</f>
        <v/>
      </c>
      <c r="G497" s="4" t="str">
        <f>IF(INPUT_CAD!G497="","",INPUT_CAD!G497)</f>
        <v/>
      </c>
      <c r="I497" s="4" t="str">
        <f t="shared" si="72"/>
        <v/>
      </c>
      <c r="J497" s="4" t="str">
        <f t="shared" si="73"/>
        <v/>
      </c>
      <c r="K497" s="4" t="str">
        <f t="shared" si="74"/>
        <v/>
      </c>
      <c r="L497" s="4" t="str">
        <f>IFERROR(VLOOKUP(ROUND(K497,0),correction_tag!$A$7:$C$253,3),"x")</f>
        <v>x</v>
      </c>
      <c r="N497" s="4">
        <f t="shared" si="66"/>
        <v>1</v>
      </c>
      <c r="O497" s="4">
        <f>IF(N496=0,O496+INPUT_CAD!$B$4,INPUT_CAD!$B$4)</f>
        <v>2</v>
      </c>
      <c r="Q497" s="4" t="str">
        <f t="shared" si="67"/>
        <v/>
      </c>
      <c r="R497" s="4" t="str">
        <f t="shared" si="68"/>
        <v/>
      </c>
      <c r="S497" s="4" t="str">
        <f t="shared" si="69"/>
        <v/>
      </c>
      <c r="T497" s="4" t="str">
        <f>IFERROR(Q497*Setup!$C$26+R497*Setup!$D$26+S497*Setup!$E$26,"")</f>
        <v/>
      </c>
      <c r="U497" s="4" t="str">
        <f t="shared" si="71"/>
        <v/>
      </c>
      <c r="V497" s="4">
        <f t="shared" si="70"/>
        <v>90</v>
      </c>
    </row>
    <row r="498" spans="1:22" hidden="1" x14ac:dyDescent="0.25">
      <c r="A498" s="4" t="str">
        <f>IF(INPUT_CAD!A498="","",INPUT_CAD!A498)</f>
        <v/>
      </c>
      <c r="B498" s="4" t="str">
        <f>IF(INPUT_CAD!B498="","",INPUT_CAD!B498)</f>
        <v/>
      </c>
      <c r="C498" s="4" t="str">
        <f>IF(INPUT_CAD!C498="","",INPUT_CAD!C498)</f>
        <v/>
      </c>
      <c r="D498" s="4" t="str">
        <f>IF(INPUT_CAD!D498="","",INPUT_CAD!D498)</f>
        <v/>
      </c>
      <c r="E498" s="4" t="str">
        <f>IF(INPUT_CAD!E498="","",INPUT_CAD!E498)</f>
        <v/>
      </c>
      <c r="F498" s="4" t="str">
        <f>IF(INPUT_CAD!F498="","",INPUT_CAD!F498)</f>
        <v/>
      </c>
      <c r="G498" s="4" t="str">
        <f>IF(INPUT_CAD!G498="","",INPUT_CAD!G498)</f>
        <v/>
      </c>
      <c r="I498" s="4" t="str">
        <f t="shared" si="72"/>
        <v/>
      </c>
      <c r="J498" s="4" t="str">
        <f t="shared" si="73"/>
        <v/>
      </c>
      <c r="K498" s="4" t="str">
        <f t="shared" si="74"/>
        <v/>
      </c>
      <c r="L498" s="4" t="str">
        <f>IFERROR(VLOOKUP(ROUND(K498,0),correction_tag!$A$7:$C$253,3),"x")</f>
        <v>x</v>
      </c>
      <c r="N498" s="4">
        <f t="shared" si="66"/>
        <v>1</v>
      </c>
      <c r="O498" s="4">
        <f>IF(N497=0,O497+INPUT_CAD!$B$4,INPUT_CAD!$B$4)</f>
        <v>2</v>
      </c>
      <c r="Q498" s="4" t="str">
        <f t="shared" si="67"/>
        <v/>
      </c>
      <c r="R498" s="4" t="str">
        <f t="shared" si="68"/>
        <v/>
      </c>
      <c r="S498" s="4" t="str">
        <f t="shared" si="69"/>
        <v/>
      </c>
      <c r="T498" s="4" t="str">
        <f>IFERROR(Q498*Setup!$C$26+R498*Setup!$D$26+S498*Setup!$E$26,"")</f>
        <v/>
      </c>
      <c r="U498" s="4" t="str">
        <f t="shared" si="71"/>
        <v/>
      </c>
      <c r="V498" s="4">
        <f t="shared" si="70"/>
        <v>90</v>
      </c>
    </row>
    <row r="499" spans="1:22" hidden="1" x14ac:dyDescent="0.25">
      <c r="A499" s="4" t="str">
        <f>IF(INPUT_CAD!A499="","",INPUT_CAD!A499)</f>
        <v/>
      </c>
      <c r="B499" s="4" t="str">
        <f>IF(INPUT_CAD!B499="","",INPUT_CAD!B499)</f>
        <v/>
      </c>
      <c r="C499" s="4" t="str">
        <f>IF(INPUT_CAD!C499="","",INPUT_CAD!C499)</f>
        <v/>
      </c>
      <c r="D499" s="4" t="str">
        <f>IF(INPUT_CAD!D499="","",INPUT_CAD!D499)</f>
        <v/>
      </c>
      <c r="E499" s="4" t="str">
        <f>IF(INPUT_CAD!E499="","",INPUT_CAD!E499)</f>
        <v/>
      </c>
      <c r="F499" s="4" t="str">
        <f>IF(INPUT_CAD!F499="","",INPUT_CAD!F499)</f>
        <v/>
      </c>
      <c r="G499" s="4" t="str">
        <f>IF(INPUT_CAD!G499="","",INPUT_CAD!G499)</f>
        <v/>
      </c>
      <c r="I499" s="4" t="str">
        <f t="shared" si="72"/>
        <v/>
      </c>
      <c r="J499" s="4" t="str">
        <f t="shared" si="73"/>
        <v/>
      </c>
      <c r="K499" s="4" t="str">
        <f t="shared" si="74"/>
        <v/>
      </c>
      <c r="L499" s="4" t="str">
        <f>IFERROR(VLOOKUP(ROUND(K499,0),correction_tag!$A$7:$C$253,3),"x")</f>
        <v>x</v>
      </c>
      <c r="N499" s="4">
        <f t="shared" si="66"/>
        <v>1</v>
      </c>
      <c r="O499" s="4">
        <f>IF(N498=0,O498+INPUT_CAD!$B$4,INPUT_CAD!$B$4)</f>
        <v>2</v>
      </c>
      <c r="Q499" s="4" t="str">
        <f t="shared" si="67"/>
        <v/>
      </c>
      <c r="R499" s="4" t="str">
        <f t="shared" si="68"/>
        <v/>
      </c>
      <c r="S499" s="4" t="str">
        <f t="shared" si="69"/>
        <v/>
      </c>
      <c r="T499" s="4" t="str">
        <f>IFERROR(Q499*Setup!$C$26+R499*Setup!$D$26+S499*Setup!$E$26,"")</f>
        <v/>
      </c>
      <c r="U499" s="4" t="str">
        <f t="shared" si="71"/>
        <v/>
      </c>
      <c r="V499" s="4">
        <f t="shared" si="70"/>
        <v>90</v>
      </c>
    </row>
    <row r="500" spans="1:22" hidden="1" x14ac:dyDescent="0.25">
      <c r="A500" s="4" t="str">
        <f>IF(INPUT_CAD!A500="","",INPUT_CAD!A500)</f>
        <v/>
      </c>
      <c r="B500" s="4" t="str">
        <f>IF(INPUT_CAD!B500="","",INPUT_CAD!B500)</f>
        <v/>
      </c>
      <c r="C500" s="4" t="str">
        <f>IF(INPUT_CAD!C500="","",INPUT_CAD!C500)</f>
        <v/>
      </c>
      <c r="D500" s="4" t="str">
        <f>IF(INPUT_CAD!D500="","",INPUT_CAD!D500)</f>
        <v/>
      </c>
      <c r="E500" s="4" t="str">
        <f>IF(INPUT_CAD!E500="","",INPUT_CAD!E500)</f>
        <v/>
      </c>
      <c r="F500" s="4" t="str">
        <f>IF(INPUT_CAD!F500="","",INPUT_CAD!F500)</f>
        <v/>
      </c>
      <c r="G500" s="4" t="str">
        <f>IF(INPUT_CAD!G500="","",INPUT_CAD!G500)</f>
        <v/>
      </c>
      <c r="I500" s="4" t="str">
        <f t="shared" si="72"/>
        <v/>
      </c>
      <c r="J500" s="4" t="str">
        <f t="shared" si="73"/>
        <v/>
      </c>
      <c r="K500" s="4" t="str">
        <f t="shared" si="74"/>
        <v/>
      </c>
      <c r="L500" s="4" t="str">
        <f>IFERROR(VLOOKUP(ROUND(K500,0),correction_tag!$A$7:$C$253,3),"x")</f>
        <v>x</v>
      </c>
      <c r="N500" s="4">
        <f t="shared" si="66"/>
        <v>1</v>
      </c>
      <c r="O500" s="4">
        <f>IF(N499=0,O499+INPUT_CAD!$B$4,INPUT_CAD!$B$4)</f>
        <v>2</v>
      </c>
      <c r="Q500" s="4" t="str">
        <f t="shared" si="67"/>
        <v/>
      </c>
      <c r="R500" s="4" t="str">
        <f t="shared" si="68"/>
        <v/>
      </c>
      <c r="S500" s="4" t="str">
        <f t="shared" si="69"/>
        <v/>
      </c>
      <c r="T500" s="4" t="str">
        <f>IFERROR(Q500*Setup!$C$26+R500*Setup!$D$26+S500*Setup!$E$26,"")</f>
        <v/>
      </c>
      <c r="U500" s="4" t="str">
        <f t="shared" si="71"/>
        <v/>
      </c>
      <c r="V500" s="4">
        <f t="shared" si="70"/>
        <v>90</v>
      </c>
    </row>
    <row r="501" spans="1:22" hidden="1" x14ac:dyDescent="0.25">
      <c r="A501" s="4" t="str">
        <f>IF(INPUT_CAD!A501="","",INPUT_CAD!A501)</f>
        <v/>
      </c>
      <c r="B501" s="4" t="str">
        <f>IF(INPUT_CAD!B501="","",INPUT_CAD!B501)</f>
        <v/>
      </c>
      <c r="C501" s="4" t="str">
        <f>IF(INPUT_CAD!C501="","",INPUT_CAD!C501)</f>
        <v/>
      </c>
      <c r="D501" s="4" t="str">
        <f>IF(INPUT_CAD!D501="","",INPUT_CAD!D501)</f>
        <v/>
      </c>
      <c r="E501" s="4" t="str">
        <f>IF(INPUT_CAD!E501="","",INPUT_CAD!E501)</f>
        <v/>
      </c>
      <c r="F501" s="4" t="str">
        <f>IF(INPUT_CAD!F501="","",INPUT_CAD!F501)</f>
        <v/>
      </c>
      <c r="G501" s="4" t="str">
        <f>IF(INPUT_CAD!G501="","",INPUT_CAD!G501)</f>
        <v/>
      </c>
      <c r="I501" s="4" t="str">
        <f t="shared" si="72"/>
        <v/>
      </c>
      <c r="J501" s="4" t="str">
        <f t="shared" si="73"/>
        <v/>
      </c>
      <c r="K501" s="4" t="str">
        <f t="shared" si="74"/>
        <v/>
      </c>
      <c r="L501" s="4" t="str">
        <f>IFERROR(VLOOKUP(ROUND(K501,0),correction_tag!$A$7:$C$253,3),"x")</f>
        <v>x</v>
      </c>
      <c r="N501" s="4">
        <f t="shared" si="66"/>
        <v>1</v>
      </c>
      <c r="O501" s="4">
        <f>IF(N500=0,O500+INPUT_CAD!$B$4,INPUT_CAD!$B$4)</f>
        <v>2</v>
      </c>
      <c r="Q501" s="4" t="str">
        <f t="shared" si="67"/>
        <v/>
      </c>
      <c r="R501" s="4" t="str">
        <f t="shared" si="68"/>
        <v/>
      </c>
      <c r="S501" s="4" t="str">
        <f t="shared" si="69"/>
        <v/>
      </c>
      <c r="T501" s="4" t="str">
        <f>IFERROR(Q501*Setup!$C$26+R501*Setup!$D$26+S501*Setup!$E$26,"")</f>
        <v/>
      </c>
      <c r="U501" s="4" t="str">
        <f t="shared" si="71"/>
        <v/>
      </c>
      <c r="V501" s="4">
        <f t="shared" si="70"/>
        <v>90</v>
      </c>
    </row>
    <row r="502" spans="1:22" hidden="1" x14ac:dyDescent="0.25">
      <c r="A502" s="4" t="str">
        <f>IF(INPUT_CAD!A502="","",INPUT_CAD!A502)</f>
        <v/>
      </c>
      <c r="B502" s="4" t="str">
        <f>IF(INPUT_CAD!B502="","",INPUT_CAD!B502)</f>
        <v/>
      </c>
      <c r="C502" s="4" t="str">
        <f>IF(INPUT_CAD!C502="","",INPUT_CAD!C502)</f>
        <v/>
      </c>
      <c r="D502" s="4" t="str">
        <f>IF(INPUT_CAD!D502="","",INPUT_CAD!D502)</f>
        <v/>
      </c>
      <c r="E502" s="4" t="str">
        <f>IF(INPUT_CAD!E502="","",INPUT_CAD!E502)</f>
        <v/>
      </c>
      <c r="F502" s="4" t="str">
        <f>IF(INPUT_CAD!F502="","",INPUT_CAD!F502)</f>
        <v/>
      </c>
      <c r="G502" s="4" t="str">
        <f>IF(INPUT_CAD!G502="","",INPUT_CAD!G502)</f>
        <v/>
      </c>
      <c r="I502" s="4" t="str">
        <f t="shared" si="72"/>
        <v/>
      </c>
      <c r="J502" s="4" t="str">
        <f t="shared" si="73"/>
        <v/>
      </c>
      <c r="K502" s="4" t="str">
        <f t="shared" si="74"/>
        <v/>
      </c>
      <c r="L502" s="4" t="str">
        <f>IFERROR(VLOOKUP(ROUND(K502,0),correction_tag!$A$7:$C$253,3),"x")</f>
        <v>x</v>
      </c>
      <c r="N502" s="4">
        <f t="shared" si="66"/>
        <v>1</v>
      </c>
      <c r="O502" s="4">
        <f>IF(N501=0,O501+INPUT_CAD!$B$4,INPUT_CAD!$B$4)</f>
        <v>2</v>
      </c>
      <c r="Q502" s="4" t="str">
        <f t="shared" si="67"/>
        <v/>
      </c>
      <c r="R502" s="4" t="str">
        <f t="shared" si="68"/>
        <v/>
      </c>
      <c r="S502" s="4" t="str">
        <f t="shared" si="69"/>
        <v/>
      </c>
      <c r="T502" s="4" t="str">
        <f>IFERROR(Q502*Setup!$C$26+R502*Setup!$D$26+S502*Setup!$E$26,"")</f>
        <v/>
      </c>
      <c r="U502" s="4" t="str">
        <f t="shared" si="71"/>
        <v/>
      </c>
      <c r="V502" s="4">
        <f t="shared" si="70"/>
        <v>90</v>
      </c>
    </row>
    <row r="503" spans="1:22" hidden="1" x14ac:dyDescent="0.25">
      <c r="A503" s="4" t="str">
        <f>IF(INPUT_CAD!A503="","",INPUT_CAD!A503)</f>
        <v/>
      </c>
      <c r="B503" s="4" t="str">
        <f>IF(INPUT_CAD!B503="","",INPUT_CAD!B503)</f>
        <v/>
      </c>
      <c r="C503" s="4" t="str">
        <f>IF(INPUT_CAD!C503="","",INPUT_CAD!C503)</f>
        <v/>
      </c>
      <c r="D503" s="4" t="str">
        <f>IF(INPUT_CAD!D503="","",INPUT_CAD!D503)</f>
        <v/>
      </c>
      <c r="E503" s="4" t="str">
        <f>IF(INPUT_CAD!E503="","",INPUT_CAD!E503)</f>
        <v/>
      </c>
      <c r="F503" s="4" t="str">
        <f>IF(INPUT_CAD!F503="","",INPUT_CAD!F503)</f>
        <v/>
      </c>
      <c r="G503" s="4" t="str">
        <f>IF(INPUT_CAD!G503="","",INPUT_CAD!G503)</f>
        <v/>
      </c>
      <c r="I503" s="4" t="str">
        <f t="shared" si="72"/>
        <v/>
      </c>
      <c r="J503" s="4" t="str">
        <f t="shared" si="73"/>
        <v/>
      </c>
      <c r="K503" s="4" t="str">
        <f t="shared" si="74"/>
        <v/>
      </c>
      <c r="L503" s="4" t="str">
        <f>IFERROR(VLOOKUP(ROUND(K503,0),correction_tag!$A$7:$C$253,3),"x")</f>
        <v>x</v>
      </c>
      <c r="N503" s="4">
        <f t="shared" si="66"/>
        <v>1</v>
      </c>
      <c r="O503" s="4">
        <f>IF(N502=0,O502+INPUT_CAD!$B$4,INPUT_CAD!$B$4)</f>
        <v>2</v>
      </c>
      <c r="Q503" s="4" t="str">
        <f t="shared" si="67"/>
        <v/>
      </c>
      <c r="R503" s="4" t="str">
        <f t="shared" si="68"/>
        <v/>
      </c>
      <c r="S503" s="4" t="str">
        <f t="shared" si="69"/>
        <v/>
      </c>
      <c r="T503" s="4" t="str">
        <f>IFERROR(Q503*Setup!$C$26+R503*Setup!$D$26+S503*Setup!$E$26,"")</f>
        <v/>
      </c>
      <c r="U503" s="4" t="str">
        <f t="shared" si="71"/>
        <v/>
      </c>
      <c r="V503" s="4">
        <f t="shared" si="70"/>
        <v>90</v>
      </c>
    </row>
    <row r="504" spans="1:22" hidden="1" x14ac:dyDescent="0.25">
      <c r="A504" s="4" t="str">
        <f>IF(INPUT_CAD!A504="","",INPUT_CAD!A504)</f>
        <v/>
      </c>
      <c r="B504" s="4" t="str">
        <f>IF(INPUT_CAD!B504="","",INPUT_CAD!B504)</f>
        <v/>
      </c>
      <c r="C504" s="4" t="str">
        <f>IF(INPUT_CAD!C504="","",INPUT_CAD!C504)</f>
        <v/>
      </c>
      <c r="D504" s="4" t="str">
        <f>IF(INPUT_CAD!D504="","",INPUT_CAD!D504)</f>
        <v/>
      </c>
      <c r="E504" s="4" t="str">
        <f>IF(INPUT_CAD!E504="","",INPUT_CAD!E504)</f>
        <v/>
      </c>
      <c r="F504" s="4" t="str">
        <f>IF(INPUT_CAD!F504="","",INPUT_CAD!F504)</f>
        <v/>
      </c>
      <c r="G504" s="4" t="str">
        <f>IF(INPUT_CAD!G504="","",INPUT_CAD!G504)</f>
        <v/>
      </c>
      <c r="I504" s="4" t="str">
        <f t="shared" si="72"/>
        <v/>
      </c>
      <c r="J504" s="4" t="str">
        <f t="shared" si="73"/>
        <v/>
      </c>
      <c r="K504" s="4" t="str">
        <f t="shared" si="74"/>
        <v/>
      </c>
      <c r="L504" s="4" t="str">
        <f>IFERROR(VLOOKUP(ROUND(K504,0),correction_tag!$A$7:$C$253,3),"x")</f>
        <v>x</v>
      </c>
      <c r="N504" s="4">
        <f t="shared" si="66"/>
        <v>1</v>
      </c>
      <c r="O504" s="4">
        <f>IF(N503=0,O503+INPUT_CAD!$B$4,INPUT_CAD!$B$4)</f>
        <v>2</v>
      </c>
      <c r="Q504" s="4" t="str">
        <f t="shared" si="67"/>
        <v/>
      </c>
      <c r="R504" s="4" t="str">
        <f t="shared" si="68"/>
        <v/>
      </c>
      <c r="S504" s="4" t="str">
        <f t="shared" si="69"/>
        <v/>
      </c>
      <c r="T504" s="4" t="str">
        <f>IFERROR(Q504*Setup!$C$26+R504*Setup!$D$26+S504*Setup!$E$26,"")</f>
        <v/>
      </c>
      <c r="U504" s="4" t="str">
        <f t="shared" si="71"/>
        <v/>
      </c>
      <c r="V504" s="4">
        <f t="shared" si="70"/>
        <v>90</v>
      </c>
    </row>
    <row r="505" spans="1:22" hidden="1" x14ac:dyDescent="0.25">
      <c r="A505" s="4" t="str">
        <f>IF(INPUT_CAD!A505="","",INPUT_CAD!A505)</f>
        <v/>
      </c>
      <c r="B505" s="4" t="str">
        <f>IF(INPUT_CAD!B505="","",INPUT_CAD!B505)</f>
        <v/>
      </c>
      <c r="C505" s="4" t="str">
        <f>IF(INPUT_CAD!C505="","",INPUT_CAD!C505)</f>
        <v/>
      </c>
      <c r="D505" s="4" t="str">
        <f>IF(INPUT_CAD!D505="","",INPUT_CAD!D505)</f>
        <v/>
      </c>
      <c r="E505" s="4" t="str">
        <f>IF(INPUT_CAD!E505="","",INPUT_CAD!E505)</f>
        <v/>
      </c>
      <c r="F505" s="4" t="str">
        <f>IF(INPUT_CAD!F505="","",INPUT_CAD!F505)</f>
        <v/>
      </c>
      <c r="G505" s="4" t="str">
        <f>IF(INPUT_CAD!G505="","",INPUT_CAD!G505)</f>
        <v/>
      </c>
      <c r="I505" s="4" t="str">
        <f t="shared" si="72"/>
        <v/>
      </c>
      <c r="J505" s="4" t="str">
        <f t="shared" si="73"/>
        <v/>
      </c>
      <c r="K505" s="4" t="str">
        <f t="shared" si="74"/>
        <v/>
      </c>
      <c r="L505" s="4" t="str">
        <f>IFERROR(VLOOKUP(ROUND(K505,0),correction_tag!$A$7:$C$253,3),"x")</f>
        <v>x</v>
      </c>
      <c r="N505" s="4">
        <f t="shared" si="66"/>
        <v>1</v>
      </c>
      <c r="O505" s="4">
        <f>IF(N504=0,O504+INPUT_CAD!$B$4,INPUT_CAD!$B$4)</f>
        <v>2</v>
      </c>
      <c r="Q505" s="4" t="str">
        <f t="shared" si="67"/>
        <v/>
      </c>
      <c r="R505" s="4" t="str">
        <f t="shared" si="68"/>
        <v/>
      </c>
      <c r="S505" s="4" t="str">
        <f t="shared" si="69"/>
        <v/>
      </c>
      <c r="T505" s="4" t="str">
        <f>IFERROR(Q505*Setup!$C$26+R505*Setup!$D$26+S505*Setup!$E$26,"")</f>
        <v/>
      </c>
      <c r="U505" s="4" t="str">
        <f t="shared" si="71"/>
        <v/>
      </c>
      <c r="V505" s="4">
        <f t="shared" si="70"/>
        <v>90</v>
      </c>
    </row>
    <row r="506" spans="1:22" hidden="1" x14ac:dyDescent="0.25">
      <c r="A506" s="4" t="str">
        <f>IF(INPUT_CAD!A506="","",INPUT_CAD!A506)</f>
        <v/>
      </c>
      <c r="B506" s="4" t="str">
        <f>IF(INPUT_CAD!B506="","",INPUT_CAD!B506)</f>
        <v/>
      </c>
      <c r="C506" s="4" t="str">
        <f>IF(INPUT_CAD!C506="","",INPUT_CAD!C506)</f>
        <v/>
      </c>
      <c r="D506" s="4" t="str">
        <f>IF(INPUT_CAD!D506="","",INPUT_CAD!D506)</f>
        <v/>
      </c>
      <c r="E506" s="4" t="str">
        <f>IF(INPUT_CAD!E506="","",INPUT_CAD!E506)</f>
        <v/>
      </c>
      <c r="F506" s="4" t="str">
        <f>IF(INPUT_CAD!F506="","",INPUT_CAD!F506)</f>
        <v/>
      </c>
      <c r="G506" s="4" t="str">
        <f>IF(INPUT_CAD!G506="","",INPUT_CAD!G506)</f>
        <v/>
      </c>
      <c r="I506" s="4" t="str">
        <f t="shared" si="72"/>
        <v/>
      </c>
      <c r="J506" s="4" t="str">
        <f t="shared" si="73"/>
        <v/>
      </c>
      <c r="K506" s="4" t="str">
        <f t="shared" si="74"/>
        <v/>
      </c>
      <c r="L506" s="4" t="str">
        <f>IFERROR(VLOOKUP(ROUND(K506,0),correction_tag!$A$7:$C$253,3),"x")</f>
        <v>x</v>
      </c>
      <c r="N506" s="4">
        <f t="shared" si="66"/>
        <v>1</v>
      </c>
      <c r="O506" s="4">
        <f>IF(N505=0,O505+INPUT_CAD!$B$4,INPUT_CAD!$B$4)</f>
        <v>2</v>
      </c>
      <c r="Q506" s="4" t="str">
        <f t="shared" si="67"/>
        <v/>
      </c>
      <c r="R506" s="4" t="str">
        <f t="shared" si="68"/>
        <v/>
      </c>
      <c r="S506" s="4" t="str">
        <f t="shared" si="69"/>
        <v/>
      </c>
      <c r="T506" s="4" t="str">
        <f>IFERROR(Q506*Setup!$C$26+R506*Setup!$D$26+S506*Setup!$E$26,"")</f>
        <v/>
      </c>
      <c r="U506" s="4" t="str">
        <f t="shared" si="71"/>
        <v/>
      </c>
      <c r="V506" s="4">
        <f t="shared" si="70"/>
        <v>90</v>
      </c>
    </row>
    <row r="507" spans="1:22" hidden="1" x14ac:dyDescent="0.25">
      <c r="A507" s="4" t="str">
        <f>IF(INPUT_CAD!A507="","",INPUT_CAD!A507)</f>
        <v/>
      </c>
      <c r="B507" s="4" t="str">
        <f>IF(INPUT_CAD!B507="","",INPUT_CAD!B507)</f>
        <v/>
      </c>
      <c r="C507" s="4" t="str">
        <f>IF(INPUT_CAD!C507="","",INPUT_CAD!C507)</f>
        <v/>
      </c>
      <c r="D507" s="4" t="str">
        <f>IF(INPUT_CAD!D507="","",INPUT_CAD!D507)</f>
        <v/>
      </c>
      <c r="E507" s="4" t="str">
        <f>IF(INPUT_CAD!E507="","",INPUT_CAD!E507)</f>
        <v/>
      </c>
      <c r="F507" s="4" t="str">
        <f>IF(INPUT_CAD!F507="","",INPUT_CAD!F507)</f>
        <v/>
      </c>
      <c r="G507" s="4" t="str">
        <f>IF(INPUT_CAD!G507="","",INPUT_CAD!G507)</f>
        <v/>
      </c>
      <c r="I507" s="4" t="str">
        <f t="shared" si="72"/>
        <v/>
      </c>
      <c r="J507" s="4" t="str">
        <f t="shared" si="73"/>
        <v/>
      </c>
      <c r="K507" s="4" t="str">
        <f t="shared" si="74"/>
        <v/>
      </c>
      <c r="L507" s="4" t="str">
        <f>IFERROR(VLOOKUP(ROUND(K507,0),correction_tag!$A$7:$C$253,3),"x")</f>
        <v>x</v>
      </c>
      <c r="N507" s="4">
        <f t="shared" si="66"/>
        <v>1</v>
      </c>
      <c r="O507" s="4">
        <f>IF(N506=0,O506+INPUT_CAD!$B$4,INPUT_CAD!$B$4)</f>
        <v>2</v>
      </c>
      <c r="Q507" s="4" t="str">
        <f t="shared" si="67"/>
        <v/>
      </c>
      <c r="R507" s="4" t="str">
        <f t="shared" si="68"/>
        <v/>
      </c>
      <c r="S507" s="4" t="str">
        <f t="shared" si="69"/>
        <v/>
      </c>
      <c r="T507" s="4" t="str">
        <f>IFERROR(Q507*Setup!$C$26+R507*Setup!$D$26+S507*Setup!$E$26,"")</f>
        <v/>
      </c>
      <c r="U507" s="4" t="str">
        <f t="shared" si="71"/>
        <v/>
      </c>
      <c r="V507" s="4">
        <f t="shared" si="70"/>
        <v>90</v>
      </c>
    </row>
    <row r="508" spans="1:22" hidden="1" x14ac:dyDescent="0.25">
      <c r="A508" s="4" t="str">
        <f>IF(INPUT_CAD!A508="","",INPUT_CAD!A508)</f>
        <v/>
      </c>
      <c r="B508" s="4" t="str">
        <f>IF(INPUT_CAD!B508="","",INPUT_CAD!B508)</f>
        <v/>
      </c>
      <c r="C508" s="4" t="str">
        <f>IF(INPUT_CAD!C508="","",INPUT_CAD!C508)</f>
        <v/>
      </c>
      <c r="D508" s="4" t="str">
        <f>IF(INPUT_CAD!D508="","",INPUT_CAD!D508)</f>
        <v/>
      </c>
      <c r="E508" s="4" t="str">
        <f>IF(INPUT_CAD!E508="","",INPUT_CAD!E508)</f>
        <v/>
      </c>
      <c r="F508" s="4" t="str">
        <f>IF(INPUT_CAD!F508="","",INPUT_CAD!F508)</f>
        <v/>
      </c>
      <c r="G508" s="4" t="str">
        <f>IF(INPUT_CAD!G508="","",INPUT_CAD!G508)</f>
        <v/>
      </c>
      <c r="I508" s="4" t="str">
        <f t="shared" si="72"/>
        <v/>
      </c>
      <c r="J508" s="4" t="str">
        <f t="shared" si="73"/>
        <v/>
      </c>
      <c r="K508" s="4" t="str">
        <f t="shared" si="74"/>
        <v/>
      </c>
      <c r="L508" s="4" t="str">
        <f>IFERROR(VLOOKUP(ROUND(K508,0),correction_tag!$A$7:$C$253,3),"x")</f>
        <v>x</v>
      </c>
      <c r="N508" s="4">
        <f t="shared" si="66"/>
        <v>1</v>
      </c>
      <c r="O508" s="4">
        <f>IF(N507=0,O507+INPUT_CAD!$B$4,INPUT_CAD!$B$4)</f>
        <v>2</v>
      </c>
      <c r="Q508" s="4" t="str">
        <f t="shared" si="67"/>
        <v/>
      </c>
      <c r="R508" s="4" t="str">
        <f t="shared" si="68"/>
        <v/>
      </c>
      <c r="S508" s="4" t="str">
        <f t="shared" si="69"/>
        <v/>
      </c>
      <c r="T508" s="4" t="str">
        <f>IFERROR(Q508*Setup!$C$26+R508*Setup!$D$26+S508*Setup!$E$26,"")</f>
        <v/>
      </c>
      <c r="U508" s="4" t="str">
        <f t="shared" si="71"/>
        <v/>
      </c>
      <c r="V508" s="4">
        <f t="shared" si="70"/>
        <v>90</v>
      </c>
    </row>
    <row r="509" spans="1:22" hidden="1" x14ac:dyDescent="0.25">
      <c r="A509" s="4" t="str">
        <f>IF(INPUT_CAD!A509="","",INPUT_CAD!A509)</f>
        <v/>
      </c>
      <c r="B509" s="4" t="str">
        <f>IF(INPUT_CAD!B509="","",INPUT_CAD!B509)</f>
        <v/>
      </c>
      <c r="C509" s="4" t="str">
        <f>IF(INPUT_CAD!C509="","",INPUT_CAD!C509)</f>
        <v/>
      </c>
      <c r="D509" s="4" t="str">
        <f>IF(INPUT_CAD!D509="","",INPUT_CAD!D509)</f>
        <v/>
      </c>
      <c r="E509" s="4" t="str">
        <f>IF(INPUT_CAD!E509="","",INPUT_CAD!E509)</f>
        <v/>
      </c>
      <c r="F509" s="4" t="str">
        <f>IF(INPUT_CAD!F509="","",INPUT_CAD!F509)</f>
        <v/>
      </c>
      <c r="G509" s="4" t="str">
        <f>IF(INPUT_CAD!G509="","",INPUT_CAD!G509)</f>
        <v/>
      </c>
      <c r="I509" s="4" t="str">
        <f t="shared" si="72"/>
        <v/>
      </c>
      <c r="J509" s="4" t="str">
        <f t="shared" si="73"/>
        <v/>
      </c>
      <c r="K509" s="4" t="str">
        <f t="shared" si="74"/>
        <v/>
      </c>
      <c r="L509" s="4" t="str">
        <f>IFERROR(VLOOKUP(ROUND(K509,0),correction_tag!$A$7:$C$253,3),"x")</f>
        <v>x</v>
      </c>
      <c r="N509" s="4">
        <f t="shared" si="66"/>
        <v>1</v>
      </c>
      <c r="O509" s="4">
        <f>IF(N508=0,O508+INPUT_CAD!$B$4,INPUT_CAD!$B$4)</f>
        <v>2</v>
      </c>
      <c r="Q509" s="4" t="str">
        <f t="shared" si="67"/>
        <v/>
      </c>
      <c r="R509" s="4" t="str">
        <f t="shared" si="68"/>
        <v/>
      </c>
      <c r="S509" s="4" t="str">
        <f t="shared" si="69"/>
        <v/>
      </c>
      <c r="T509" s="4" t="str">
        <f>IFERROR(Q509*Setup!$C$26+R509*Setup!$D$26+S509*Setup!$E$26,"")</f>
        <v/>
      </c>
      <c r="U509" s="4" t="str">
        <f t="shared" si="71"/>
        <v/>
      </c>
      <c r="V509" s="4">
        <f t="shared" si="70"/>
        <v>90</v>
      </c>
    </row>
    <row r="510" spans="1:22" hidden="1" x14ac:dyDescent="0.25">
      <c r="A510" s="4" t="str">
        <f>IF(INPUT_CAD!A510="","",INPUT_CAD!A510)</f>
        <v/>
      </c>
      <c r="B510" s="4" t="str">
        <f>IF(INPUT_CAD!B510="","",INPUT_CAD!B510)</f>
        <v/>
      </c>
      <c r="C510" s="4" t="str">
        <f>IF(INPUT_CAD!C510="","",INPUT_CAD!C510)</f>
        <v/>
      </c>
      <c r="D510" s="4" t="str">
        <f>IF(INPUT_CAD!D510="","",INPUT_CAD!D510)</f>
        <v/>
      </c>
      <c r="E510" s="4" t="str">
        <f>IF(INPUT_CAD!E510="","",INPUT_CAD!E510)</f>
        <v/>
      </c>
      <c r="F510" s="4" t="str">
        <f>IF(INPUT_CAD!F510="","",INPUT_CAD!F510)</f>
        <v/>
      </c>
      <c r="G510" s="4" t="str">
        <f>IF(INPUT_CAD!G510="","",INPUT_CAD!G510)</f>
        <v/>
      </c>
      <c r="I510" s="4" t="str">
        <f t="shared" si="72"/>
        <v/>
      </c>
      <c r="J510" s="4" t="str">
        <f t="shared" si="73"/>
        <v/>
      </c>
      <c r="K510" s="4" t="str">
        <f t="shared" si="74"/>
        <v/>
      </c>
      <c r="L510" s="4" t="str">
        <f>IFERROR(VLOOKUP(ROUND(K510,0),correction_tag!$A$7:$C$253,3),"x")</f>
        <v>x</v>
      </c>
      <c r="N510" s="4">
        <f t="shared" si="66"/>
        <v>1</v>
      </c>
      <c r="O510" s="4">
        <f>IF(N509=0,O509+INPUT_CAD!$B$4,INPUT_CAD!$B$4)</f>
        <v>2</v>
      </c>
      <c r="Q510" s="4" t="str">
        <f t="shared" si="67"/>
        <v/>
      </c>
      <c r="R510" s="4" t="str">
        <f t="shared" si="68"/>
        <v/>
      </c>
      <c r="S510" s="4" t="str">
        <f t="shared" si="69"/>
        <v/>
      </c>
      <c r="T510" s="4" t="str">
        <f>IFERROR(Q510*Setup!$C$26+R510*Setup!$D$26+S510*Setup!$E$26,"")</f>
        <v/>
      </c>
      <c r="U510" s="4" t="str">
        <f t="shared" si="71"/>
        <v/>
      </c>
      <c r="V510" s="4">
        <f t="shared" si="70"/>
        <v>90</v>
      </c>
    </row>
  </sheetData>
  <autoFilter ref="A9:Z510">
    <filterColumn colId="11">
      <customFilters and="1">
        <customFilter operator="notEqual" val="0"/>
        <customFilter operator="notEqual" val="x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"/>
  <sheetViews>
    <sheetView workbookViewId="0">
      <selection activeCell="D22" sqref="D22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tabColor theme="7" tint="0.59999389629810485"/>
  </sheetPr>
  <dimension ref="A2:AA511"/>
  <sheetViews>
    <sheetView tabSelected="1" zoomScale="80" zoomScaleNormal="80" workbookViewId="0">
      <selection activeCell="D18" sqref="D18"/>
    </sheetView>
  </sheetViews>
  <sheetFormatPr baseColWidth="10" defaultRowHeight="15" x14ac:dyDescent="0.25"/>
  <cols>
    <col min="2" max="4" width="13.5703125" customWidth="1"/>
    <col min="5" max="5" width="4.140625" customWidth="1"/>
    <col min="21" max="21" width="38.42578125" customWidth="1"/>
    <col min="22" max="22" width="28.85546875" customWidth="1"/>
  </cols>
  <sheetData>
    <row r="2" spans="1:27" ht="28.5" x14ac:dyDescent="0.45">
      <c r="A2" s="5" t="s">
        <v>72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</row>
    <row r="6" spans="1:27" ht="20.25" thickBot="1" x14ac:dyDescent="0.35">
      <c r="F6" s="2" t="s">
        <v>25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7" spans="1:27" ht="15.75" thickTop="1" x14ac:dyDescent="0.25"/>
    <row r="8" spans="1:27" x14ac:dyDescent="0.25">
      <c r="F8" s="9" t="s">
        <v>27</v>
      </c>
      <c r="G8" s="9" t="s">
        <v>74</v>
      </c>
      <c r="H8" s="9" t="s">
        <v>75</v>
      </c>
      <c r="I8" s="9" t="s">
        <v>33</v>
      </c>
      <c r="J8" s="9" t="s">
        <v>76</v>
      </c>
      <c r="K8" s="9" t="s">
        <v>33</v>
      </c>
      <c r="L8" s="9" t="s">
        <v>76</v>
      </c>
      <c r="M8" s="9" t="s">
        <v>33</v>
      </c>
      <c r="N8" s="9" t="s">
        <v>76</v>
      </c>
      <c r="O8" s="9" t="s">
        <v>33</v>
      </c>
      <c r="P8" s="9" t="s">
        <v>76</v>
      </c>
      <c r="Q8" s="9" t="s">
        <v>33</v>
      </c>
      <c r="R8" s="9" t="s">
        <v>76</v>
      </c>
      <c r="S8" s="9" t="s">
        <v>33</v>
      </c>
      <c r="T8" s="9" t="s">
        <v>76</v>
      </c>
      <c r="U8" s="9" t="s">
        <v>32</v>
      </c>
      <c r="V8" s="9" t="s">
        <v>77</v>
      </c>
    </row>
    <row r="9" spans="1:27" x14ac:dyDescent="0.25">
      <c r="F9" s="4" t="s">
        <v>27</v>
      </c>
      <c r="G9" s="4">
        <v>1</v>
      </c>
      <c r="H9" s="4" t="s">
        <v>30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 t="str">
        <f>F9&amp;G9&amp;" "&amp;H9&amp;" "&amp;O9</f>
        <v xml:space="preserve">N1 G90 </v>
      </c>
      <c r="V9" s="4" t="s">
        <v>29</v>
      </c>
    </row>
    <row r="10" spans="1:27" x14ac:dyDescent="0.25">
      <c r="F10" s="4" t="s">
        <v>27</v>
      </c>
      <c r="G10" s="4">
        <f>G9+1</f>
        <v>2</v>
      </c>
      <c r="H10" s="4" t="s">
        <v>31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 t="str">
        <f>F10&amp;G10&amp;" "&amp;H10&amp;" "&amp;O10</f>
        <v xml:space="preserve">N2 G92 </v>
      </c>
      <c r="V10" s="4" t="s">
        <v>28</v>
      </c>
    </row>
    <row r="11" spans="1:27" x14ac:dyDescent="0.25"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</row>
    <row r="12" spans="1:27" x14ac:dyDescent="0.25"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</row>
    <row r="13" spans="1:27" x14ac:dyDescent="0.25"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</row>
    <row r="14" spans="1:27" x14ac:dyDescent="0.25"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</row>
    <row r="15" spans="1:27" x14ac:dyDescent="0.25"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</row>
    <row r="16" spans="1:27" x14ac:dyDescent="0.25"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</row>
    <row r="17" spans="1:22" x14ac:dyDescent="0.25"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</row>
    <row r="18" spans="1:22" x14ac:dyDescent="0.25"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spans="1:22" x14ac:dyDescent="0.25"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spans="1:22" x14ac:dyDescent="0.25"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1:22" x14ac:dyDescent="0.25"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1:22" x14ac:dyDescent="0.25"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spans="1:22" x14ac:dyDescent="0.25"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1:22" x14ac:dyDescent="0.25"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7" spans="1:22" s="14" customFormat="1" ht="18.75" x14ac:dyDescent="0.3"/>
    <row r="28" spans="1:22" ht="20.25" thickBot="1" x14ac:dyDescent="0.35">
      <c r="A28" s="2" t="s">
        <v>23</v>
      </c>
      <c r="B28" s="2"/>
      <c r="C28" s="2"/>
      <c r="D28" s="2"/>
      <c r="F28" s="2" t="s">
        <v>73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ht="15.75" thickTop="1" x14ac:dyDescent="0.25"/>
    <row r="30" spans="1:22" x14ac:dyDescent="0.25">
      <c r="A30" s="9" t="s">
        <v>55</v>
      </c>
      <c r="B30" s="9" t="s">
        <v>78</v>
      </c>
      <c r="C30" s="9" t="s">
        <v>24</v>
      </c>
      <c r="D30" s="9" t="s">
        <v>47</v>
      </c>
      <c r="F30" s="9" t="s">
        <v>27</v>
      </c>
      <c r="G30" s="9" t="s">
        <v>74</v>
      </c>
      <c r="H30" s="9" t="s">
        <v>75</v>
      </c>
      <c r="I30" s="9" t="s">
        <v>33</v>
      </c>
      <c r="J30" s="9" t="s">
        <v>76</v>
      </c>
      <c r="K30" s="9" t="s">
        <v>33</v>
      </c>
      <c r="L30" s="9" t="s">
        <v>76</v>
      </c>
      <c r="M30" s="9" t="s">
        <v>33</v>
      </c>
      <c r="N30" s="9" t="s">
        <v>76</v>
      </c>
      <c r="O30" s="9" t="s">
        <v>33</v>
      </c>
      <c r="P30" s="9" t="s">
        <v>76</v>
      </c>
      <c r="Q30" s="9" t="s">
        <v>33</v>
      </c>
      <c r="R30" s="9" t="s">
        <v>76</v>
      </c>
      <c r="S30" s="9" t="s">
        <v>33</v>
      </c>
      <c r="T30" s="9" t="s">
        <v>76</v>
      </c>
      <c r="U30" s="9" t="s">
        <v>32</v>
      </c>
      <c r="V30" s="9" t="s">
        <v>77</v>
      </c>
    </row>
    <row r="31" spans="1:22" x14ac:dyDescent="0.25">
      <c r="A31" s="4">
        <v>12</v>
      </c>
      <c r="B31" s="4">
        <f>IFERROR(IF(A31&lt;&gt;"",VLOOKUP($A31,calculation!$A$10:$V$510,12),""),"")</f>
        <v>29</v>
      </c>
      <c r="C31" s="4">
        <f>IFERROR(IF(A31&lt;&gt;"",VLOOKUP($A31,calculation!$A$10:$V$510,15),""),"")</f>
        <v>26</v>
      </c>
      <c r="D31" s="4">
        <f>IFERROR(IF(A31&lt;&gt;"",VLOOKUP($A31,calculation!$A$10:$V$510,22),""),"")</f>
        <v>90</v>
      </c>
      <c r="F31" s="4" t="s">
        <v>27</v>
      </c>
      <c r="G31" s="4">
        <f>MAX($G$9:G30)+1</f>
        <v>3</v>
      </c>
      <c r="H31" s="4" t="s">
        <v>34</v>
      </c>
      <c r="I31" s="4" t="s">
        <v>35</v>
      </c>
      <c r="J31" s="4">
        <f>B31</f>
        <v>29</v>
      </c>
      <c r="K31" s="4" t="s">
        <v>39</v>
      </c>
      <c r="L31" s="4">
        <f>Setup!$C$15</f>
        <v>1500</v>
      </c>
      <c r="M31" s="4" t="s">
        <v>36</v>
      </c>
      <c r="N31" s="4">
        <f>C31</f>
        <v>26</v>
      </c>
      <c r="O31" s="4" t="s">
        <v>40</v>
      </c>
      <c r="P31" s="4">
        <f>Setup!$C$13</f>
        <v>1200</v>
      </c>
      <c r="Q31" s="4" t="s">
        <v>37</v>
      </c>
      <c r="R31" s="4">
        <f>D31</f>
        <v>90</v>
      </c>
      <c r="S31" s="4" t="s">
        <v>41</v>
      </c>
      <c r="T31" s="4">
        <f>Setup!$C$14</f>
        <v>1200</v>
      </c>
      <c r="U31" s="4" t="str">
        <f>IF(A31&lt;&gt;"",F31&amp;G31&amp;" "&amp;H31&amp;" "&amp;I31&amp;J31&amp;" "&amp;K31&amp;L31&amp;" "&amp;M31&amp;N31&amp;" "&amp;O31&amp;P31&amp;" "&amp;Q31&amp;R31&amp;" "&amp;S31&amp;T31,"")</f>
        <v>N3 G02 X29 I1500 Y26 J1200 Z90 K1200</v>
      </c>
      <c r="V31" s="4"/>
    </row>
    <row r="32" spans="1:22" x14ac:dyDescent="0.25">
      <c r="A32" s="4">
        <v>22</v>
      </c>
      <c r="B32" s="4">
        <f>IFERROR(IF(A32&lt;&gt;"",VLOOKUP($A32,calculation!$A$10:$V$510,12),""),"")</f>
        <v>9</v>
      </c>
      <c r="C32" s="4">
        <f>IFERROR(IF(A32&lt;&gt;"",VLOOKUP($A32,calculation!$A$10:$V$510,15),""),"")</f>
        <v>20</v>
      </c>
      <c r="D32" s="4">
        <f>IFERROR(IF(A32&lt;&gt;"",VLOOKUP($A32,calculation!$A$10:$V$510,22),""),"")</f>
        <v>90</v>
      </c>
      <c r="F32" s="4" t="s">
        <v>27</v>
      </c>
      <c r="G32" s="4">
        <f>MAX($G$9:G31)+1</f>
        <v>4</v>
      </c>
      <c r="H32" s="4" t="s">
        <v>34</v>
      </c>
      <c r="I32" s="4" t="s">
        <v>35</v>
      </c>
      <c r="J32" s="4">
        <f t="shared" ref="J32:J95" si="0">B32</f>
        <v>9</v>
      </c>
      <c r="K32" s="4" t="s">
        <v>39</v>
      </c>
      <c r="L32" s="4">
        <f>Setup!$C$15</f>
        <v>1500</v>
      </c>
      <c r="M32" s="4" t="s">
        <v>36</v>
      </c>
      <c r="N32" s="4">
        <f t="shared" ref="N32:N95" si="1">C32</f>
        <v>20</v>
      </c>
      <c r="O32" s="4" t="s">
        <v>40</v>
      </c>
      <c r="P32" s="4">
        <f>Setup!$C$13</f>
        <v>1200</v>
      </c>
      <c r="Q32" s="4" t="s">
        <v>37</v>
      </c>
      <c r="R32" s="4">
        <f t="shared" ref="R32:R95" si="2">D32</f>
        <v>90</v>
      </c>
      <c r="S32" s="4" t="s">
        <v>41</v>
      </c>
      <c r="T32" s="4">
        <f>Setup!$C$14</f>
        <v>1200</v>
      </c>
      <c r="U32" s="4" t="str">
        <f t="shared" ref="U32:U95" si="3">IF(A32&lt;&gt;"",F32&amp;G32&amp;" "&amp;H32&amp;" "&amp;I32&amp;J32&amp;" "&amp;K32&amp;L32&amp;" "&amp;M32&amp;N32&amp;" "&amp;O32&amp;P32&amp;" "&amp;Q32&amp;R32&amp;" "&amp;S32&amp;T32,"")</f>
        <v>N4 G02 X9 I1500 Y20 J1200 Z90 K1200</v>
      </c>
      <c r="V32" s="4"/>
    </row>
    <row r="33" spans="1:22" x14ac:dyDescent="0.25">
      <c r="A33" s="4">
        <v>23</v>
      </c>
      <c r="B33" s="4">
        <f>IFERROR(IF(A33&lt;&gt;"",VLOOKUP($A33,calculation!$A$10:$V$510,12),""),"")</f>
        <v>10</v>
      </c>
      <c r="C33" s="4">
        <f>IFERROR(IF(A33&lt;&gt;"",VLOOKUP($A33,calculation!$A$10:$V$510,15),""),"")</f>
        <v>2</v>
      </c>
      <c r="D33" s="4">
        <f>IFERROR(IF(A33&lt;&gt;"",VLOOKUP($A33,calculation!$A$10:$V$510,22),""),"")</f>
        <v>90</v>
      </c>
      <c r="F33" s="4" t="s">
        <v>27</v>
      </c>
      <c r="G33" s="4">
        <f>MAX($G$9:G32)+1</f>
        <v>5</v>
      </c>
      <c r="H33" s="4" t="s">
        <v>34</v>
      </c>
      <c r="I33" s="4" t="s">
        <v>35</v>
      </c>
      <c r="J33" s="4">
        <f t="shared" si="0"/>
        <v>10</v>
      </c>
      <c r="K33" s="4" t="s">
        <v>39</v>
      </c>
      <c r="L33" s="4">
        <f>Setup!$C$15</f>
        <v>1500</v>
      </c>
      <c r="M33" s="4" t="s">
        <v>36</v>
      </c>
      <c r="N33" s="4">
        <f t="shared" si="1"/>
        <v>2</v>
      </c>
      <c r="O33" s="4" t="s">
        <v>40</v>
      </c>
      <c r="P33" s="4">
        <f>Setup!$C$13</f>
        <v>1200</v>
      </c>
      <c r="Q33" s="4" t="s">
        <v>37</v>
      </c>
      <c r="R33" s="4">
        <f t="shared" si="2"/>
        <v>90</v>
      </c>
      <c r="S33" s="4" t="s">
        <v>41</v>
      </c>
      <c r="T33" s="4">
        <f>Setup!$C$14</f>
        <v>1200</v>
      </c>
      <c r="U33" s="4" t="str">
        <f t="shared" si="3"/>
        <v>N5 G02 X10 I1500 Y2 J1200 Z90 K1200</v>
      </c>
      <c r="V33" s="4"/>
    </row>
    <row r="34" spans="1:22" x14ac:dyDescent="0.25">
      <c r="A34" s="4">
        <v>24</v>
      </c>
      <c r="B34" s="4">
        <f>IFERROR(IF(A34&lt;&gt;"",VLOOKUP($A34,calculation!$A$10:$V$510,12),""),"")</f>
        <v>10</v>
      </c>
      <c r="C34" s="4">
        <f>IFERROR(IF(A34&lt;&gt;"",VLOOKUP($A34,calculation!$A$10:$V$510,15),""),"")</f>
        <v>2</v>
      </c>
      <c r="D34" s="4">
        <f>IFERROR(IF(A34&lt;&gt;"",VLOOKUP($A34,calculation!$A$10:$V$510,22),""),"")</f>
        <v>90</v>
      </c>
      <c r="F34" s="4" t="s">
        <v>27</v>
      </c>
      <c r="G34" s="4">
        <f>MAX($G$9:G33)+1</f>
        <v>6</v>
      </c>
      <c r="H34" s="4" t="s">
        <v>34</v>
      </c>
      <c r="I34" s="4" t="s">
        <v>35</v>
      </c>
      <c r="J34" s="4">
        <f t="shared" si="0"/>
        <v>10</v>
      </c>
      <c r="K34" s="4" t="s">
        <v>39</v>
      </c>
      <c r="L34" s="4">
        <f>Setup!$C$15</f>
        <v>1500</v>
      </c>
      <c r="M34" s="4" t="s">
        <v>36</v>
      </c>
      <c r="N34" s="4">
        <f t="shared" si="1"/>
        <v>2</v>
      </c>
      <c r="O34" s="4" t="s">
        <v>40</v>
      </c>
      <c r="P34" s="4">
        <f>Setup!$C$13</f>
        <v>1200</v>
      </c>
      <c r="Q34" s="4" t="s">
        <v>37</v>
      </c>
      <c r="R34" s="4">
        <f t="shared" si="2"/>
        <v>90</v>
      </c>
      <c r="S34" s="4" t="s">
        <v>41</v>
      </c>
      <c r="T34" s="4">
        <f>Setup!$C$14</f>
        <v>1200</v>
      </c>
      <c r="U34" s="4" t="str">
        <f t="shared" si="3"/>
        <v>N6 G02 X10 I1500 Y2 J1200 Z90 K1200</v>
      </c>
      <c r="V34" s="4"/>
    </row>
    <row r="35" spans="1:22" x14ac:dyDescent="0.25">
      <c r="A35" s="4">
        <v>25</v>
      </c>
      <c r="B35" s="4">
        <f>IFERROR(IF(A35&lt;&gt;"",VLOOKUP($A35,calculation!$A$10:$V$510,12),""),"")</f>
        <v>10</v>
      </c>
      <c r="C35" s="4">
        <f>IFERROR(IF(A35&lt;&gt;"",VLOOKUP($A35,calculation!$A$10:$V$510,15),""),"")</f>
        <v>2</v>
      </c>
      <c r="D35" s="4">
        <f>IFERROR(IF(A35&lt;&gt;"",VLOOKUP($A35,calculation!$A$10:$V$510,22),""),"")</f>
        <v>90</v>
      </c>
      <c r="F35" s="4" t="s">
        <v>27</v>
      </c>
      <c r="G35" s="4">
        <f>MAX($G$9:G34)+1</f>
        <v>7</v>
      </c>
      <c r="H35" s="4" t="s">
        <v>34</v>
      </c>
      <c r="I35" s="4" t="s">
        <v>35</v>
      </c>
      <c r="J35" s="4">
        <f t="shared" si="0"/>
        <v>10</v>
      </c>
      <c r="K35" s="4" t="s">
        <v>39</v>
      </c>
      <c r="L35" s="4">
        <f>Setup!$C$15</f>
        <v>1500</v>
      </c>
      <c r="M35" s="4" t="s">
        <v>36</v>
      </c>
      <c r="N35" s="4">
        <f t="shared" si="1"/>
        <v>2</v>
      </c>
      <c r="O35" s="4" t="s">
        <v>40</v>
      </c>
      <c r="P35" s="4">
        <f>Setup!$C$13</f>
        <v>1200</v>
      </c>
      <c r="Q35" s="4" t="s">
        <v>37</v>
      </c>
      <c r="R35" s="4">
        <f t="shared" si="2"/>
        <v>90</v>
      </c>
      <c r="S35" s="4" t="s">
        <v>41</v>
      </c>
      <c r="T35" s="4">
        <f>Setup!$C$14</f>
        <v>1200</v>
      </c>
      <c r="U35" s="4" t="str">
        <f t="shared" si="3"/>
        <v>N7 G02 X10 I1500 Y2 J1200 Z90 K1200</v>
      </c>
      <c r="V35" s="4"/>
    </row>
    <row r="36" spans="1:22" x14ac:dyDescent="0.25">
      <c r="A36" s="4">
        <v>26</v>
      </c>
      <c r="B36" s="4">
        <f>IFERROR(IF(A36&lt;&gt;"",VLOOKUP($A36,calculation!$A$10:$V$510,12),""),"")</f>
        <v>10</v>
      </c>
      <c r="C36" s="4">
        <f>IFERROR(IF(A36&lt;&gt;"",VLOOKUP($A36,calculation!$A$10:$V$510,15),""),"")</f>
        <v>2</v>
      </c>
      <c r="D36" s="4">
        <f>IFERROR(IF(A36&lt;&gt;"",VLOOKUP($A36,calculation!$A$10:$V$510,22),""),"")</f>
        <v>90</v>
      </c>
      <c r="F36" s="4" t="s">
        <v>27</v>
      </c>
      <c r="G36" s="4">
        <f>MAX($G$9:G35)+1</f>
        <v>8</v>
      </c>
      <c r="H36" s="4" t="s">
        <v>34</v>
      </c>
      <c r="I36" s="4" t="s">
        <v>35</v>
      </c>
      <c r="J36" s="4">
        <f t="shared" si="0"/>
        <v>10</v>
      </c>
      <c r="K36" s="4" t="s">
        <v>39</v>
      </c>
      <c r="L36" s="4">
        <f>Setup!$C$15</f>
        <v>1500</v>
      </c>
      <c r="M36" s="4" t="s">
        <v>36</v>
      </c>
      <c r="N36" s="4">
        <f t="shared" si="1"/>
        <v>2</v>
      </c>
      <c r="O36" s="4" t="s">
        <v>40</v>
      </c>
      <c r="P36" s="4">
        <f>Setup!$C$13</f>
        <v>1200</v>
      </c>
      <c r="Q36" s="4" t="s">
        <v>37</v>
      </c>
      <c r="R36" s="4">
        <f t="shared" si="2"/>
        <v>90</v>
      </c>
      <c r="S36" s="4" t="s">
        <v>41</v>
      </c>
      <c r="T36" s="4">
        <f>Setup!$C$14</f>
        <v>1200</v>
      </c>
      <c r="U36" s="4" t="str">
        <f t="shared" si="3"/>
        <v>N8 G02 X10 I1500 Y2 J1200 Z90 K1200</v>
      </c>
      <c r="V36" s="4"/>
    </row>
    <row r="37" spans="1:22" x14ac:dyDescent="0.25">
      <c r="A37" s="4">
        <v>27</v>
      </c>
      <c r="B37" s="4">
        <f>IFERROR(IF(A37&lt;&gt;"",VLOOKUP($A37,calculation!$A$10:$V$510,12),""),"")</f>
        <v>10</v>
      </c>
      <c r="C37" s="4">
        <f>IFERROR(IF(A37&lt;&gt;"",VLOOKUP($A37,calculation!$A$10:$V$510,15),""),"")</f>
        <v>2</v>
      </c>
      <c r="D37" s="4">
        <f>IFERROR(IF(A37&lt;&gt;"",VLOOKUP($A37,calculation!$A$10:$V$510,22),""),"")</f>
        <v>90</v>
      </c>
      <c r="F37" s="4" t="s">
        <v>27</v>
      </c>
      <c r="G37" s="4">
        <f>MAX($G$9:G36)+1</f>
        <v>9</v>
      </c>
      <c r="H37" s="4" t="s">
        <v>34</v>
      </c>
      <c r="I37" s="4" t="s">
        <v>35</v>
      </c>
      <c r="J37" s="4">
        <f t="shared" si="0"/>
        <v>10</v>
      </c>
      <c r="K37" s="4" t="s">
        <v>39</v>
      </c>
      <c r="L37" s="4">
        <f>Setup!$C$15</f>
        <v>1500</v>
      </c>
      <c r="M37" s="4" t="s">
        <v>36</v>
      </c>
      <c r="N37" s="4">
        <f t="shared" si="1"/>
        <v>2</v>
      </c>
      <c r="O37" s="4" t="s">
        <v>40</v>
      </c>
      <c r="P37" s="4">
        <f>Setup!$C$13</f>
        <v>1200</v>
      </c>
      <c r="Q37" s="4" t="s">
        <v>37</v>
      </c>
      <c r="R37" s="4">
        <f t="shared" si="2"/>
        <v>90</v>
      </c>
      <c r="S37" s="4" t="s">
        <v>41</v>
      </c>
      <c r="T37" s="4">
        <f>Setup!$C$14</f>
        <v>1200</v>
      </c>
      <c r="U37" s="4" t="str">
        <f t="shared" si="3"/>
        <v>N9 G02 X10 I1500 Y2 J1200 Z90 K1200</v>
      </c>
      <c r="V37" s="4"/>
    </row>
    <row r="38" spans="1:22" x14ac:dyDescent="0.25">
      <c r="A38" s="4">
        <v>28</v>
      </c>
      <c r="B38" s="4">
        <f>IFERROR(IF(A38&lt;&gt;"",VLOOKUP($A38,calculation!$A$10:$V$510,12),""),"")</f>
        <v>10</v>
      </c>
      <c r="C38" s="4">
        <f>IFERROR(IF(A38&lt;&gt;"",VLOOKUP($A38,calculation!$A$10:$V$510,15),""),"")</f>
        <v>2</v>
      </c>
      <c r="D38" s="4">
        <f>IFERROR(IF(A38&lt;&gt;"",VLOOKUP($A38,calculation!$A$10:$V$510,22),""),"")</f>
        <v>90</v>
      </c>
      <c r="F38" s="4" t="s">
        <v>27</v>
      </c>
      <c r="G38" s="4">
        <f>MAX($G$9:G37)+1</f>
        <v>10</v>
      </c>
      <c r="H38" s="4" t="s">
        <v>34</v>
      </c>
      <c r="I38" s="4" t="s">
        <v>35</v>
      </c>
      <c r="J38" s="4">
        <f t="shared" si="0"/>
        <v>10</v>
      </c>
      <c r="K38" s="4" t="s">
        <v>39</v>
      </c>
      <c r="L38" s="4">
        <f>Setup!$C$15</f>
        <v>1500</v>
      </c>
      <c r="M38" s="4" t="s">
        <v>36</v>
      </c>
      <c r="N38" s="4">
        <f t="shared" si="1"/>
        <v>2</v>
      </c>
      <c r="O38" s="4" t="s">
        <v>40</v>
      </c>
      <c r="P38" s="4">
        <f>Setup!$C$13</f>
        <v>1200</v>
      </c>
      <c r="Q38" s="4" t="s">
        <v>37</v>
      </c>
      <c r="R38" s="4">
        <f t="shared" si="2"/>
        <v>90</v>
      </c>
      <c r="S38" s="4" t="s">
        <v>41</v>
      </c>
      <c r="T38" s="4">
        <f>Setup!$C$14</f>
        <v>1200</v>
      </c>
      <c r="U38" s="4" t="str">
        <f t="shared" si="3"/>
        <v>N10 G02 X10 I1500 Y2 J1200 Z90 K1200</v>
      </c>
      <c r="V38" s="4"/>
    </row>
    <row r="39" spans="1:22" x14ac:dyDescent="0.25">
      <c r="A39" s="4">
        <v>29</v>
      </c>
      <c r="B39" s="4">
        <f>IFERROR(IF(A39&lt;&gt;"",VLOOKUP($A39,calculation!$A$10:$V$510,12),""),"")</f>
        <v>10</v>
      </c>
      <c r="C39" s="4">
        <f>IFERROR(IF(A39&lt;&gt;"",VLOOKUP($A39,calculation!$A$10:$V$510,15),""),"")</f>
        <v>2</v>
      </c>
      <c r="D39" s="4">
        <f>IFERROR(IF(A39&lt;&gt;"",VLOOKUP($A39,calculation!$A$10:$V$510,22),""),"")</f>
        <v>90</v>
      </c>
      <c r="F39" s="4" t="s">
        <v>27</v>
      </c>
      <c r="G39" s="4">
        <f>MAX($G$9:G38)+1</f>
        <v>11</v>
      </c>
      <c r="H39" s="4" t="s">
        <v>34</v>
      </c>
      <c r="I39" s="4" t="s">
        <v>35</v>
      </c>
      <c r="J39" s="4">
        <f t="shared" si="0"/>
        <v>10</v>
      </c>
      <c r="K39" s="4" t="s">
        <v>39</v>
      </c>
      <c r="L39" s="4">
        <f>Setup!$C$15</f>
        <v>1500</v>
      </c>
      <c r="M39" s="4" t="s">
        <v>36</v>
      </c>
      <c r="N39" s="4">
        <f t="shared" si="1"/>
        <v>2</v>
      </c>
      <c r="O39" s="4" t="s">
        <v>40</v>
      </c>
      <c r="P39" s="4">
        <f>Setup!$C$13</f>
        <v>1200</v>
      </c>
      <c r="Q39" s="4" t="s">
        <v>37</v>
      </c>
      <c r="R39" s="4">
        <f t="shared" si="2"/>
        <v>90</v>
      </c>
      <c r="S39" s="4" t="s">
        <v>41</v>
      </c>
      <c r="T39" s="4">
        <f>Setup!$C$14</f>
        <v>1200</v>
      </c>
      <c r="U39" s="4" t="str">
        <f t="shared" si="3"/>
        <v>N11 G02 X10 I1500 Y2 J1200 Z90 K1200</v>
      </c>
      <c r="V39" s="4"/>
    </row>
    <row r="40" spans="1:22" x14ac:dyDescent="0.25">
      <c r="A40" s="4">
        <v>30</v>
      </c>
      <c r="B40" s="4">
        <f>IFERROR(IF(A40&lt;&gt;"",VLOOKUP($A40,calculation!$A$10:$V$510,12),""),"")</f>
        <v>10</v>
      </c>
      <c r="C40" s="4">
        <f>IFERROR(IF(A40&lt;&gt;"",VLOOKUP($A40,calculation!$A$10:$V$510,15),""),"")</f>
        <v>2</v>
      </c>
      <c r="D40" s="4">
        <f>IFERROR(IF(A40&lt;&gt;"",VLOOKUP($A40,calculation!$A$10:$V$510,22),""),"")</f>
        <v>90</v>
      </c>
      <c r="F40" s="4" t="s">
        <v>27</v>
      </c>
      <c r="G40" s="4">
        <f>MAX($G$9:G39)+1</f>
        <v>12</v>
      </c>
      <c r="H40" s="4" t="s">
        <v>34</v>
      </c>
      <c r="I40" s="4" t="s">
        <v>35</v>
      </c>
      <c r="J40" s="4">
        <f t="shared" si="0"/>
        <v>10</v>
      </c>
      <c r="K40" s="4" t="s">
        <v>39</v>
      </c>
      <c r="L40" s="4">
        <f>Setup!$C$15</f>
        <v>1500</v>
      </c>
      <c r="M40" s="4" t="s">
        <v>36</v>
      </c>
      <c r="N40" s="4">
        <f t="shared" si="1"/>
        <v>2</v>
      </c>
      <c r="O40" s="4" t="s">
        <v>40</v>
      </c>
      <c r="P40" s="4">
        <f>Setup!$C$13</f>
        <v>1200</v>
      </c>
      <c r="Q40" s="4" t="s">
        <v>37</v>
      </c>
      <c r="R40" s="4">
        <f t="shared" si="2"/>
        <v>90</v>
      </c>
      <c r="S40" s="4" t="s">
        <v>41</v>
      </c>
      <c r="T40" s="4">
        <f>Setup!$C$14</f>
        <v>1200</v>
      </c>
      <c r="U40" s="4" t="str">
        <f t="shared" si="3"/>
        <v>N12 G02 X10 I1500 Y2 J1200 Z90 K1200</v>
      </c>
      <c r="V40" s="4"/>
    </row>
    <row r="41" spans="1:22" x14ac:dyDescent="0.25">
      <c r="A41" s="4">
        <v>31</v>
      </c>
      <c r="B41" s="4">
        <f>IFERROR(IF(A41&lt;&gt;"",VLOOKUP($A41,calculation!$A$10:$V$510,12),""),"")</f>
        <v>10</v>
      </c>
      <c r="C41" s="4">
        <f>IFERROR(IF(A41&lt;&gt;"",VLOOKUP($A41,calculation!$A$10:$V$510,15),""),"")</f>
        <v>2</v>
      </c>
      <c r="D41" s="4">
        <f>IFERROR(IF(A41&lt;&gt;"",VLOOKUP($A41,calculation!$A$10:$V$510,22),""),"")</f>
        <v>90</v>
      </c>
      <c r="F41" s="4" t="s">
        <v>27</v>
      </c>
      <c r="G41" s="4">
        <f>MAX($G$9:G40)+1</f>
        <v>13</v>
      </c>
      <c r="H41" s="4" t="s">
        <v>34</v>
      </c>
      <c r="I41" s="4" t="s">
        <v>35</v>
      </c>
      <c r="J41" s="4">
        <f t="shared" si="0"/>
        <v>10</v>
      </c>
      <c r="K41" s="4" t="s">
        <v>39</v>
      </c>
      <c r="L41" s="4">
        <f>Setup!$C$15</f>
        <v>1500</v>
      </c>
      <c r="M41" s="4" t="s">
        <v>36</v>
      </c>
      <c r="N41" s="4">
        <f t="shared" si="1"/>
        <v>2</v>
      </c>
      <c r="O41" s="4" t="s">
        <v>40</v>
      </c>
      <c r="P41" s="4">
        <f>Setup!$C$13</f>
        <v>1200</v>
      </c>
      <c r="Q41" s="4" t="s">
        <v>37</v>
      </c>
      <c r="R41" s="4">
        <f t="shared" si="2"/>
        <v>90</v>
      </c>
      <c r="S41" s="4" t="s">
        <v>41</v>
      </c>
      <c r="T41" s="4">
        <f>Setup!$C$14</f>
        <v>1200</v>
      </c>
      <c r="U41" s="4" t="str">
        <f t="shared" si="3"/>
        <v>N13 G02 X10 I1500 Y2 J1200 Z90 K1200</v>
      </c>
      <c r="V41" s="4"/>
    </row>
    <row r="42" spans="1:22" x14ac:dyDescent="0.25">
      <c r="A42" s="4">
        <v>32</v>
      </c>
      <c r="B42" s="4">
        <f>IFERROR(IF(A42&lt;&gt;"",VLOOKUP($A42,calculation!$A$10:$V$510,12),""),"")</f>
        <v>10</v>
      </c>
      <c r="C42" s="4">
        <f>IFERROR(IF(A42&lt;&gt;"",VLOOKUP($A42,calculation!$A$10:$V$510,15),""),"")</f>
        <v>2</v>
      </c>
      <c r="D42" s="4">
        <f>IFERROR(IF(A42&lt;&gt;"",VLOOKUP($A42,calculation!$A$10:$V$510,22),""),"")</f>
        <v>90</v>
      </c>
      <c r="F42" s="4" t="s">
        <v>27</v>
      </c>
      <c r="G42" s="4">
        <f>MAX($G$9:G41)+1</f>
        <v>14</v>
      </c>
      <c r="H42" s="4" t="s">
        <v>34</v>
      </c>
      <c r="I42" s="4" t="s">
        <v>35</v>
      </c>
      <c r="J42" s="4">
        <f t="shared" si="0"/>
        <v>10</v>
      </c>
      <c r="K42" s="4" t="s">
        <v>39</v>
      </c>
      <c r="L42" s="4">
        <f>Setup!$C$15</f>
        <v>1500</v>
      </c>
      <c r="M42" s="4" t="s">
        <v>36</v>
      </c>
      <c r="N42" s="4">
        <f t="shared" si="1"/>
        <v>2</v>
      </c>
      <c r="O42" s="4" t="s">
        <v>40</v>
      </c>
      <c r="P42" s="4">
        <f>Setup!$C$13</f>
        <v>1200</v>
      </c>
      <c r="Q42" s="4" t="s">
        <v>37</v>
      </c>
      <c r="R42" s="4">
        <f t="shared" si="2"/>
        <v>90</v>
      </c>
      <c r="S42" s="4" t="s">
        <v>41</v>
      </c>
      <c r="T42" s="4">
        <f>Setup!$C$14</f>
        <v>1200</v>
      </c>
      <c r="U42" s="4" t="str">
        <f t="shared" si="3"/>
        <v>N14 G02 X10 I1500 Y2 J1200 Z90 K1200</v>
      </c>
      <c r="V42" s="4"/>
    </row>
    <row r="43" spans="1:22" x14ac:dyDescent="0.25">
      <c r="A43" s="4">
        <v>33</v>
      </c>
      <c r="B43" s="4">
        <f>IFERROR(IF(A43&lt;&gt;"",VLOOKUP($A43,calculation!$A$10:$V$510,12),""),"")</f>
        <v>10</v>
      </c>
      <c r="C43" s="4">
        <f>IFERROR(IF(A43&lt;&gt;"",VLOOKUP($A43,calculation!$A$10:$V$510,15),""),"")</f>
        <v>2</v>
      </c>
      <c r="D43" s="4">
        <f>IFERROR(IF(A43&lt;&gt;"",VLOOKUP($A43,calculation!$A$10:$V$510,22),""),"")</f>
        <v>90</v>
      </c>
      <c r="F43" s="4" t="s">
        <v>27</v>
      </c>
      <c r="G43" s="4">
        <f>MAX($G$9:G42)+1</f>
        <v>15</v>
      </c>
      <c r="H43" s="4" t="s">
        <v>34</v>
      </c>
      <c r="I43" s="4" t="s">
        <v>35</v>
      </c>
      <c r="J43" s="4">
        <f t="shared" si="0"/>
        <v>10</v>
      </c>
      <c r="K43" s="4" t="s">
        <v>39</v>
      </c>
      <c r="L43" s="4">
        <f>Setup!$C$15</f>
        <v>1500</v>
      </c>
      <c r="M43" s="4" t="s">
        <v>36</v>
      </c>
      <c r="N43" s="4">
        <f t="shared" si="1"/>
        <v>2</v>
      </c>
      <c r="O43" s="4" t="s">
        <v>40</v>
      </c>
      <c r="P43" s="4">
        <f>Setup!$C$13</f>
        <v>1200</v>
      </c>
      <c r="Q43" s="4" t="s">
        <v>37</v>
      </c>
      <c r="R43" s="4">
        <f t="shared" si="2"/>
        <v>90</v>
      </c>
      <c r="S43" s="4" t="s">
        <v>41</v>
      </c>
      <c r="T43" s="4">
        <f>Setup!$C$14</f>
        <v>1200</v>
      </c>
      <c r="U43" s="4" t="str">
        <f t="shared" si="3"/>
        <v>N15 G02 X10 I1500 Y2 J1200 Z90 K1200</v>
      </c>
      <c r="V43" s="4"/>
    </row>
    <row r="44" spans="1:22" x14ac:dyDescent="0.25">
      <c r="A44" s="4">
        <v>34</v>
      </c>
      <c r="B44" s="4">
        <f>IFERROR(IF(A44&lt;&gt;"",VLOOKUP($A44,calculation!$A$10:$V$510,12),""),"")</f>
        <v>10</v>
      </c>
      <c r="C44" s="4">
        <f>IFERROR(IF(A44&lt;&gt;"",VLOOKUP($A44,calculation!$A$10:$V$510,15),""),"")</f>
        <v>2</v>
      </c>
      <c r="D44" s="4">
        <f>IFERROR(IF(A44&lt;&gt;"",VLOOKUP($A44,calculation!$A$10:$V$510,22),""),"")</f>
        <v>90</v>
      </c>
      <c r="F44" s="4" t="s">
        <v>27</v>
      </c>
      <c r="G44" s="4">
        <f>MAX($G$9:G43)+1</f>
        <v>16</v>
      </c>
      <c r="H44" s="4" t="s">
        <v>34</v>
      </c>
      <c r="I44" s="4" t="s">
        <v>35</v>
      </c>
      <c r="J44" s="4">
        <f t="shared" si="0"/>
        <v>10</v>
      </c>
      <c r="K44" s="4" t="s">
        <v>39</v>
      </c>
      <c r="L44" s="4">
        <f>Setup!$C$15</f>
        <v>1500</v>
      </c>
      <c r="M44" s="4" t="s">
        <v>36</v>
      </c>
      <c r="N44" s="4">
        <f t="shared" si="1"/>
        <v>2</v>
      </c>
      <c r="O44" s="4" t="s">
        <v>40</v>
      </c>
      <c r="P44" s="4">
        <f>Setup!$C$13</f>
        <v>1200</v>
      </c>
      <c r="Q44" s="4" t="s">
        <v>37</v>
      </c>
      <c r="R44" s="4">
        <f t="shared" si="2"/>
        <v>90</v>
      </c>
      <c r="S44" s="4" t="s">
        <v>41</v>
      </c>
      <c r="T44" s="4">
        <f>Setup!$C$14</f>
        <v>1200</v>
      </c>
      <c r="U44" s="4" t="str">
        <f t="shared" si="3"/>
        <v>N16 G02 X10 I1500 Y2 J1200 Z90 K1200</v>
      </c>
      <c r="V44" s="4"/>
    </row>
    <row r="45" spans="1:22" x14ac:dyDescent="0.25">
      <c r="A45" s="4">
        <v>35</v>
      </c>
      <c r="B45" s="4">
        <f>IFERROR(IF(A45&lt;&gt;"",VLOOKUP($A45,calculation!$A$10:$V$510,12),""),"")</f>
        <v>10</v>
      </c>
      <c r="C45" s="4">
        <f>IFERROR(IF(A45&lt;&gt;"",VLOOKUP($A45,calculation!$A$10:$V$510,15),""),"")</f>
        <v>2</v>
      </c>
      <c r="D45" s="4">
        <f>IFERROR(IF(A45&lt;&gt;"",VLOOKUP($A45,calculation!$A$10:$V$510,22),""),"")</f>
        <v>90</v>
      </c>
      <c r="F45" s="4" t="s">
        <v>27</v>
      </c>
      <c r="G45" s="4">
        <f>MAX($G$9:G44)+1</f>
        <v>17</v>
      </c>
      <c r="H45" s="4" t="s">
        <v>34</v>
      </c>
      <c r="I45" s="4" t="s">
        <v>35</v>
      </c>
      <c r="J45" s="4">
        <f t="shared" si="0"/>
        <v>10</v>
      </c>
      <c r="K45" s="4" t="s">
        <v>39</v>
      </c>
      <c r="L45" s="4">
        <f>Setup!$C$15</f>
        <v>1500</v>
      </c>
      <c r="M45" s="4" t="s">
        <v>36</v>
      </c>
      <c r="N45" s="4">
        <f t="shared" si="1"/>
        <v>2</v>
      </c>
      <c r="O45" s="4" t="s">
        <v>40</v>
      </c>
      <c r="P45" s="4">
        <f>Setup!$C$13</f>
        <v>1200</v>
      </c>
      <c r="Q45" s="4" t="s">
        <v>37</v>
      </c>
      <c r="R45" s="4">
        <f t="shared" si="2"/>
        <v>90</v>
      </c>
      <c r="S45" s="4" t="s">
        <v>41</v>
      </c>
      <c r="T45" s="4">
        <f>Setup!$C$14</f>
        <v>1200</v>
      </c>
      <c r="U45" s="4" t="str">
        <f t="shared" si="3"/>
        <v>N17 G02 X10 I1500 Y2 J1200 Z90 K1200</v>
      </c>
      <c r="V45" s="4"/>
    </row>
    <row r="46" spans="1:22" x14ac:dyDescent="0.25">
      <c r="A46" s="4"/>
      <c r="B46" s="4" t="str">
        <f>IFERROR(IF(A46&lt;&gt;"",VLOOKUP($A46,calculation!$A$10:$V$510,12),""),"")</f>
        <v/>
      </c>
      <c r="C46" s="4" t="str">
        <f>IFERROR(IF(A46&lt;&gt;"",VLOOKUP($A46,calculation!$A$10:$V$510,15),""),"")</f>
        <v/>
      </c>
      <c r="D46" s="4" t="str">
        <f>IFERROR(IF(A46&lt;&gt;"",VLOOKUP($A46,calculation!$A$10:$V$510,22),""),"")</f>
        <v/>
      </c>
      <c r="F46" s="4" t="s">
        <v>27</v>
      </c>
      <c r="G46" s="4">
        <f>MAX($G$9:G45)+1</f>
        <v>18</v>
      </c>
      <c r="H46" s="4" t="s">
        <v>34</v>
      </c>
      <c r="I46" s="4" t="s">
        <v>35</v>
      </c>
      <c r="J46" s="4" t="str">
        <f t="shared" si="0"/>
        <v/>
      </c>
      <c r="K46" s="4" t="s">
        <v>39</v>
      </c>
      <c r="L46" s="4">
        <f>Setup!$C$15</f>
        <v>1500</v>
      </c>
      <c r="M46" s="4" t="s">
        <v>36</v>
      </c>
      <c r="N46" s="4" t="str">
        <f t="shared" si="1"/>
        <v/>
      </c>
      <c r="O46" s="4" t="s">
        <v>40</v>
      </c>
      <c r="P46" s="4">
        <f>Setup!$C$13</f>
        <v>1200</v>
      </c>
      <c r="Q46" s="4" t="s">
        <v>37</v>
      </c>
      <c r="R46" s="4" t="str">
        <f t="shared" si="2"/>
        <v/>
      </c>
      <c r="S46" s="4" t="s">
        <v>41</v>
      </c>
      <c r="T46" s="4">
        <f>Setup!$C$14</f>
        <v>1200</v>
      </c>
      <c r="U46" s="4" t="str">
        <f t="shared" si="3"/>
        <v/>
      </c>
      <c r="V46" s="4"/>
    </row>
    <row r="47" spans="1:22" x14ac:dyDescent="0.25">
      <c r="A47" s="4"/>
      <c r="B47" s="4" t="str">
        <f>IFERROR(IF(A47&lt;&gt;"",VLOOKUP($A47,calculation!$A$10:$V$510,12),""),"")</f>
        <v/>
      </c>
      <c r="C47" s="4" t="str">
        <f>IFERROR(IF(A47&lt;&gt;"",VLOOKUP($A47,calculation!$A$10:$V$510,15),""),"")</f>
        <v/>
      </c>
      <c r="D47" s="4" t="str">
        <f>IFERROR(IF(A47&lt;&gt;"",VLOOKUP($A47,calculation!$A$10:$V$510,22),""),"")</f>
        <v/>
      </c>
      <c r="F47" s="4" t="s">
        <v>27</v>
      </c>
      <c r="G47" s="4">
        <f>MAX($G$9:G46)+1</f>
        <v>19</v>
      </c>
      <c r="H47" s="4" t="s">
        <v>34</v>
      </c>
      <c r="I47" s="4" t="s">
        <v>35</v>
      </c>
      <c r="J47" s="4" t="str">
        <f t="shared" si="0"/>
        <v/>
      </c>
      <c r="K47" s="4" t="s">
        <v>39</v>
      </c>
      <c r="L47" s="4">
        <f>Setup!$C$15</f>
        <v>1500</v>
      </c>
      <c r="M47" s="4" t="s">
        <v>36</v>
      </c>
      <c r="N47" s="4" t="str">
        <f t="shared" si="1"/>
        <v/>
      </c>
      <c r="O47" s="4" t="s">
        <v>40</v>
      </c>
      <c r="P47" s="4">
        <f>Setup!$C$13</f>
        <v>1200</v>
      </c>
      <c r="Q47" s="4" t="s">
        <v>37</v>
      </c>
      <c r="R47" s="4" t="str">
        <f t="shared" si="2"/>
        <v/>
      </c>
      <c r="S47" s="4" t="s">
        <v>41</v>
      </c>
      <c r="T47" s="4">
        <f>Setup!$C$14</f>
        <v>1200</v>
      </c>
      <c r="U47" s="4" t="str">
        <f t="shared" si="3"/>
        <v/>
      </c>
      <c r="V47" s="4"/>
    </row>
    <row r="48" spans="1:22" x14ac:dyDescent="0.25">
      <c r="A48" s="4"/>
      <c r="B48" s="4" t="str">
        <f>IFERROR(IF(A48&lt;&gt;"",VLOOKUP($A48,calculation!$A$10:$V$510,12),""),"")</f>
        <v/>
      </c>
      <c r="C48" s="4" t="str">
        <f>IFERROR(IF(A48&lt;&gt;"",VLOOKUP($A48,calculation!$A$10:$V$510,15),""),"")</f>
        <v/>
      </c>
      <c r="D48" s="4" t="str">
        <f>IFERROR(IF(A48&lt;&gt;"",VLOOKUP($A48,calculation!$A$10:$V$510,22),""),"")</f>
        <v/>
      </c>
      <c r="F48" s="4" t="s">
        <v>27</v>
      </c>
      <c r="G48" s="4">
        <f>MAX($G$9:G47)+1</f>
        <v>20</v>
      </c>
      <c r="H48" s="4" t="s">
        <v>34</v>
      </c>
      <c r="I48" s="4" t="s">
        <v>35</v>
      </c>
      <c r="J48" s="4" t="str">
        <f t="shared" si="0"/>
        <v/>
      </c>
      <c r="K48" s="4" t="s">
        <v>39</v>
      </c>
      <c r="L48" s="4">
        <f>Setup!$C$15</f>
        <v>1500</v>
      </c>
      <c r="M48" s="4" t="s">
        <v>36</v>
      </c>
      <c r="N48" s="4" t="str">
        <f t="shared" si="1"/>
        <v/>
      </c>
      <c r="O48" s="4" t="s">
        <v>40</v>
      </c>
      <c r="P48" s="4">
        <f>Setup!$C$13</f>
        <v>1200</v>
      </c>
      <c r="Q48" s="4" t="s">
        <v>37</v>
      </c>
      <c r="R48" s="4" t="str">
        <f t="shared" si="2"/>
        <v/>
      </c>
      <c r="S48" s="4" t="s">
        <v>41</v>
      </c>
      <c r="T48" s="4">
        <f>Setup!$C$14</f>
        <v>1200</v>
      </c>
      <c r="U48" s="4" t="str">
        <f t="shared" si="3"/>
        <v/>
      </c>
      <c r="V48" s="4"/>
    </row>
    <row r="49" spans="1:22" x14ac:dyDescent="0.25">
      <c r="A49" s="4"/>
      <c r="B49" s="4" t="str">
        <f>IFERROR(IF(A49&lt;&gt;"",VLOOKUP($A49,calculation!$A$10:$V$510,12),""),"")</f>
        <v/>
      </c>
      <c r="C49" s="4" t="str">
        <f>IFERROR(IF(A49&lt;&gt;"",VLOOKUP($A49,calculation!$A$10:$V$510,15),""),"")</f>
        <v/>
      </c>
      <c r="D49" s="4" t="str">
        <f>IFERROR(IF(A49&lt;&gt;"",VLOOKUP($A49,calculation!$A$10:$V$510,22),""),"")</f>
        <v/>
      </c>
      <c r="F49" s="4" t="s">
        <v>27</v>
      </c>
      <c r="G49" s="4">
        <f>MAX($G$9:G48)+1</f>
        <v>21</v>
      </c>
      <c r="H49" s="4" t="s">
        <v>34</v>
      </c>
      <c r="I49" s="4" t="s">
        <v>35</v>
      </c>
      <c r="J49" s="4" t="str">
        <f t="shared" si="0"/>
        <v/>
      </c>
      <c r="K49" s="4" t="s">
        <v>39</v>
      </c>
      <c r="L49" s="4">
        <f>Setup!$C$15</f>
        <v>1500</v>
      </c>
      <c r="M49" s="4" t="s">
        <v>36</v>
      </c>
      <c r="N49" s="4" t="str">
        <f t="shared" si="1"/>
        <v/>
      </c>
      <c r="O49" s="4" t="s">
        <v>40</v>
      </c>
      <c r="P49" s="4">
        <f>Setup!$C$13</f>
        <v>1200</v>
      </c>
      <c r="Q49" s="4" t="s">
        <v>37</v>
      </c>
      <c r="R49" s="4" t="str">
        <f t="shared" si="2"/>
        <v/>
      </c>
      <c r="S49" s="4" t="s">
        <v>41</v>
      </c>
      <c r="T49" s="4">
        <f>Setup!$C$14</f>
        <v>1200</v>
      </c>
      <c r="U49" s="4" t="str">
        <f t="shared" si="3"/>
        <v/>
      </c>
      <c r="V49" s="4"/>
    </row>
    <row r="50" spans="1:22" x14ac:dyDescent="0.25">
      <c r="A50" s="4"/>
      <c r="B50" s="4" t="str">
        <f>IFERROR(IF(A50&lt;&gt;"",VLOOKUP($A50,calculation!$A$10:$V$510,12),""),"")</f>
        <v/>
      </c>
      <c r="C50" s="4" t="str">
        <f>IFERROR(IF(A50&lt;&gt;"",VLOOKUP($A50,calculation!$A$10:$V$510,15),""),"")</f>
        <v/>
      </c>
      <c r="D50" s="4" t="str">
        <f>IFERROR(IF(A50&lt;&gt;"",VLOOKUP($A50,calculation!$A$10:$V$510,22),""),"")</f>
        <v/>
      </c>
      <c r="F50" s="4" t="s">
        <v>27</v>
      </c>
      <c r="G50" s="4">
        <f>MAX($G$9:G49)+1</f>
        <v>22</v>
      </c>
      <c r="H50" s="4" t="s">
        <v>34</v>
      </c>
      <c r="I50" s="4" t="s">
        <v>35</v>
      </c>
      <c r="J50" s="4" t="str">
        <f t="shared" si="0"/>
        <v/>
      </c>
      <c r="K50" s="4" t="s">
        <v>39</v>
      </c>
      <c r="L50" s="4">
        <f>Setup!$C$15</f>
        <v>1500</v>
      </c>
      <c r="M50" s="4" t="s">
        <v>36</v>
      </c>
      <c r="N50" s="4" t="str">
        <f t="shared" si="1"/>
        <v/>
      </c>
      <c r="O50" s="4" t="s">
        <v>40</v>
      </c>
      <c r="P50" s="4">
        <f>Setup!$C$13</f>
        <v>1200</v>
      </c>
      <c r="Q50" s="4" t="s">
        <v>37</v>
      </c>
      <c r="R50" s="4" t="str">
        <f t="shared" si="2"/>
        <v/>
      </c>
      <c r="S50" s="4" t="s">
        <v>41</v>
      </c>
      <c r="T50" s="4">
        <f>Setup!$C$14</f>
        <v>1200</v>
      </c>
      <c r="U50" s="4" t="str">
        <f t="shared" si="3"/>
        <v/>
      </c>
      <c r="V50" s="4"/>
    </row>
    <row r="51" spans="1:22" x14ac:dyDescent="0.25">
      <c r="A51" s="4"/>
      <c r="B51" s="4" t="str">
        <f>IFERROR(IF(A51&lt;&gt;"",VLOOKUP($A51,calculation!$A$10:$V$510,12),""),"")</f>
        <v/>
      </c>
      <c r="C51" s="4" t="str">
        <f>IFERROR(IF(A51&lt;&gt;"",VLOOKUP($A51,calculation!$A$10:$V$510,15),""),"")</f>
        <v/>
      </c>
      <c r="D51" s="4" t="str">
        <f>IFERROR(IF(A51&lt;&gt;"",VLOOKUP($A51,calculation!$A$10:$V$510,22),""),"")</f>
        <v/>
      </c>
      <c r="F51" s="4" t="s">
        <v>27</v>
      </c>
      <c r="G51" s="4">
        <f>MAX($G$9:G50)+1</f>
        <v>23</v>
      </c>
      <c r="H51" s="4" t="s">
        <v>34</v>
      </c>
      <c r="I51" s="4" t="s">
        <v>35</v>
      </c>
      <c r="J51" s="4" t="str">
        <f t="shared" si="0"/>
        <v/>
      </c>
      <c r="K51" s="4" t="s">
        <v>39</v>
      </c>
      <c r="L51" s="4">
        <f>Setup!$C$15</f>
        <v>1500</v>
      </c>
      <c r="M51" s="4" t="s">
        <v>36</v>
      </c>
      <c r="N51" s="4" t="str">
        <f t="shared" si="1"/>
        <v/>
      </c>
      <c r="O51" s="4" t="s">
        <v>40</v>
      </c>
      <c r="P51" s="4">
        <f>Setup!$C$13</f>
        <v>1200</v>
      </c>
      <c r="Q51" s="4" t="s">
        <v>37</v>
      </c>
      <c r="R51" s="4" t="str">
        <f t="shared" si="2"/>
        <v/>
      </c>
      <c r="S51" s="4" t="s">
        <v>41</v>
      </c>
      <c r="T51" s="4">
        <f>Setup!$C$14</f>
        <v>1200</v>
      </c>
      <c r="U51" s="4" t="str">
        <f t="shared" si="3"/>
        <v/>
      </c>
      <c r="V51" s="4"/>
    </row>
    <row r="52" spans="1:22" x14ac:dyDescent="0.25">
      <c r="A52" s="4"/>
      <c r="B52" s="4" t="str">
        <f>IFERROR(IF(A52&lt;&gt;"",VLOOKUP($A52,calculation!$A$10:$V$510,12),""),"")</f>
        <v/>
      </c>
      <c r="C52" s="4" t="str">
        <f>IFERROR(IF(A52&lt;&gt;"",VLOOKUP($A52,calculation!$A$10:$V$510,15),""),"")</f>
        <v/>
      </c>
      <c r="D52" s="4" t="str">
        <f>IFERROR(IF(A52&lt;&gt;"",VLOOKUP($A52,calculation!$A$10:$V$510,22),""),"")</f>
        <v/>
      </c>
      <c r="F52" s="4" t="s">
        <v>27</v>
      </c>
      <c r="G52" s="4">
        <f>MAX($G$9:G51)+1</f>
        <v>24</v>
      </c>
      <c r="H52" s="4" t="s">
        <v>34</v>
      </c>
      <c r="I52" s="4" t="s">
        <v>35</v>
      </c>
      <c r="J52" s="4" t="str">
        <f t="shared" si="0"/>
        <v/>
      </c>
      <c r="K52" s="4" t="s">
        <v>39</v>
      </c>
      <c r="L52" s="4">
        <f>Setup!$C$15</f>
        <v>1500</v>
      </c>
      <c r="M52" s="4" t="s">
        <v>36</v>
      </c>
      <c r="N52" s="4" t="str">
        <f t="shared" si="1"/>
        <v/>
      </c>
      <c r="O52" s="4" t="s">
        <v>40</v>
      </c>
      <c r="P52" s="4">
        <f>Setup!$C$13</f>
        <v>1200</v>
      </c>
      <c r="Q52" s="4" t="s">
        <v>37</v>
      </c>
      <c r="R52" s="4" t="str">
        <f t="shared" si="2"/>
        <v/>
      </c>
      <c r="S52" s="4" t="s">
        <v>41</v>
      </c>
      <c r="T52" s="4">
        <f>Setup!$C$14</f>
        <v>1200</v>
      </c>
      <c r="U52" s="4" t="str">
        <f t="shared" si="3"/>
        <v/>
      </c>
      <c r="V52" s="4"/>
    </row>
    <row r="53" spans="1:22" x14ac:dyDescent="0.25">
      <c r="A53" s="4"/>
      <c r="B53" s="4" t="str">
        <f>IFERROR(IF(A53&lt;&gt;"",VLOOKUP($A53,calculation!$A$10:$V$510,12),""),"")</f>
        <v/>
      </c>
      <c r="C53" s="4" t="str">
        <f>IFERROR(IF(A53&lt;&gt;"",VLOOKUP($A53,calculation!$A$10:$V$510,15),""),"")</f>
        <v/>
      </c>
      <c r="D53" s="4" t="str">
        <f>IFERROR(IF(A53&lt;&gt;"",VLOOKUP($A53,calculation!$A$10:$V$510,22),""),"")</f>
        <v/>
      </c>
      <c r="F53" s="4" t="s">
        <v>27</v>
      </c>
      <c r="G53" s="4">
        <f>MAX($G$9:G52)+1</f>
        <v>25</v>
      </c>
      <c r="H53" s="4" t="s">
        <v>34</v>
      </c>
      <c r="I53" s="4" t="s">
        <v>35</v>
      </c>
      <c r="J53" s="4" t="str">
        <f t="shared" si="0"/>
        <v/>
      </c>
      <c r="K53" s="4" t="s">
        <v>39</v>
      </c>
      <c r="L53" s="4">
        <f>Setup!$C$15</f>
        <v>1500</v>
      </c>
      <c r="M53" s="4" t="s">
        <v>36</v>
      </c>
      <c r="N53" s="4" t="str">
        <f t="shared" si="1"/>
        <v/>
      </c>
      <c r="O53" s="4" t="s">
        <v>40</v>
      </c>
      <c r="P53" s="4">
        <f>Setup!$C$13</f>
        <v>1200</v>
      </c>
      <c r="Q53" s="4" t="s">
        <v>37</v>
      </c>
      <c r="R53" s="4" t="str">
        <f t="shared" si="2"/>
        <v/>
      </c>
      <c r="S53" s="4" t="s">
        <v>41</v>
      </c>
      <c r="T53" s="4">
        <f>Setup!$C$14</f>
        <v>1200</v>
      </c>
      <c r="U53" s="4" t="str">
        <f t="shared" si="3"/>
        <v/>
      </c>
      <c r="V53" s="4"/>
    </row>
    <row r="54" spans="1:22" x14ac:dyDescent="0.25">
      <c r="A54" s="4"/>
      <c r="B54" s="4" t="str">
        <f>IFERROR(IF(A54&lt;&gt;"",VLOOKUP($A54,calculation!$A$10:$V$510,12),""),"")</f>
        <v/>
      </c>
      <c r="C54" s="4" t="str">
        <f>IFERROR(IF(A54&lt;&gt;"",VLOOKUP($A54,calculation!$A$10:$V$510,15),""),"")</f>
        <v/>
      </c>
      <c r="D54" s="4" t="str">
        <f>IFERROR(IF(A54&lt;&gt;"",VLOOKUP($A54,calculation!$A$10:$V$510,22),""),"")</f>
        <v/>
      </c>
      <c r="F54" s="4" t="s">
        <v>27</v>
      </c>
      <c r="G54" s="4">
        <f>MAX($G$9:G53)+1</f>
        <v>26</v>
      </c>
      <c r="H54" s="4" t="s">
        <v>34</v>
      </c>
      <c r="I54" s="4" t="s">
        <v>35</v>
      </c>
      <c r="J54" s="4" t="str">
        <f t="shared" si="0"/>
        <v/>
      </c>
      <c r="K54" s="4" t="s">
        <v>39</v>
      </c>
      <c r="L54" s="4">
        <f>Setup!$C$15</f>
        <v>1500</v>
      </c>
      <c r="M54" s="4" t="s">
        <v>36</v>
      </c>
      <c r="N54" s="4" t="str">
        <f t="shared" si="1"/>
        <v/>
      </c>
      <c r="O54" s="4" t="s">
        <v>40</v>
      </c>
      <c r="P54" s="4">
        <f>Setup!$C$13</f>
        <v>1200</v>
      </c>
      <c r="Q54" s="4" t="s">
        <v>37</v>
      </c>
      <c r="R54" s="4" t="str">
        <f t="shared" si="2"/>
        <v/>
      </c>
      <c r="S54" s="4" t="s">
        <v>41</v>
      </c>
      <c r="T54" s="4">
        <f>Setup!$C$14</f>
        <v>1200</v>
      </c>
      <c r="U54" s="4" t="str">
        <f t="shared" si="3"/>
        <v/>
      </c>
      <c r="V54" s="4"/>
    </row>
    <row r="55" spans="1:22" x14ac:dyDescent="0.25">
      <c r="A55" s="4"/>
      <c r="B55" s="4" t="str">
        <f>IFERROR(IF(A55&lt;&gt;"",VLOOKUP($A55,calculation!$A$10:$V$510,12),""),"")</f>
        <v/>
      </c>
      <c r="C55" s="4" t="str">
        <f>IFERROR(IF(A55&lt;&gt;"",VLOOKUP($A55,calculation!$A$10:$V$510,15),""),"")</f>
        <v/>
      </c>
      <c r="D55" s="4" t="str">
        <f>IFERROR(IF(A55&lt;&gt;"",VLOOKUP($A55,calculation!$A$10:$V$510,22),""),"")</f>
        <v/>
      </c>
      <c r="F55" s="4" t="s">
        <v>27</v>
      </c>
      <c r="G55" s="4">
        <f>MAX($G$9:G54)+1</f>
        <v>27</v>
      </c>
      <c r="H55" s="4" t="s">
        <v>34</v>
      </c>
      <c r="I55" s="4" t="s">
        <v>35</v>
      </c>
      <c r="J55" s="4" t="str">
        <f t="shared" si="0"/>
        <v/>
      </c>
      <c r="K55" s="4" t="s">
        <v>39</v>
      </c>
      <c r="L55" s="4">
        <f>Setup!$C$15</f>
        <v>1500</v>
      </c>
      <c r="M55" s="4" t="s">
        <v>36</v>
      </c>
      <c r="N55" s="4" t="str">
        <f t="shared" si="1"/>
        <v/>
      </c>
      <c r="O55" s="4" t="s">
        <v>40</v>
      </c>
      <c r="P55" s="4">
        <f>Setup!$C$13</f>
        <v>1200</v>
      </c>
      <c r="Q55" s="4" t="s">
        <v>37</v>
      </c>
      <c r="R55" s="4" t="str">
        <f t="shared" si="2"/>
        <v/>
      </c>
      <c r="S55" s="4" t="s">
        <v>41</v>
      </c>
      <c r="T55" s="4">
        <f>Setup!$C$14</f>
        <v>1200</v>
      </c>
      <c r="U55" s="4" t="str">
        <f t="shared" si="3"/>
        <v/>
      </c>
      <c r="V55" s="4"/>
    </row>
    <row r="56" spans="1:22" x14ac:dyDescent="0.25">
      <c r="A56" s="4"/>
      <c r="B56" s="4" t="str">
        <f>IFERROR(IF(A56&lt;&gt;"",VLOOKUP($A56,calculation!$A$10:$V$510,12),""),"")</f>
        <v/>
      </c>
      <c r="C56" s="4" t="str">
        <f>IFERROR(IF(A56&lt;&gt;"",VLOOKUP($A56,calculation!$A$10:$V$510,15),""),"")</f>
        <v/>
      </c>
      <c r="D56" s="4" t="str">
        <f>IFERROR(IF(A56&lt;&gt;"",VLOOKUP($A56,calculation!$A$10:$V$510,22),""),"")</f>
        <v/>
      </c>
      <c r="F56" s="4" t="s">
        <v>27</v>
      </c>
      <c r="G56" s="4">
        <f>MAX($G$9:G55)+1</f>
        <v>28</v>
      </c>
      <c r="H56" s="4" t="s">
        <v>34</v>
      </c>
      <c r="I56" s="4" t="s">
        <v>35</v>
      </c>
      <c r="J56" s="4" t="str">
        <f t="shared" si="0"/>
        <v/>
      </c>
      <c r="K56" s="4" t="s">
        <v>39</v>
      </c>
      <c r="L56" s="4">
        <f>Setup!$C$15</f>
        <v>1500</v>
      </c>
      <c r="M56" s="4" t="s">
        <v>36</v>
      </c>
      <c r="N56" s="4" t="str">
        <f t="shared" si="1"/>
        <v/>
      </c>
      <c r="O56" s="4" t="s">
        <v>40</v>
      </c>
      <c r="P56" s="4">
        <f>Setup!$C$13</f>
        <v>1200</v>
      </c>
      <c r="Q56" s="4" t="s">
        <v>37</v>
      </c>
      <c r="R56" s="4" t="str">
        <f t="shared" si="2"/>
        <v/>
      </c>
      <c r="S56" s="4" t="s">
        <v>41</v>
      </c>
      <c r="T56" s="4">
        <f>Setup!$C$14</f>
        <v>1200</v>
      </c>
      <c r="U56" s="4" t="str">
        <f t="shared" si="3"/>
        <v/>
      </c>
      <c r="V56" s="4"/>
    </row>
    <row r="57" spans="1:22" x14ac:dyDescent="0.25">
      <c r="A57" s="4"/>
      <c r="B57" s="4" t="str">
        <f>IFERROR(IF(A57&lt;&gt;"",VLOOKUP($A57,calculation!$A$10:$V$510,12),""),"")</f>
        <v/>
      </c>
      <c r="C57" s="4" t="str">
        <f>IFERROR(IF(A57&lt;&gt;"",VLOOKUP($A57,calculation!$A$10:$V$510,15),""),"")</f>
        <v/>
      </c>
      <c r="D57" s="4" t="str">
        <f>IFERROR(IF(A57&lt;&gt;"",VLOOKUP($A57,calculation!$A$10:$V$510,22),""),"")</f>
        <v/>
      </c>
      <c r="F57" s="4" t="s">
        <v>27</v>
      </c>
      <c r="G57" s="4">
        <f>MAX($G$9:G56)+1</f>
        <v>29</v>
      </c>
      <c r="H57" s="4" t="s">
        <v>34</v>
      </c>
      <c r="I57" s="4" t="s">
        <v>35</v>
      </c>
      <c r="J57" s="4" t="str">
        <f t="shared" si="0"/>
        <v/>
      </c>
      <c r="K57" s="4" t="s">
        <v>39</v>
      </c>
      <c r="L57" s="4">
        <f>Setup!$C$15</f>
        <v>1500</v>
      </c>
      <c r="M57" s="4" t="s">
        <v>36</v>
      </c>
      <c r="N57" s="4" t="str">
        <f t="shared" si="1"/>
        <v/>
      </c>
      <c r="O57" s="4" t="s">
        <v>40</v>
      </c>
      <c r="P57" s="4">
        <f>Setup!$C$13</f>
        <v>1200</v>
      </c>
      <c r="Q57" s="4" t="s">
        <v>37</v>
      </c>
      <c r="R57" s="4" t="str">
        <f t="shared" si="2"/>
        <v/>
      </c>
      <c r="S57" s="4" t="s">
        <v>41</v>
      </c>
      <c r="T57" s="4">
        <f>Setup!$C$14</f>
        <v>1200</v>
      </c>
      <c r="U57" s="4" t="str">
        <f t="shared" si="3"/>
        <v/>
      </c>
      <c r="V57" s="4"/>
    </row>
    <row r="58" spans="1:22" x14ac:dyDescent="0.25">
      <c r="A58" s="4"/>
      <c r="B58" s="4" t="str">
        <f>IFERROR(IF(A58&lt;&gt;"",VLOOKUP($A58,calculation!$A$10:$V$510,12),""),"")</f>
        <v/>
      </c>
      <c r="C58" s="4" t="str">
        <f>IFERROR(IF(A58&lt;&gt;"",VLOOKUP($A58,calculation!$A$10:$V$510,15),""),"")</f>
        <v/>
      </c>
      <c r="D58" s="4" t="str">
        <f>IFERROR(IF(A58&lt;&gt;"",VLOOKUP($A58,calculation!$A$10:$V$510,22),""),"")</f>
        <v/>
      </c>
      <c r="F58" s="4" t="s">
        <v>27</v>
      </c>
      <c r="G58" s="4">
        <f>MAX($G$9:G57)+1</f>
        <v>30</v>
      </c>
      <c r="H58" s="4" t="s">
        <v>34</v>
      </c>
      <c r="I58" s="4" t="s">
        <v>35</v>
      </c>
      <c r="J58" s="4" t="str">
        <f t="shared" si="0"/>
        <v/>
      </c>
      <c r="K58" s="4" t="s">
        <v>39</v>
      </c>
      <c r="L58" s="4">
        <f>Setup!$C$15</f>
        <v>1500</v>
      </c>
      <c r="M58" s="4" t="s">
        <v>36</v>
      </c>
      <c r="N58" s="4" t="str">
        <f t="shared" si="1"/>
        <v/>
      </c>
      <c r="O58" s="4" t="s">
        <v>40</v>
      </c>
      <c r="P58" s="4">
        <f>Setup!$C$13</f>
        <v>1200</v>
      </c>
      <c r="Q58" s="4" t="s">
        <v>37</v>
      </c>
      <c r="R58" s="4" t="str">
        <f t="shared" si="2"/>
        <v/>
      </c>
      <c r="S58" s="4" t="s">
        <v>41</v>
      </c>
      <c r="T58" s="4">
        <f>Setup!$C$14</f>
        <v>1200</v>
      </c>
      <c r="U58" s="4" t="str">
        <f t="shared" si="3"/>
        <v/>
      </c>
      <c r="V58" s="4"/>
    </row>
    <row r="59" spans="1:22" x14ac:dyDescent="0.25">
      <c r="A59" s="4"/>
      <c r="B59" s="4" t="str">
        <f>IFERROR(IF(A59&lt;&gt;"",VLOOKUP($A59,calculation!$A$10:$V$510,12),""),"")</f>
        <v/>
      </c>
      <c r="C59" s="4" t="str">
        <f>IFERROR(IF(A59&lt;&gt;"",VLOOKUP($A59,calculation!$A$10:$V$510,15),""),"")</f>
        <v/>
      </c>
      <c r="D59" s="4" t="str">
        <f>IFERROR(IF(A59&lt;&gt;"",VLOOKUP($A59,calculation!$A$10:$V$510,22),""),"")</f>
        <v/>
      </c>
      <c r="F59" s="4" t="s">
        <v>27</v>
      </c>
      <c r="G59" s="4">
        <f>MAX($G$9:G58)+1</f>
        <v>31</v>
      </c>
      <c r="H59" s="4" t="s">
        <v>34</v>
      </c>
      <c r="I59" s="4" t="s">
        <v>35</v>
      </c>
      <c r="J59" s="4" t="str">
        <f t="shared" si="0"/>
        <v/>
      </c>
      <c r="K59" s="4" t="s">
        <v>39</v>
      </c>
      <c r="L59" s="4">
        <f>Setup!$C$15</f>
        <v>1500</v>
      </c>
      <c r="M59" s="4" t="s">
        <v>36</v>
      </c>
      <c r="N59" s="4" t="str">
        <f t="shared" si="1"/>
        <v/>
      </c>
      <c r="O59" s="4" t="s">
        <v>40</v>
      </c>
      <c r="P59" s="4">
        <f>Setup!$C$13</f>
        <v>1200</v>
      </c>
      <c r="Q59" s="4" t="s">
        <v>37</v>
      </c>
      <c r="R59" s="4" t="str">
        <f t="shared" si="2"/>
        <v/>
      </c>
      <c r="S59" s="4" t="s">
        <v>41</v>
      </c>
      <c r="T59" s="4">
        <f>Setup!$C$14</f>
        <v>1200</v>
      </c>
      <c r="U59" s="4" t="str">
        <f t="shared" si="3"/>
        <v/>
      </c>
      <c r="V59" s="4"/>
    </row>
    <row r="60" spans="1:22" x14ac:dyDescent="0.25">
      <c r="A60" s="4"/>
      <c r="B60" s="4" t="str">
        <f>IFERROR(IF(A60&lt;&gt;"",VLOOKUP($A60,calculation!$A$10:$V$510,12),""),"")</f>
        <v/>
      </c>
      <c r="C60" s="4" t="str">
        <f>IFERROR(IF(A60&lt;&gt;"",VLOOKUP($A60,calculation!$A$10:$V$510,15),""),"")</f>
        <v/>
      </c>
      <c r="D60" s="4" t="str">
        <f>IFERROR(IF(A60&lt;&gt;"",VLOOKUP($A60,calculation!$A$10:$V$510,22),""),"")</f>
        <v/>
      </c>
      <c r="F60" s="4" t="s">
        <v>27</v>
      </c>
      <c r="G60" s="4">
        <f>MAX($G$9:G59)+1</f>
        <v>32</v>
      </c>
      <c r="H60" s="4" t="s">
        <v>34</v>
      </c>
      <c r="I60" s="4" t="s">
        <v>35</v>
      </c>
      <c r="J60" s="4" t="str">
        <f t="shared" si="0"/>
        <v/>
      </c>
      <c r="K60" s="4" t="s">
        <v>39</v>
      </c>
      <c r="L60" s="4">
        <f>Setup!$C$15</f>
        <v>1500</v>
      </c>
      <c r="M60" s="4" t="s">
        <v>36</v>
      </c>
      <c r="N60" s="4" t="str">
        <f t="shared" si="1"/>
        <v/>
      </c>
      <c r="O60" s="4" t="s">
        <v>40</v>
      </c>
      <c r="P60" s="4">
        <f>Setup!$C$13</f>
        <v>1200</v>
      </c>
      <c r="Q60" s="4" t="s">
        <v>37</v>
      </c>
      <c r="R60" s="4" t="str">
        <f t="shared" si="2"/>
        <v/>
      </c>
      <c r="S60" s="4" t="s">
        <v>41</v>
      </c>
      <c r="T60" s="4">
        <f>Setup!$C$14</f>
        <v>1200</v>
      </c>
      <c r="U60" s="4" t="str">
        <f t="shared" si="3"/>
        <v/>
      </c>
      <c r="V60" s="4"/>
    </row>
    <row r="61" spans="1:22" x14ac:dyDescent="0.25">
      <c r="A61" s="4"/>
      <c r="B61" s="4" t="str">
        <f>IFERROR(IF(A61&lt;&gt;"",VLOOKUP($A61,calculation!$A$10:$V$510,12),""),"")</f>
        <v/>
      </c>
      <c r="C61" s="4" t="str">
        <f>IFERROR(IF(A61&lt;&gt;"",VLOOKUP($A61,calculation!$A$10:$V$510,15),""),"")</f>
        <v/>
      </c>
      <c r="D61" s="4" t="str">
        <f>IFERROR(IF(A61&lt;&gt;"",VLOOKUP($A61,calculation!$A$10:$V$510,22),""),"")</f>
        <v/>
      </c>
      <c r="F61" s="4" t="s">
        <v>27</v>
      </c>
      <c r="G61" s="4">
        <f>MAX($G$9:G60)+1</f>
        <v>33</v>
      </c>
      <c r="H61" s="4" t="s">
        <v>34</v>
      </c>
      <c r="I61" s="4" t="s">
        <v>35</v>
      </c>
      <c r="J61" s="4" t="str">
        <f t="shared" si="0"/>
        <v/>
      </c>
      <c r="K61" s="4" t="s">
        <v>39</v>
      </c>
      <c r="L61" s="4">
        <f>Setup!$C$15</f>
        <v>1500</v>
      </c>
      <c r="M61" s="4" t="s">
        <v>36</v>
      </c>
      <c r="N61" s="4" t="str">
        <f t="shared" si="1"/>
        <v/>
      </c>
      <c r="O61" s="4" t="s">
        <v>40</v>
      </c>
      <c r="P61" s="4">
        <f>Setup!$C$13</f>
        <v>1200</v>
      </c>
      <c r="Q61" s="4" t="s">
        <v>37</v>
      </c>
      <c r="R61" s="4" t="str">
        <f t="shared" si="2"/>
        <v/>
      </c>
      <c r="S61" s="4" t="s">
        <v>41</v>
      </c>
      <c r="T61" s="4">
        <f>Setup!$C$14</f>
        <v>1200</v>
      </c>
      <c r="U61" s="4" t="str">
        <f t="shared" si="3"/>
        <v/>
      </c>
      <c r="V61" s="4"/>
    </row>
    <row r="62" spans="1:22" x14ac:dyDescent="0.25">
      <c r="A62" s="4"/>
      <c r="B62" s="4" t="str">
        <f>IFERROR(IF(A62&lt;&gt;"",VLOOKUP($A62,calculation!$A$10:$V$510,12),""),"")</f>
        <v/>
      </c>
      <c r="C62" s="4" t="str">
        <f>IFERROR(IF(A62&lt;&gt;"",VLOOKUP($A62,calculation!$A$10:$V$510,15),""),"")</f>
        <v/>
      </c>
      <c r="D62" s="4" t="str">
        <f>IFERROR(IF(A62&lt;&gt;"",VLOOKUP($A62,calculation!$A$10:$V$510,22),""),"")</f>
        <v/>
      </c>
      <c r="F62" s="4" t="s">
        <v>27</v>
      </c>
      <c r="G62" s="4">
        <f>MAX($G$9:G61)+1</f>
        <v>34</v>
      </c>
      <c r="H62" s="4" t="s">
        <v>34</v>
      </c>
      <c r="I62" s="4" t="s">
        <v>35</v>
      </c>
      <c r="J62" s="4" t="str">
        <f t="shared" si="0"/>
        <v/>
      </c>
      <c r="K62" s="4" t="s">
        <v>39</v>
      </c>
      <c r="L62" s="4">
        <f>Setup!$C$15</f>
        <v>1500</v>
      </c>
      <c r="M62" s="4" t="s">
        <v>36</v>
      </c>
      <c r="N62" s="4" t="str">
        <f t="shared" si="1"/>
        <v/>
      </c>
      <c r="O62" s="4" t="s">
        <v>40</v>
      </c>
      <c r="P62" s="4">
        <f>Setup!$C$13</f>
        <v>1200</v>
      </c>
      <c r="Q62" s="4" t="s">
        <v>37</v>
      </c>
      <c r="R62" s="4" t="str">
        <f t="shared" si="2"/>
        <v/>
      </c>
      <c r="S62" s="4" t="s">
        <v>41</v>
      </c>
      <c r="T62" s="4">
        <f>Setup!$C$14</f>
        <v>1200</v>
      </c>
      <c r="U62" s="4" t="str">
        <f t="shared" si="3"/>
        <v/>
      </c>
      <c r="V62" s="4"/>
    </row>
    <row r="63" spans="1:22" x14ac:dyDescent="0.25">
      <c r="A63" s="4"/>
      <c r="B63" s="4" t="str">
        <f>IFERROR(IF(A63&lt;&gt;"",VLOOKUP($A63,calculation!$A$10:$V$510,12),""),"")</f>
        <v/>
      </c>
      <c r="C63" s="4" t="str">
        <f>IFERROR(IF(A63&lt;&gt;"",VLOOKUP($A63,calculation!$A$10:$V$510,15),""),"")</f>
        <v/>
      </c>
      <c r="D63" s="4" t="str">
        <f>IFERROR(IF(A63&lt;&gt;"",VLOOKUP($A63,calculation!$A$10:$V$510,22),""),"")</f>
        <v/>
      </c>
      <c r="F63" s="4" t="s">
        <v>27</v>
      </c>
      <c r="G63" s="4">
        <f>MAX($G$9:G62)+1</f>
        <v>35</v>
      </c>
      <c r="H63" s="4" t="s">
        <v>34</v>
      </c>
      <c r="I63" s="4" t="s">
        <v>35</v>
      </c>
      <c r="J63" s="4" t="str">
        <f t="shared" si="0"/>
        <v/>
      </c>
      <c r="K63" s="4" t="s">
        <v>39</v>
      </c>
      <c r="L63" s="4">
        <f>Setup!$C$15</f>
        <v>1500</v>
      </c>
      <c r="M63" s="4" t="s">
        <v>36</v>
      </c>
      <c r="N63" s="4" t="str">
        <f t="shared" si="1"/>
        <v/>
      </c>
      <c r="O63" s="4" t="s">
        <v>40</v>
      </c>
      <c r="P63" s="4">
        <f>Setup!$C$13</f>
        <v>1200</v>
      </c>
      <c r="Q63" s="4" t="s">
        <v>37</v>
      </c>
      <c r="R63" s="4" t="str">
        <f t="shared" si="2"/>
        <v/>
      </c>
      <c r="S63" s="4" t="s">
        <v>41</v>
      </c>
      <c r="T63" s="4">
        <f>Setup!$C$14</f>
        <v>1200</v>
      </c>
      <c r="U63" s="4" t="str">
        <f t="shared" si="3"/>
        <v/>
      </c>
      <c r="V63" s="4"/>
    </row>
    <row r="64" spans="1:22" x14ac:dyDescent="0.25">
      <c r="A64" s="4"/>
      <c r="B64" s="4" t="str">
        <f>IFERROR(IF(A64&lt;&gt;"",VLOOKUP($A64,calculation!$A$10:$V$510,12),""),"")</f>
        <v/>
      </c>
      <c r="C64" s="4" t="str">
        <f>IFERROR(IF(A64&lt;&gt;"",VLOOKUP($A64,calculation!$A$10:$V$510,15),""),"")</f>
        <v/>
      </c>
      <c r="D64" s="4" t="str">
        <f>IFERROR(IF(A64&lt;&gt;"",VLOOKUP($A64,calculation!$A$10:$V$510,22),""),"")</f>
        <v/>
      </c>
      <c r="F64" s="4" t="s">
        <v>27</v>
      </c>
      <c r="G64" s="4">
        <f>MAX($G$9:G63)+1</f>
        <v>36</v>
      </c>
      <c r="H64" s="4" t="s">
        <v>34</v>
      </c>
      <c r="I64" s="4" t="s">
        <v>35</v>
      </c>
      <c r="J64" s="4" t="str">
        <f t="shared" si="0"/>
        <v/>
      </c>
      <c r="K64" s="4" t="s">
        <v>39</v>
      </c>
      <c r="L64" s="4">
        <f>Setup!$C$15</f>
        <v>1500</v>
      </c>
      <c r="M64" s="4" t="s">
        <v>36</v>
      </c>
      <c r="N64" s="4" t="str">
        <f t="shared" si="1"/>
        <v/>
      </c>
      <c r="O64" s="4" t="s">
        <v>40</v>
      </c>
      <c r="P64" s="4">
        <f>Setup!$C$13</f>
        <v>1200</v>
      </c>
      <c r="Q64" s="4" t="s">
        <v>37</v>
      </c>
      <c r="R64" s="4" t="str">
        <f t="shared" si="2"/>
        <v/>
      </c>
      <c r="S64" s="4" t="s">
        <v>41</v>
      </c>
      <c r="T64" s="4">
        <f>Setup!$C$14</f>
        <v>1200</v>
      </c>
      <c r="U64" s="4" t="str">
        <f t="shared" si="3"/>
        <v/>
      </c>
      <c r="V64" s="4"/>
    </row>
    <row r="65" spans="1:22" x14ac:dyDescent="0.25">
      <c r="A65" s="4"/>
      <c r="B65" s="4" t="str">
        <f>IFERROR(IF(A65&lt;&gt;"",VLOOKUP($A65,calculation!$A$10:$V$510,12),""),"")</f>
        <v/>
      </c>
      <c r="C65" s="4" t="str">
        <f>IFERROR(IF(A65&lt;&gt;"",VLOOKUP($A65,calculation!$A$10:$V$510,15),""),"")</f>
        <v/>
      </c>
      <c r="D65" s="4" t="str">
        <f>IFERROR(IF(A65&lt;&gt;"",VLOOKUP($A65,calculation!$A$10:$V$510,22),""),"")</f>
        <v/>
      </c>
      <c r="F65" s="4" t="s">
        <v>27</v>
      </c>
      <c r="G65" s="4">
        <f>MAX($G$9:G64)+1</f>
        <v>37</v>
      </c>
      <c r="H65" s="4" t="s">
        <v>34</v>
      </c>
      <c r="I65" s="4" t="s">
        <v>35</v>
      </c>
      <c r="J65" s="4" t="str">
        <f t="shared" si="0"/>
        <v/>
      </c>
      <c r="K65" s="4" t="s">
        <v>39</v>
      </c>
      <c r="L65" s="4">
        <f>Setup!$C$15</f>
        <v>1500</v>
      </c>
      <c r="M65" s="4" t="s">
        <v>36</v>
      </c>
      <c r="N65" s="4" t="str">
        <f t="shared" si="1"/>
        <v/>
      </c>
      <c r="O65" s="4" t="s">
        <v>40</v>
      </c>
      <c r="P65" s="4">
        <f>Setup!$C$13</f>
        <v>1200</v>
      </c>
      <c r="Q65" s="4" t="s">
        <v>37</v>
      </c>
      <c r="R65" s="4" t="str">
        <f t="shared" si="2"/>
        <v/>
      </c>
      <c r="S65" s="4" t="s">
        <v>41</v>
      </c>
      <c r="T65" s="4">
        <f>Setup!$C$14</f>
        <v>1200</v>
      </c>
      <c r="U65" s="4" t="str">
        <f t="shared" si="3"/>
        <v/>
      </c>
      <c r="V65" s="4"/>
    </row>
    <row r="66" spans="1:22" x14ac:dyDescent="0.25">
      <c r="A66" s="4"/>
      <c r="B66" s="4" t="str">
        <f>IFERROR(IF(A66&lt;&gt;"",VLOOKUP($A66,calculation!$A$10:$V$510,12),""),"")</f>
        <v/>
      </c>
      <c r="C66" s="4" t="str">
        <f>IFERROR(IF(A66&lt;&gt;"",VLOOKUP($A66,calculation!$A$10:$V$510,15),""),"")</f>
        <v/>
      </c>
      <c r="D66" s="4" t="str">
        <f>IFERROR(IF(A66&lt;&gt;"",VLOOKUP($A66,calculation!$A$10:$V$510,22),""),"")</f>
        <v/>
      </c>
      <c r="F66" s="4" t="s">
        <v>27</v>
      </c>
      <c r="G66" s="4">
        <f>MAX($G$9:G65)+1</f>
        <v>38</v>
      </c>
      <c r="H66" s="4" t="s">
        <v>34</v>
      </c>
      <c r="I66" s="4" t="s">
        <v>35</v>
      </c>
      <c r="J66" s="4" t="str">
        <f t="shared" si="0"/>
        <v/>
      </c>
      <c r="K66" s="4" t="s">
        <v>39</v>
      </c>
      <c r="L66" s="4">
        <f>Setup!$C$15</f>
        <v>1500</v>
      </c>
      <c r="M66" s="4" t="s">
        <v>36</v>
      </c>
      <c r="N66" s="4" t="str">
        <f t="shared" si="1"/>
        <v/>
      </c>
      <c r="O66" s="4" t="s">
        <v>40</v>
      </c>
      <c r="P66" s="4">
        <f>Setup!$C$13</f>
        <v>1200</v>
      </c>
      <c r="Q66" s="4" t="s">
        <v>37</v>
      </c>
      <c r="R66" s="4" t="str">
        <f t="shared" si="2"/>
        <v/>
      </c>
      <c r="S66" s="4" t="s">
        <v>41</v>
      </c>
      <c r="T66" s="4">
        <f>Setup!$C$14</f>
        <v>1200</v>
      </c>
      <c r="U66" s="4" t="str">
        <f t="shared" si="3"/>
        <v/>
      </c>
      <c r="V66" s="4"/>
    </row>
    <row r="67" spans="1:22" x14ac:dyDescent="0.25">
      <c r="A67" s="4"/>
      <c r="B67" s="4" t="str">
        <f>IFERROR(IF(A67&lt;&gt;"",VLOOKUP($A67,calculation!$A$10:$V$510,12),""),"")</f>
        <v/>
      </c>
      <c r="C67" s="4" t="str">
        <f>IFERROR(IF(A67&lt;&gt;"",VLOOKUP($A67,calculation!$A$10:$V$510,15),""),"")</f>
        <v/>
      </c>
      <c r="D67" s="4" t="str">
        <f>IFERROR(IF(A67&lt;&gt;"",VLOOKUP($A67,calculation!$A$10:$V$510,22),""),"")</f>
        <v/>
      </c>
      <c r="F67" s="4" t="s">
        <v>27</v>
      </c>
      <c r="G67" s="4">
        <f>MAX($G$9:G66)+1</f>
        <v>39</v>
      </c>
      <c r="H67" s="4" t="s">
        <v>34</v>
      </c>
      <c r="I67" s="4" t="s">
        <v>35</v>
      </c>
      <c r="J67" s="4" t="str">
        <f t="shared" si="0"/>
        <v/>
      </c>
      <c r="K67" s="4" t="s">
        <v>39</v>
      </c>
      <c r="L67" s="4">
        <f>Setup!$C$15</f>
        <v>1500</v>
      </c>
      <c r="M67" s="4" t="s">
        <v>36</v>
      </c>
      <c r="N67" s="4" t="str">
        <f t="shared" si="1"/>
        <v/>
      </c>
      <c r="O67" s="4" t="s">
        <v>40</v>
      </c>
      <c r="P67" s="4">
        <f>Setup!$C$13</f>
        <v>1200</v>
      </c>
      <c r="Q67" s="4" t="s">
        <v>37</v>
      </c>
      <c r="R67" s="4" t="str">
        <f t="shared" si="2"/>
        <v/>
      </c>
      <c r="S67" s="4" t="s">
        <v>41</v>
      </c>
      <c r="T67" s="4">
        <f>Setup!$C$14</f>
        <v>1200</v>
      </c>
      <c r="U67" s="4" t="str">
        <f t="shared" si="3"/>
        <v/>
      </c>
      <c r="V67" s="4"/>
    </row>
    <row r="68" spans="1:22" x14ac:dyDescent="0.25">
      <c r="A68" s="4"/>
      <c r="B68" s="4" t="str">
        <f>IFERROR(IF(A68&lt;&gt;"",VLOOKUP($A68,calculation!$A$10:$V$510,12),""),"")</f>
        <v/>
      </c>
      <c r="C68" s="4" t="str">
        <f>IFERROR(IF(A68&lt;&gt;"",VLOOKUP($A68,calculation!$A$10:$V$510,15),""),"")</f>
        <v/>
      </c>
      <c r="D68" s="4" t="str">
        <f>IFERROR(IF(A68&lt;&gt;"",VLOOKUP($A68,calculation!$A$10:$V$510,22),""),"")</f>
        <v/>
      </c>
      <c r="F68" s="4" t="s">
        <v>27</v>
      </c>
      <c r="G68" s="4">
        <f>MAX($G$9:G67)+1</f>
        <v>40</v>
      </c>
      <c r="H68" s="4" t="s">
        <v>34</v>
      </c>
      <c r="I68" s="4" t="s">
        <v>35</v>
      </c>
      <c r="J68" s="4" t="str">
        <f t="shared" si="0"/>
        <v/>
      </c>
      <c r="K68" s="4" t="s">
        <v>39</v>
      </c>
      <c r="L68" s="4">
        <f>Setup!$C$15</f>
        <v>1500</v>
      </c>
      <c r="M68" s="4" t="s">
        <v>36</v>
      </c>
      <c r="N68" s="4" t="str">
        <f t="shared" si="1"/>
        <v/>
      </c>
      <c r="O68" s="4" t="s">
        <v>40</v>
      </c>
      <c r="P68" s="4">
        <f>Setup!$C$13</f>
        <v>1200</v>
      </c>
      <c r="Q68" s="4" t="s">
        <v>37</v>
      </c>
      <c r="R68" s="4" t="str">
        <f t="shared" si="2"/>
        <v/>
      </c>
      <c r="S68" s="4" t="s">
        <v>41</v>
      </c>
      <c r="T68" s="4">
        <f>Setup!$C$14</f>
        <v>1200</v>
      </c>
      <c r="U68" s="4" t="str">
        <f t="shared" si="3"/>
        <v/>
      </c>
      <c r="V68" s="4"/>
    </row>
    <row r="69" spans="1:22" x14ac:dyDescent="0.25">
      <c r="A69" s="4"/>
      <c r="B69" s="4" t="str">
        <f>IFERROR(IF(A69&lt;&gt;"",VLOOKUP($A69,calculation!$A$10:$V$510,12),""),"")</f>
        <v/>
      </c>
      <c r="C69" s="4" t="str">
        <f>IFERROR(IF(A69&lt;&gt;"",VLOOKUP($A69,calculation!$A$10:$V$510,15),""),"")</f>
        <v/>
      </c>
      <c r="D69" s="4" t="str">
        <f>IFERROR(IF(A69&lt;&gt;"",VLOOKUP($A69,calculation!$A$10:$V$510,22),""),"")</f>
        <v/>
      </c>
      <c r="F69" s="4" t="s">
        <v>27</v>
      </c>
      <c r="G69" s="4">
        <f>MAX($G$9:G68)+1</f>
        <v>41</v>
      </c>
      <c r="H69" s="4" t="s">
        <v>34</v>
      </c>
      <c r="I69" s="4" t="s">
        <v>35</v>
      </c>
      <c r="J69" s="4" t="str">
        <f t="shared" si="0"/>
        <v/>
      </c>
      <c r="K69" s="4" t="s">
        <v>39</v>
      </c>
      <c r="L69" s="4">
        <f>Setup!$C$15</f>
        <v>1500</v>
      </c>
      <c r="M69" s="4" t="s">
        <v>36</v>
      </c>
      <c r="N69" s="4" t="str">
        <f t="shared" si="1"/>
        <v/>
      </c>
      <c r="O69" s="4" t="s">
        <v>40</v>
      </c>
      <c r="P69" s="4">
        <f>Setup!$C$13</f>
        <v>1200</v>
      </c>
      <c r="Q69" s="4" t="s">
        <v>37</v>
      </c>
      <c r="R69" s="4" t="str">
        <f t="shared" si="2"/>
        <v/>
      </c>
      <c r="S69" s="4" t="s">
        <v>41</v>
      </c>
      <c r="T69" s="4">
        <f>Setup!$C$14</f>
        <v>1200</v>
      </c>
      <c r="U69" s="4" t="str">
        <f t="shared" si="3"/>
        <v/>
      </c>
      <c r="V69" s="4"/>
    </row>
    <row r="70" spans="1:22" x14ac:dyDescent="0.25">
      <c r="A70" s="4"/>
      <c r="B70" s="4" t="str">
        <f>IFERROR(IF(A70&lt;&gt;"",VLOOKUP($A70,calculation!$A$10:$V$510,12),""),"")</f>
        <v/>
      </c>
      <c r="C70" s="4" t="str">
        <f>IFERROR(IF(A70&lt;&gt;"",VLOOKUP($A70,calculation!$A$10:$V$510,15),""),"")</f>
        <v/>
      </c>
      <c r="D70" s="4" t="str">
        <f>IFERROR(IF(A70&lt;&gt;"",VLOOKUP($A70,calculation!$A$10:$V$510,22),""),"")</f>
        <v/>
      </c>
      <c r="F70" s="4" t="s">
        <v>27</v>
      </c>
      <c r="G70" s="4">
        <f>MAX($G$9:G69)+1</f>
        <v>42</v>
      </c>
      <c r="H70" s="4" t="s">
        <v>34</v>
      </c>
      <c r="I70" s="4" t="s">
        <v>35</v>
      </c>
      <c r="J70" s="4" t="str">
        <f t="shared" si="0"/>
        <v/>
      </c>
      <c r="K70" s="4" t="s">
        <v>39</v>
      </c>
      <c r="L70" s="4">
        <f>Setup!$C$15</f>
        <v>1500</v>
      </c>
      <c r="M70" s="4" t="s">
        <v>36</v>
      </c>
      <c r="N70" s="4" t="str">
        <f t="shared" si="1"/>
        <v/>
      </c>
      <c r="O70" s="4" t="s">
        <v>40</v>
      </c>
      <c r="P70" s="4">
        <f>Setup!$C$13</f>
        <v>1200</v>
      </c>
      <c r="Q70" s="4" t="s">
        <v>37</v>
      </c>
      <c r="R70" s="4" t="str">
        <f t="shared" si="2"/>
        <v/>
      </c>
      <c r="S70" s="4" t="s">
        <v>41</v>
      </c>
      <c r="T70" s="4">
        <f>Setup!$C$14</f>
        <v>1200</v>
      </c>
      <c r="U70" s="4" t="str">
        <f t="shared" si="3"/>
        <v/>
      </c>
      <c r="V70" s="4"/>
    </row>
    <row r="71" spans="1:22" x14ac:dyDescent="0.25">
      <c r="A71" s="4"/>
      <c r="B71" s="4" t="str">
        <f>IFERROR(IF(A71&lt;&gt;"",VLOOKUP($A71,calculation!$A$10:$V$510,12),""),"")</f>
        <v/>
      </c>
      <c r="C71" s="4" t="str">
        <f>IFERROR(IF(A71&lt;&gt;"",VLOOKUP($A71,calculation!$A$10:$V$510,15),""),"")</f>
        <v/>
      </c>
      <c r="D71" s="4" t="str">
        <f>IFERROR(IF(A71&lt;&gt;"",VLOOKUP($A71,calculation!$A$10:$V$510,22),""),"")</f>
        <v/>
      </c>
      <c r="F71" s="4" t="s">
        <v>27</v>
      </c>
      <c r="G71" s="4">
        <f>MAX($G$9:G70)+1</f>
        <v>43</v>
      </c>
      <c r="H71" s="4" t="s">
        <v>34</v>
      </c>
      <c r="I71" s="4" t="s">
        <v>35</v>
      </c>
      <c r="J71" s="4" t="str">
        <f t="shared" si="0"/>
        <v/>
      </c>
      <c r="K71" s="4" t="s">
        <v>39</v>
      </c>
      <c r="L71" s="4">
        <f>Setup!$C$15</f>
        <v>1500</v>
      </c>
      <c r="M71" s="4" t="s">
        <v>36</v>
      </c>
      <c r="N71" s="4" t="str">
        <f t="shared" si="1"/>
        <v/>
      </c>
      <c r="O71" s="4" t="s">
        <v>40</v>
      </c>
      <c r="P71" s="4">
        <f>Setup!$C$13</f>
        <v>1200</v>
      </c>
      <c r="Q71" s="4" t="s">
        <v>37</v>
      </c>
      <c r="R71" s="4" t="str">
        <f t="shared" si="2"/>
        <v/>
      </c>
      <c r="S71" s="4" t="s">
        <v>41</v>
      </c>
      <c r="T71" s="4">
        <f>Setup!$C$14</f>
        <v>1200</v>
      </c>
      <c r="U71" s="4" t="str">
        <f t="shared" si="3"/>
        <v/>
      </c>
      <c r="V71" s="4"/>
    </row>
    <row r="72" spans="1:22" x14ac:dyDescent="0.25">
      <c r="A72" s="4"/>
      <c r="B72" s="4" t="str">
        <f>IFERROR(IF(A72&lt;&gt;"",VLOOKUP($A72,calculation!$A$10:$V$510,12),""),"")</f>
        <v/>
      </c>
      <c r="C72" s="4" t="str">
        <f>IFERROR(IF(A72&lt;&gt;"",VLOOKUP($A72,calculation!$A$10:$V$510,15),""),"")</f>
        <v/>
      </c>
      <c r="D72" s="4" t="str">
        <f>IFERROR(IF(A72&lt;&gt;"",VLOOKUP($A72,calculation!$A$10:$V$510,22),""),"")</f>
        <v/>
      </c>
      <c r="F72" s="4" t="s">
        <v>27</v>
      </c>
      <c r="G72" s="4">
        <f>MAX($G$9:G71)+1</f>
        <v>44</v>
      </c>
      <c r="H72" s="4" t="s">
        <v>34</v>
      </c>
      <c r="I72" s="4" t="s">
        <v>35</v>
      </c>
      <c r="J72" s="4" t="str">
        <f t="shared" si="0"/>
        <v/>
      </c>
      <c r="K72" s="4" t="s">
        <v>39</v>
      </c>
      <c r="L72" s="4">
        <f>Setup!$C$15</f>
        <v>1500</v>
      </c>
      <c r="M72" s="4" t="s">
        <v>36</v>
      </c>
      <c r="N72" s="4" t="str">
        <f t="shared" si="1"/>
        <v/>
      </c>
      <c r="O72" s="4" t="s">
        <v>40</v>
      </c>
      <c r="P72" s="4">
        <f>Setup!$C$13</f>
        <v>1200</v>
      </c>
      <c r="Q72" s="4" t="s">
        <v>37</v>
      </c>
      <c r="R72" s="4" t="str">
        <f t="shared" si="2"/>
        <v/>
      </c>
      <c r="S72" s="4" t="s">
        <v>41</v>
      </c>
      <c r="T72" s="4">
        <f>Setup!$C$14</f>
        <v>1200</v>
      </c>
      <c r="U72" s="4" t="str">
        <f t="shared" si="3"/>
        <v/>
      </c>
      <c r="V72" s="4"/>
    </row>
    <row r="73" spans="1:22" x14ac:dyDescent="0.25">
      <c r="A73" s="4"/>
      <c r="B73" s="4" t="str">
        <f>IFERROR(IF(A73&lt;&gt;"",VLOOKUP($A73,calculation!$A$10:$V$510,12),""),"")</f>
        <v/>
      </c>
      <c r="C73" s="4" t="str">
        <f>IFERROR(IF(A73&lt;&gt;"",VLOOKUP($A73,calculation!$A$10:$V$510,15),""),"")</f>
        <v/>
      </c>
      <c r="D73" s="4" t="str">
        <f>IFERROR(IF(A73&lt;&gt;"",VLOOKUP($A73,calculation!$A$10:$V$510,22),""),"")</f>
        <v/>
      </c>
      <c r="F73" s="4" t="s">
        <v>27</v>
      </c>
      <c r="G73" s="4">
        <f>MAX($G$9:G72)+1</f>
        <v>45</v>
      </c>
      <c r="H73" s="4" t="s">
        <v>34</v>
      </c>
      <c r="I73" s="4" t="s">
        <v>35</v>
      </c>
      <c r="J73" s="4" t="str">
        <f t="shared" si="0"/>
        <v/>
      </c>
      <c r="K73" s="4" t="s">
        <v>39</v>
      </c>
      <c r="L73" s="4">
        <f>Setup!$C$15</f>
        <v>1500</v>
      </c>
      <c r="M73" s="4" t="s">
        <v>36</v>
      </c>
      <c r="N73" s="4" t="str">
        <f t="shared" si="1"/>
        <v/>
      </c>
      <c r="O73" s="4" t="s">
        <v>40</v>
      </c>
      <c r="P73" s="4">
        <f>Setup!$C$13</f>
        <v>1200</v>
      </c>
      <c r="Q73" s="4" t="s">
        <v>37</v>
      </c>
      <c r="R73" s="4" t="str">
        <f t="shared" si="2"/>
        <v/>
      </c>
      <c r="S73" s="4" t="s">
        <v>41</v>
      </c>
      <c r="T73" s="4">
        <f>Setup!$C$14</f>
        <v>1200</v>
      </c>
      <c r="U73" s="4" t="str">
        <f t="shared" si="3"/>
        <v/>
      </c>
      <c r="V73" s="4"/>
    </row>
    <row r="74" spans="1:22" x14ac:dyDescent="0.25">
      <c r="A74" s="4"/>
      <c r="B74" s="4" t="str">
        <f>IFERROR(IF(A74&lt;&gt;"",VLOOKUP($A74,calculation!$A$10:$V$510,12),""),"")</f>
        <v/>
      </c>
      <c r="C74" s="4" t="str">
        <f>IFERROR(IF(A74&lt;&gt;"",VLOOKUP($A74,calculation!$A$10:$V$510,15),""),"")</f>
        <v/>
      </c>
      <c r="D74" s="4" t="str">
        <f>IFERROR(IF(A74&lt;&gt;"",VLOOKUP($A74,calculation!$A$10:$V$510,22),""),"")</f>
        <v/>
      </c>
      <c r="F74" s="4" t="s">
        <v>27</v>
      </c>
      <c r="G74" s="4">
        <f>MAX($G$9:G73)+1</f>
        <v>46</v>
      </c>
      <c r="H74" s="4" t="s">
        <v>34</v>
      </c>
      <c r="I74" s="4" t="s">
        <v>35</v>
      </c>
      <c r="J74" s="4" t="str">
        <f t="shared" si="0"/>
        <v/>
      </c>
      <c r="K74" s="4" t="s">
        <v>39</v>
      </c>
      <c r="L74" s="4">
        <f>Setup!$C$15</f>
        <v>1500</v>
      </c>
      <c r="M74" s="4" t="s">
        <v>36</v>
      </c>
      <c r="N74" s="4" t="str">
        <f t="shared" si="1"/>
        <v/>
      </c>
      <c r="O74" s="4" t="s">
        <v>40</v>
      </c>
      <c r="P74" s="4">
        <f>Setup!$C$13</f>
        <v>1200</v>
      </c>
      <c r="Q74" s="4" t="s">
        <v>37</v>
      </c>
      <c r="R74" s="4" t="str">
        <f t="shared" si="2"/>
        <v/>
      </c>
      <c r="S74" s="4" t="s">
        <v>41</v>
      </c>
      <c r="T74" s="4">
        <f>Setup!$C$14</f>
        <v>1200</v>
      </c>
      <c r="U74" s="4" t="str">
        <f t="shared" si="3"/>
        <v/>
      </c>
      <c r="V74" s="4"/>
    </row>
    <row r="75" spans="1:22" x14ac:dyDescent="0.25">
      <c r="A75" s="4"/>
      <c r="B75" s="4" t="str">
        <f>IFERROR(IF(A75&lt;&gt;"",VLOOKUP($A75,calculation!$A$10:$V$510,12),""),"")</f>
        <v/>
      </c>
      <c r="C75" s="4" t="str">
        <f>IFERROR(IF(A75&lt;&gt;"",VLOOKUP($A75,calculation!$A$10:$V$510,15),""),"")</f>
        <v/>
      </c>
      <c r="D75" s="4" t="str">
        <f>IFERROR(IF(A75&lt;&gt;"",VLOOKUP($A75,calculation!$A$10:$V$510,22),""),"")</f>
        <v/>
      </c>
      <c r="F75" s="4" t="s">
        <v>27</v>
      </c>
      <c r="G75" s="4">
        <f>MAX($G$9:G74)+1</f>
        <v>47</v>
      </c>
      <c r="H75" s="4" t="s">
        <v>34</v>
      </c>
      <c r="I75" s="4" t="s">
        <v>35</v>
      </c>
      <c r="J75" s="4" t="str">
        <f t="shared" si="0"/>
        <v/>
      </c>
      <c r="K75" s="4" t="s">
        <v>39</v>
      </c>
      <c r="L75" s="4">
        <f>Setup!$C$15</f>
        <v>1500</v>
      </c>
      <c r="M75" s="4" t="s">
        <v>36</v>
      </c>
      <c r="N75" s="4" t="str">
        <f t="shared" si="1"/>
        <v/>
      </c>
      <c r="O75" s="4" t="s">
        <v>40</v>
      </c>
      <c r="P75" s="4">
        <f>Setup!$C$13</f>
        <v>1200</v>
      </c>
      <c r="Q75" s="4" t="s">
        <v>37</v>
      </c>
      <c r="R75" s="4" t="str">
        <f t="shared" si="2"/>
        <v/>
      </c>
      <c r="S75" s="4" t="s">
        <v>41</v>
      </c>
      <c r="T75" s="4">
        <f>Setup!$C$14</f>
        <v>1200</v>
      </c>
      <c r="U75" s="4" t="str">
        <f t="shared" si="3"/>
        <v/>
      </c>
      <c r="V75" s="4"/>
    </row>
    <row r="76" spans="1:22" x14ac:dyDescent="0.25">
      <c r="A76" s="4"/>
      <c r="B76" s="4" t="str">
        <f>IFERROR(IF(A76&lt;&gt;"",VLOOKUP($A76,calculation!$A$10:$V$510,12),""),"")</f>
        <v/>
      </c>
      <c r="C76" s="4" t="str">
        <f>IFERROR(IF(A76&lt;&gt;"",VLOOKUP($A76,calculation!$A$10:$V$510,15),""),"")</f>
        <v/>
      </c>
      <c r="D76" s="4" t="str">
        <f>IFERROR(IF(A76&lt;&gt;"",VLOOKUP($A76,calculation!$A$10:$V$510,22),""),"")</f>
        <v/>
      </c>
      <c r="F76" s="4" t="s">
        <v>27</v>
      </c>
      <c r="G76" s="4">
        <f>MAX($G$9:G75)+1</f>
        <v>48</v>
      </c>
      <c r="H76" s="4" t="s">
        <v>34</v>
      </c>
      <c r="I76" s="4" t="s">
        <v>35</v>
      </c>
      <c r="J76" s="4" t="str">
        <f t="shared" si="0"/>
        <v/>
      </c>
      <c r="K76" s="4" t="s">
        <v>39</v>
      </c>
      <c r="L76" s="4">
        <f>Setup!$C$15</f>
        <v>1500</v>
      </c>
      <c r="M76" s="4" t="s">
        <v>36</v>
      </c>
      <c r="N76" s="4" t="str">
        <f t="shared" si="1"/>
        <v/>
      </c>
      <c r="O76" s="4" t="s">
        <v>40</v>
      </c>
      <c r="P76" s="4">
        <f>Setup!$C$13</f>
        <v>1200</v>
      </c>
      <c r="Q76" s="4" t="s">
        <v>37</v>
      </c>
      <c r="R76" s="4" t="str">
        <f t="shared" si="2"/>
        <v/>
      </c>
      <c r="S76" s="4" t="s">
        <v>41</v>
      </c>
      <c r="T76" s="4">
        <f>Setup!$C$14</f>
        <v>1200</v>
      </c>
      <c r="U76" s="4" t="str">
        <f t="shared" si="3"/>
        <v/>
      </c>
      <c r="V76" s="4"/>
    </row>
    <row r="77" spans="1:22" x14ac:dyDescent="0.25">
      <c r="A77" s="4"/>
      <c r="B77" s="4" t="str">
        <f>IFERROR(IF(A77&lt;&gt;"",VLOOKUP($A77,calculation!$A$10:$V$510,12),""),"")</f>
        <v/>
      </c>
      <c r="C77" s="4" t="str">
        <f>IFERROR(IF(A77&lt;&gt;"",VLOOKUP($A77,calculation!$A$10:$V$510,15),""),"")</f>
        <v/>
      </c>
      <c r="D77" s="4" t="str">
        <f>IFERROR(IF(A77&lt;&gt;"",VLOOKUP($A77,calculation!$A$10:$V$510,22),""),"")</f>
        <v/>
      </c>
      <c r="F77" s="4" t="s">
        <v>27</v>
      </c>
      <c r="G77" s="4">
        <f>MAX($G$9:G76)+1</f>
        <v>49</v>
      </c>
      <c r="H77" s="4" t="s">
        <v>34</v>
      </c>
      <c r="I77" s="4" t="s">
        <v>35</v>
      </c>
      <c r="J77" s="4" t="str">
        <f t="shared" si="0"/>
        <v/>
      </c>
      <c r="K77" s="4" t="s">
        <v>39</v>
      </c>
      <c r="L77" s="4">
        <f>Setup!$C$15</f>
        <v>1500</v>
      </c>
      <c r="M77" s="4" t="s">
        <v>36</v>
      </c>
      <c r="N77" s="4" t="str">
        <f t="shared" si="1"/>
        <v/>
      </c>
      <c r="O77" s="4" t="s">
        <v>40</v>
      </c>
      <c r="P77" s="4">
        <f>Setup!$C$13</f>
        <v>1200</v>
      </c>
      <c r="Q77" s="4" t="s">
        <v>37</v>
      </c>
      <c r="R77" s="4" t="str">
        <f t="shared" si="2"/>
        <v/>
      </c>
      <c r="S77" s="4" t="s">
        <v>41</v>
      </c>
      <c r="T77" s="4">
        <f>Setup!$C$14</f>
        <v>1200</v>
      </c>
      <c r="U77" s="4" t="str">
        <f t="shared" si="3"/>
        <v/>
      </c>
      <c r="V77" s="4"/>
    </row>
    <row r="78" spans="1:22" x14ac:dyDescent="0.25">
      <c r="A78" s="4"/>
      <c r="B78" s="4" t="str">
        <f>IFERROR(IF(A78&lt;&gt;"",VLOOKUP($A78,calculation!$A$10:$V$510,12),""),"")</f>
        <v/>
      </c>
      <c r="C78" s="4" t="str">
        <f>IFERROR(IF(A78&lt;&gt;"",VLOOKUP($A78,calculation!$A$10:$V$510,15),""),"")</f>
        <v/>
      </c>
      <c r="D78" s="4" t="str">
        <f>IFERROR(IF(A78&lt;&gt;"",VLOOKUP($A78,calculation!$A$10:$V$510,22),""),"")</f>
        <v/>
      </c>
      <c r="F78" s="4" t="s">
        <v>27</v>
      </c>
      <c r="G78" s="4">
        <f>MAX($G$9:G77)+1</f>
        <v>50</v>
      </c>
      <c r="H78" s="4" t="s">
        <v>34</v>
      </c>
      <c r="I78" s="4" t="s">
        <v>35</v>
      </c>
      <c r="J78" s="4" t="str">
        <f t="shared" si="0"/>
        <v/>
      </c>
      <c r="K78" s="4" t="s">
        <v>39</v>
      </c>
      <c r="L78" s="4">
        <f>Setup!$C$15</f>
        <v>1500</v>
      </c>
      <c r="M78" s="4" t="s">
        <v>36</v>
      </c>
      <c r="N78" s="4" t="str">
        <f t="shared" si="1"/>
        <v/>
      </c>
      <c r="O78" s="4" t="s">
        <v>40</v>
      </c>
      <c r="P78" s="4">
        <f>Setup!$C$13</f>
        <v>1200</v>
      </c>
      <c r="Q78" s="4" t="s">
        <v>37</v>
      </c>
      <c r="R78" s="4" t="str">
        <f t="shared" si="2"/>
        <v/>
      </c>
      <c r="S78" s="4" t="s">
        <v>41</v>
      </c>
      <c r="T78" s="4">
        <f>Setup!$C$14</f>
        <v>1200</v>
      </c>
      <c r="U78" s="4" t="str">
        <f t="shared" si="3"/>
        <v/>
      </c>
      <c r="V78" s="4"/>
    </row>
    <row r="79" spans="1:22" x14ac:dyDescent="0.25">
      <c r="A79" s="4"/>
      <c r="B79" s="4" t="str">
        <f>IFERROR(IF(A79&lt;&gt;"",VLOOKUP($A79,calculation!$A$10:$V$510,12),""),"")</f>
        <v/>
      </c>
      <c r="C79" s="4" t="str">
        <f>IFERROR(IF(A79&lt;&gt;"",VLOOKUP($A79,calculation!$A$10:$V$510,15),""),"")</f>
        <v/>
      </c>
      <c r="D79" s="4" t="str">
        <f>IFERROR(IF(A79&lt;&gt;"",VLOOKUP($A79,calculation!$A$10:$V$510,22),""),"")</f>
        <v/>
      </c>
      <c r="F79" s="4" t="s">
        <v>27</v>
      </c>
      <c r="G79" s="4">
        <f>MAX($G$9:G78)+1</f>
        <v>51</v>
      </c>
      <c r="H79" s="4" t="s">
        <v>34</v>
      </c>
      <c r="I79" s="4" t="s">
        <v>35</v>
      </c>
      <c r="J79" s="4" t="str">
        <f t="shared" si="0"/>
        <v/>
      </c>
      <c r="K79" s="4" t="s">
        <v>39</v>
      </c>
      <c r="L79" s="4">
        <f>Setup!$C$15</f>
        <v>1500</v>
      </c>
      <c r="M79" s="4" t="s">
        <v>36</v>
      </c>
      <c r="N79" s="4" t="str">
        <f t="shared" si="1"/>
        <v/>
      </c>
      <c r="O79" s="4" t="s">
        <v>40</v>
      </c>
      <c r="P79" s="4">
        <f>Setup!$C$13</f>
        <v>1200</v>
      </c>
      <c r="Q79" s="4" t="s">
        <v>37</v>
      </c>
      <c r="R79" s="4" t="str">
        <f t="shared" si="2"/>
        <v/>
      </c>
      <c r="S79" s="4" t="s">
        <v>41</v>
      </c>
      <c r="T79" s="4">
        <f>Setup!$C$14</f>
        <v>1200</v>
      </c>
      <c r="U79" s="4" t="str">
        <f t="shared" si="3"/>
        <v/>
      </c>
      <c r="V79" s="4"/>
    </row>
    <row r="80" spans="1:22" x14ac:dyDescent="0.25">
      <c r="A80" s="4"/>
      <c r="B80" s="4" t="str">
        <f>IFERROR(IF(A80&lt;&gt;"",VLOOKUP($A80,calculation!$A$10:$V$510,12),""),"")</f>
        <v/>
      </c>
      <c r="C80" s="4" t="str">
        <f>IFERROR(IF(A80&lt;&gt;"",VLOOKUP($A80,calculation!$A$10:$V$510,15),""),"")</f>
        <v/>
      </c>
      <c r="D80" s="4" t="str">
        <f>IFERROR(IF(A80&lt;&gt;"",VLOOKUP($A80,calculation!$A$10:$V$510,22),""),"")</f>
        <v/>
      </c>
      <c r="F80" s="4" t="s">
        <v>27</v>
      </c>
      <c r="G80" s="4">
        <f>MAX($G$9:G79)+1</f>
        <v>52</v>
      </c>
      <c r="H80" s="4" t="s">
        <v>34</v>
      </c>
      <c r="I80" s="4" t="s">
        <v>35</v>
      </c>
      <c r="J80" s="4" t="str">
        <f t="shared" si="0"/>
        <v/>
      </c>
      <c r="K80" s="4" t="s">
        <v>39</v>
      </c>
      <c r="L80" s="4">
        <f>Setup!$C$15</f>
        <v>1500</v>
      </c>
      <c r="M80" s="4" t="s">
        <v>36</v>
      </c>
      <c r="N80" s="4" t="str">
        <f t="shared" si="1"/>
        <v/>
      </c>
      <c r="O80" s="4" t="s">
        <v>40</v>
      </c>
      <c r="P80" s="4">
        <f>Setup!$C$13</f>
        <v>1200</v>
      </c>
      <c r="Q80" s="4" t="s">
        <v>37</v>
      </c>
      <c r="R80" s="4" t="str">
        <f t="shared" si="2"/>
        <v/>
      </c>
      <c r="S80" s="4" t="s">
        <v>41</v>
      </c>
      <c r="T80" s="4">
        <f>Setup!$C$14</f>
        <v>1200</v>
      </c>
      <c r="U80" s="4" t="str">
        <f t="shared" si="3"/>
        <v/>
      </c>
      <c r="V80" s="4"/>
    </row>
    <row r="81" spans="1:22" x14ac:dyDescent="0.25">
      <c r="A81" s="4"/>
      <c r="B81" s="4" t="str">
        <f>IFERROR(IF(A81&lt;&gt;"",VLOOKUP($A81,calculation!$A$10:$V$510,12),""),"")</f>
        <v/>
      </c>
      <c r="C81" s="4" t="str">
        <f>IFERROR(IF(A81&lt;&gt;"",VLOOKUP($A81,calculation!$A$10:$V$510,15),""),"")</f>
        <v/>
      </c>
      <c r="D81" s="4" t="str">
        <f>IFERROR(IF(A81&lt;&gt;"",VLOOKUP($A81,calculation!$A$10:$V$510,22),""),"")</f>
        <v/>
      </c>
      <c r="F81" s="4" t="s">
        <v>27</v>
      </c>
      <c r="G81" s="4">
        <f>MAX($G$9:G80)+1</f>
        <v>53</v>
      </c>
      <c r="H81" s="4" t="s">
        <v>34</v>
      </c>
      <c r="I81" s="4" t="s">
        <v>35</v>
      </c>
      <c r="J81" s="4" t="str">
        <f t="shared" si="0"/>
        <v/>
      </c>
      <c r="K81" s="4" t="s">
        <v>39</v>
      </c>
      <c r="L81" s="4">
        <f>Setup!$C$15</f>
        <v>1500</v>
      </c>
      <c r="M81" s="4" t="s">
        <v>36</v>
      </c>
      <c r="N81" s="4" t="str">
        <f t="shared" si="1"/>
        <v/>
      </c>
      <c r="O81" s="4" t="s">
        <v>40</v>
      </c>
      <c r="P81" s="4">
        <f>Setup!$C$13</f>
        <v>1200</v>
      </c>
      <c r="Q81" s="4" t="s">
        <v>37</v>
      </c>
      <c r="R81" s="4" t="str">
        <f t="shared" si="2"/>
        <v/>
      </c>
      <c r="S81" s="4" t="s">
        <v>41</v>
      </c>
      <c r="T81" s="4">
        <f>Setup!$C$14</f>
        <v>1200</v>
      </c>
      <c r="U81" s="4" t="str">
        <f t="shared" si="3"/>
        <v/>
      </c>
      <c r="V81" s="4"/>
    </row>
    <row r="82" spans="1:22" x14ac:dyDescent="0.25">
      <c r="A82" s="4"/>
      <c r="B82" s="4" t="str">
        <f>IFERROR(IF(A82&lt;&gt;"",VLOOKUP($A82,calculation!$A$10:$V$510,12),""),"")</f>
        <v/>
      </c>
      <c r="C82" s="4" t="str">
        <f>IFERROR(IF(A82&lt;&gt;"",VLOOKUP($A82,calculation!$A$10:$V$510,15),""),"")</f>
        <v/>
      </c>
      <c r="D82" s="4" t="str">
        <f>IFERROR(IF(A82&lt;&gt;"",VLOOKUP($A82,calculation!$A$10:$V$510,22),""),"")</f>
        <v/>
      </c>
      <c r="F82" s="4" t="s">
        <v>27</v>
      </c>
      <c r="G82" s="4">
        <f>MAX($G$9:G81)+1</f>
        <v>54</v>
      </c>
      <c r="H82" s="4" t="s">
        <v>34</v>
      </c>
      <c r="I82" s="4" t="s">
        <v>35</v>
      </c>
      <c r="J82" s="4" t="str">
        <f t="shared" si="0"/>
        <v/>
      </c>
      <c r="K82" s="4" t="s">
        <v>39</v>
      </c>
      <c r="L82" s="4">
        <f>Setup!$C$15</f>
        <v>1500</v>
      </c>
      <c r="M82" s="4" t="s">
        <v>36</v>
      </c>
      <c r="N82" s="4" t="str">
        <f t="shared" si="1"/>
        <v/>
      </c>
      <c r="O82" s="4" t="s">
        <v>40</v>
      </c>
      <c r="P82" s="4">
        <f>Setup!$C$13</f>
        <v>1200</v>
      </c>
      <c r="Q82" s="4" t="s">
        <v>37</v>
      </c>
      <c r="R82" s="4" t="str">
        <f t="shared" si="2"/>
        <v/>
      </c>
      <c r="S82" s="4" t="s">
        <v>41</v>
      </c>
      <c r="T82" s="4">
        <f>Setup!$C$14</f>
        <v>1200</v>
      </c>
      <c r="U82" s="4" t="str">
        <f t="shared" si="3"/>
        <v/>
      </c>
      <c r="V82" s="4"/>
    </row>
    <row r="83" spans="1:22" x14ac:dyDescent="0.25">
      <c r="A83" s="4"/>
      <c r="B83" s="4" t="str">
        <f>IFERROR(IF(A83&lt;&gt;"",VLOOKUP($A83,calculation!$A$10:$V$510,12),""),"")</f>
        <v/>
      </c>
      <c r="C83" s="4" t="str">
        <f>IFERROR(IF(A83&lt;&gt;"",VLOOKUP($A83,calculation!$A$10:$V$510,15),""),"")</f>
        <v/>
      </c>
      <c r="D83" s="4" t="str">
        <f>IFERROR(IF(A83&lt;&gt;"",VLOOKUP($A83,calculation!$A$10:$V$510,22),""),"")</f>
        <v/>
      </c>
      <c r="F83" s="4" t="s">
        <v>27</v>
      </c>
      <c r="G83" s="4">
        <f>MAX($G$9:G82)+1</f>
        <v>55</v>
      </c>
      <c r="H83" s="4" t="s">
        <v>34</v>
      </c>
      <c r="I83" s="4" t="s">
        <v>35</v>
      </c>
      <c r="J83" s="4" t="str">
        <f t="shared" si="0"/>
        <v/>
      </c>
      <c r="K83" s="4" t="s">
        <v>39</v>
      </c>
      <c r="L83" s="4">
        <f>Setup!$C$15</f>
        <v>1500</v>
      </c>
      <c r="M83" s="4" t="s">
        <v>36</v>
      </c>
      <c r="N83" s="4" t="str">
        <f t="shared" si="1"/>
        <v/>
      </c>
      <c r="O83" s="4" t="s">
        <v>40</v>
      </c>
      <c r="P83" s="4">
        <f>Setup!$C$13</f>
        <v>1200</v>
      </c>
      <c r="Q83" s="4" t="s">
        <v>37</v>
      </c>
      <c r="R83" s="4" t="str">
        <f t="shared" si="2"/>
        <v/>
      </c>
      <c r="S83" s="4" t="s">
        <v>41</v>
      </c>
      <c r="T83" s="4">
        <f>Setup!$C$14</f>
        <v>1200</v>
      </c>
      <c r="U83" s="4" t="str">
        <f t="shared" si="3"/>
        <v/>
      </c>
      <c r="V83" s="4"/>
    </row>
    <row r="84" spans="1:22" x14ac:dyDescent="0.25">
      <c r="A84" s="4"/>
      <c r="B84" s="4" t="str">
        <f>IFERROR(IF(A84&lt;&gt;"",VLOOKUP($A84,calculation!$A$10:$V$510,12),""),"")</f>
        <v/>
      </c>
      <c r="C84" s="4" t="str">
        <f>IFERROR(IF(A84&lt;&gt;"",VLOOKUP($A84,calculation!$A$10:$V$510,15),""),"")</f>
        <v/>
      </c>
      <c r="D84" s="4" t="str">
        <f>IFERROR(IF(A84&lt;&gt;"",VLOOKUP($A84,calculation!$A$10:$V$510,22),""),"")</f>
        <v/>
      </c>
      <c r="F84" s="4" t="s">
        <v>27</v>
      </c>
      <c r="G84" s="4">
        <f>MAX($G$9:G83)+1</f>
        <v>56</v>
      </c>
      <c r="H84" s="4" t="s">
        <v>34</v>
      </c>
      <c r="I84" s="4" t="s">
        <v>35</v>
      </c>
      <c r="J84" s="4" t="str">
        <f t="shared" si="0"/>
        <v/>
      </c>
      <c r="K84" s="4" t="s">
        <v>39</v>
      </c>
      <c r="L84" s="4">
        <f>Setup!$C$15</f>
        <v>1500</v>
      </c>
      <c r="M84" s="4" t="s">
        <v>36</v>
      </c>
      <c r="N84" s="4" t="str">
        <f t="shared" si="1"/>
        <v/>
      </c>
      <c r="O84" s="4" t="s">
        <v>40</v>
      </c>
      <c r="P84" s="4">
        <f>Setup!$C$13</f>
        <v>1200</v>
      </c>
      <c r="Q84" s="4" t="s">
        <v>37</v>
      </c>
      <c r="R84" s="4" t="str">
        <f t="shared" si="2"/>
        <v/>
      </c>
      <c r="S84" s="4" t="s">
        <v>41</v>
      </c>
      <c r="T84" s="4">
        <f>Setup!$C$14</f>
        <v>1200</v>
      </c>
      <c r="U84" s="4" t="str">
        <f t="shared" si="3"/>
        <v/>
      </c>
      <c r="V84" s="4"/>
    </row>
    <row r="85" spans="1:22" x14ac:dyDescent="0.25">
      <c r="A85" s="4"/>
      <c r="B85" s="4" t="str">
        <f>IFERROR(IF(A85&lt;&gt;"",VLOOKUP($A85,calculation!$A$10:$V$510,12),""),"")</f>
        <v/>
      </c>
      <c r="C85" s="4" t="str">
        <f>IFERROR(IF(A85&lt;&gt;"",VLOOKUP($A85,calculation!$A$10:$V$510,15),""),"")</f>
        <v/>
      </c>
      <c r="D85" s="4" t="str">
        <f>IFERROR(IF(A85&lt;&gt;"",VLOOKUP($A85,calculation!$A$10:$V$510,22),""),"")</f>
        <v/>
      </c>
      <c r="F85" s="4" t="s">
        <v>27</v>
      </c>
      <c r="G85" s="4">
        <f>MAX($G$9:G84)+1</f>
        <v>57</v>
      </c>
      <c r="H85" s="4" t="s">
        <v>34</v>
      </c>
      <c r="I85" s="4" t="s">
        <v>35</v>
      </c>
      <c r="J85" s="4" t="str">
        <f t="shared" si="0"/>
        <v/>
      </c>
      <c r="K85" s="4" t="s">
        <v>39</v>
      </c>
      <c r="L85" s="4">
        <f>Setup!$C$15</f>
        <v>1500</v>
      </c>
      <c r="M85" s="4" t="s">
        <v>36</v>
      </c>
      <c r="N85" s="4" t="str">
        <f t="shared" si="1"/>
        <v/>
      </c>
      <c r="O85" s="4" t="s">
        <v>40</v>
      </c>
      <c r="P85" s="4">
        <f>Setup!$C$13</f>
        <v>1200</v>
      </c>
      <c r="Q85" s="4" t="s">
        <v>37</v>
      </c>
      <c r="R85" s="4" t="str">
        <f t="shared" si="2"/>
        <v/>
      </c>
      <c r="S85" s="4" t="s">
        <v>41</v>
      </c>
      <c r="T85" s="4">
        <f>Setup!$C$14</f>
        <v>1200</v>
      </c>
      <c r="U85" s="4" t="str">
        <f t="shared" si="3"/>
        <v/>
      </c>
      <c r="V85" s="4"/>
    </row>
    <row r="86" spans="1:22" x14ac:dyDescent="0.25">
      <c r="A86" s="4"/>
      <c r="B86" s="4" t="str">
        <f>IFERROR(IF(A86&lt;&gt;"",VLOOKUP($A86,calculation!$A$10:$V$510,12),""),"")</f>
        <v/>
      </c>
      <c r="C86" s="4" t="str">
        <f>IFERROR(IF(A86&lt;&gt;"",VLOOKUP($A86,calculation!$A$10:$V$510,15),""),"")</f>
        <v/>
      </c>
      <c r="D86" s="4" t="str">
        <f>IFERROR(IF(A86&lt;&gt;"",VLOOKUP($A86,calculation!$A$10:$V$510,22),""),"")</f>
        <v/>
      </c>
      <c r="F86" s="4" t="s">
        <v>27</v>
      </c>
      <c r="G86" s="4">
        <f>MAX($G$9:G85)+1</f>
        <v>58</v>
      </c>
      <c r="H86" s="4" t="s">
        <v>34</v>
      </c>
      <c r="I86" s="4" t="s">
        <v>35</v>
      </c>
      <c r="J86" s="4" t="str">
        <f t="shared" si="0"/>
        <v/>
      </c>
      <c r="K86" s="4" t="s">
        <v>39</v>
      </c>
      <c r="L86" s="4">
        <f>Setup!$C$15</f>
        <v>1500</v>
      </c>
      <c r="M86" s="4" t="s">
        <v>36</v>
      </c>
      <c r="N86" s="4" t="str">
        <f t="shared" si="1"/>
        <v/>
      </c>
      <c r="O86" s="4" t="s">
        <v>40</v>
      </c>
      <c r="P86" s="4">
        <f>Setup!$C$13</f>
        <v>1200</v>
      </c>
      <c r="Q86" s="4" t="s">
        <v>37</v>
      </c>
      <c r="R86" s="4" t="str">
        <f t="shared" si="2"/>
        <v/>
      </c>
      <c r="S86" s="4" t="s">
        <v>41</v>
      </c>
      <c r="T86" s="4">
        <f>Setup!$C$14</f>
        <v>1200</v>
      </c>
      <c r="U86" s="4" t="str">
        <f t="shared" si="3"/>
        <v/>
      </c>
      <c r="V86" s="4"/>
    </row>
    <row r="87" spans="1:22" x14ac:dyDescent="0.25">
      <c r="A87" s="4"/>
      <c r="B87" s="4" t="str">
        <f>IFERROR(IF(A87&lt;&gt;"",VLOOKUP($A87,calculation!$A$10:$V$510,12),""),"")</f>
        <v/>
      </c>
      <c r="C87" s="4" t="str">
        <f>IFERROR(IF(A87&lt;&gt;"",VLOOKUP($A87,calculation!$A$10:$V$510,15),""),"")</f>
        <v/>
      </c>
      <c r="D87" s="4" t="str">
        <f>IFERROR(IF(A87&lt;&gt;"",VLOOKUP($A87,calculation!$A$10:$V$510,22),""),"")</f>
        <v/>
      </c>
      <c r="F87" s="4" t="s">
        <v>27</v>
      </c>
      <c r="G87" s="4">
        <f>MAX($G$9:G86)+1</f>
        <v>59</v>
      </c>
      <c r="H87" s="4" t="s">
        <v>34</v>
      </c>
      <c r="I87" s="4" t="s">
        <v>35</v>
      </c>
      <c r="J87" s="4" t="str">
        <f t="shared" si="0"/>
        <v/>
      </c>
      <c r="K87" s="4" t="s">
        <v>39</v>
      </c>
      <c r="L87" s="4">
        <f>Setup!$C$15</f>
        <v>1500</v>
      </c>
      <c r="M87" s="4" t="s">
        <v>36</v>
      </c>
      <c r="N87" s="4" t="str">
        <f t="shared" si="1"/>
        <v/>
      </c>
      <c r="O87" s="4" t="s">
        <v>40</v>
      </c>
      <c r="P87" s="4">
        <f>Setup!$C$13</f>
        <v>1200</v>
      </c>
      <c r="Q87" s="4" t="s">
        <v>37</v>
      </c>
      <c r="R87" s="4" t="str">
        <f t="shared" si="2"/>
        <v/>
      </c>
      <c r="S87" s="4" t="s">
        <v>41</v>
      </c>
      <c r="T87" s="4">
        <f>Setup!$C$14</f>
        <v>1200</v>
      </c>
      <c r="U87" s="4" t="str">
        <f t="shared" si="3"/>
        <v/>
      </c>
      <c r="V87" s="4"/>
    </row>
    <row r="88" spans="1:22" x14ac:dyDescent="0.25">
      <c r="A88" s="4"/>
      <c r="B88" s="4" t="str">
        <f>IFERROR(IF(A88&lt;&gt;"",VLOOKUP($A88,calculation!$A$10:$V$510,12),""),"")</f>
        <v/>
      </c>
      <c r="C88" s="4" t="str">
        <f>IFERROR(IF(A88&lt;&gt;"",VLOOKUP($A88,calculation!$A$10:$V$510,15),""),"")</f>
        <v/>
      </c>
      <c r="D88" s="4" t="str">
        <f>IFERROR(IF(A88&lt;&gt;"",VLOOKUP($A88,calculation!$A$10:$V$510,22),""),"")</f>
        <v/>
      </c>
      <c r="F88" s="4" t="s">
        <v>27</v>
      </c>
      <c r="G88" s="4">
        <f>MAX($G$9:G87)+1</f>
        <v>60</v>
      </c>
      <c r="H88" s="4" t="s">
        <v>34</v>
      </c>
      <c r="I88" s="4" t="s">
        <v>35</v>
      </c>
      <c r="J88" s="4" t="str">
        <f t="shared" si="0"/>
        <v/>
      </c>
      <c r="K88" s="4" t="s">
        <v>39</v>
      </c>
      <c r="L88" s="4">
        <f>Setup!$C$15</f>
        <v>1500</v>
      </c>
      <c r="M88" s="4" t="s">
        <v>36</v>
      </c>
      <c r="N88" s="4" t="str">
        <f t="shared" si="1"/>
        <v/>
      </c>
      <c r="O88" s="4" t="s">
        <v>40</v>
      </c>
      <c r="P88" s="4">
        <f>Setup!$C$13</f>
        <v>1200</v>
      </c>
      <c r="Q88" s="4" t="s">
        <v>37</v>
      </c>
      <c r="R88" s="4" t="str">
        <f t="shared" si="2"/>
        <v/>
      </c>
      <c r="S88" s="4" t="s">
        <v>41</v>
      </c>
      <c r="T88" s="4">
        <f>Setup!$C$14</f>
        <v>1200</v>
      </c>
      <c r="U88" s="4" t="str">
        <f t="shared" si="3"/>
        <v/>
      </c>
      <c r="V88" s="4"/>
    </row>
    <row r="89" spans="1:22" x14ac:dyDescent="0.25">
      <c r="A89" s="4"/>
      <c r="B89" s="4" t="str">
        <f>IFERROR(IF(A89&lt;&gt;"",VLOOKUP($A89,calculation!$A$10:$V$510,12),""),"")</f>
        <v/>
      </c>
      <c r="C89" s="4" t="str">
        <f>IFERROR(IF(A89&lt;&gt;"",VLOOKUP($A89,calculation!$A$10:$V$510,15),""),"")</f>
        <v/>
      </c>
      <c r="D89" s="4" t="str">
        <f>IFERROR(IF(A89&lt;&gt;"",VLOOKUP($A89,calculation!$A$10:$V$510,22),""),"")</f>
        <v/>
      </c>
      <c r="F89" s="4" t="s">
        <v>27</v>
      </c>
      <c r="G89" s="4">
        <f>MAX($G$9:G88)+1</f>
        <v>61</v>
      </c>
      <c r="H89" s="4" t="s">
        <v>34</v>
      </c>
      <c r="I89" s="4" t="s">
        <v>35</v>
      </c>
      <c r="J89" s="4" t="str">
        <f t="shared" si="0"/>
        <v/>
      </c>
      <c r="K89" s="4" t="s">
        <v>39</v>
      </c>
      <c r="L89" s="4">
        <f>Setup!$C$15</f>
        <v>1500</v>
      </c>
      <c r="M89" s="4" t="s">
        <v>36</v>
      </c>
      <c r="N89" s="4" t="str">
        <f t="shared" si="1"/>
        <v/>
      </c>
      <c r="O89" s="4" t="s">
        <v>40</v>
      </c>
      <c r="P89" s="4">
        <f>Setup!$C$13</f>
        <v>1200</v>
      </c>
      <c r="Q89" s="4" t="s">
        <v>37</v>
      </c>
      <c r="R89" s="4" t="str">
        <f t="shared" si="2"/>
        <v/>
      </c>
      <c r="S89" s="4" t="s">
        <v>41</v>
      </c>
      <c r="T89" s="4">
        <f>Setup!$C$14</f>
        <v>1200</v>
      </c>
      <c r="U89" s="4" t="str">
        <f t="shared" si="3"/>
        <v/>
      </c>
      <c r="V89" s="4"/>
    </row>
    <row r="90" spans="1:22" x14ac:dyDescent="0.25">
      <c r="A90" s="4"/>
      <c r="B90" s="4" t="str">
        <f>IFERROR(IF(A90&lt;&gt;"",VLOOKUP($A90,calculation!$A$10:$V$510,12),""),"")</f>
        <v/>
      </c>
      <c r="C90" s="4" t="str">
        <f>IFERROR(IF(A90&lt;&gt;"",VLOOKUP($A90,calculation!$A$10:$V$510,15),""),"")</f>
        <v/>
      </c>
      <c r="D90" s="4" t="str">
        <f>IFERROR(IF(A90&lt;&gt;"",VLOOKUP($A90,calculation!$A$10:$V$510,22),""),"")</f>
        <v/>
      </c>
      <c r="F90" s="4" t="s">
        <v>27</v>
      </c>
      <c r="G90" s="4">
        <f>MAX($G$9:G89)+1</f>
        <v>62</v>
      </c>
      <c r="H90" s="4" t="s">
        <v>34</v>
      </c>
      <c r="I90" s="4" t="s">
        <v>35</v>
      </c>
      <c r="J90" s="4" t="str">
        <f t="shared" si="0"/>
        <v/>
      </c>
      <c r="K90" s="4" t="s">
        <v>39</v>
      </c>
      <c r="L90" s="4">
        <f>Setup!$C$15</f>
        <v>1500</v>
      </c>
      <c r="M90" s="4" t="s">
        <v>36</v>
      </c>
      <c r="N90" s="4" t="str">
        <f t="shared" si="1"/>
        <v/>
      </c>
      <c r="O90" s="4" t="s">
        <v>40</v>
      </c>
      <c r="P90" s="4">
        <f>Setup!$C$13</f>
        <v>1200</v>
      </c>
      <c r="Q90" s="4" t="s">
        <v>37</v>
      </c>
      <c r="R90" s="4" t="str">
        <f t="shared" si="2"/>
        <v/>
      </c>
      <c r="S90" s="4" t="s">
        <v>41</v>
      </c>
      <c r="T90" s="4">
        <f>Setup!$C$14</f>
        <v>1200</v>
      </c>
      <c r="U90" s="4" t="str">
        <f t="shared" si="3"/>
        <v/>
      </c>
      <c r="V90" s="4"/>
    </row>
    <row r="91" spans="1:22" x14ac:dyDescent="0.25">
      <c r="A91" s="4"/>
      <c r="B91" s="4" t="str">
        <f>IFERROR(IF(A91&lt;&gt;"",VLOOKUP($A91,calculation!$A$10:$V$510,12),""),"")</f>
        <v/>
      </c>
      <c r="C91" s="4" t="str">
        <f>IFERROR(IF(A91&lt;&gt;"",VLOOKUP($A91,calculation!$A$10:$V$510,15),""),"")</f>
        <v/>
      </c>
      <c r="D91" s="4" t="str">
        <f>IFERROR(IF(A91&lt;&gt;"",VLOOKUP($A91,calculation!$A$10:$V$510,22),""),"")</f>
        <v/>
      </c>
      <c r="F91" s="4" t="s">
        <v>27</v>
      </c>
      <c r="G91" s="4">
        <f>MAX($G$9:G90)+1</f>
        <v>63</v>
      </c>
      <c r="H91" s="4" t="s">
        <v>34</v>
      </c>
      <c r="I91" s="4" t="s">
        <v>35</v>
      </c>
      <c r="J91" s="4" t="str">
        <f t="shared" si="0"/>
        <v/>
      </c>
      <c r="K91" s="4" t="s">
        <v>39</v>
      </c>
      <c r="L91" s="4">
        <f>Setup!$C$15</f>
        <v>1500</v>
      </c>
      <c r="M91" s="4" t="s">
        <v>36</v>
      </c>
      <c r="N91" s="4" t="str">
        <f t="shared" si="1"/>
        <v/>
      </c>
      <c r="O91" s="4" t="s">
        <v>40</v>
      </c>
      <c r="P91" s="4">
        <f>Setup!$C$13</f>
        <v>1200</v>
      </c>
      <c r="Q91" s="4" t="s">
        <v>37</v>
      </c>
      <c r="R91" s="4" t="str">
        <f t="shared" si="2"/>
        <v/>
      </c>
      <c r="S91" s="4" t="s">
        <v>41</v>
      </c>
      <c r="T91" s="4">
        <f>Setup!$C$14</f>
        <v>1200</v>
      </c>
      <c r="U91" s="4" t="str">
        <f t="shared" si="3"/>
        <v/>
      </c>
      <c r="V91" s="4"/>
    </row>
    <row r="92" spans="1:22" x14ac:dyDescent="0.25">
      <c r="A92" s="4"/>
      <c r="B92" s="4" t="str">
        <f>IFERROR(IF(A92&lt;&gt;"",VLOOKUP($A92,calculation!$A$10:$V$510,12),""),"")</f>
        <v/>
      </c>
      <c r="C92" s="4" t="str">
        <f>IFERROR(IF(A92&lt;&gt;"",VLOOKUP($A92,calculation!$A$10:$V$510,15),""),"")</f>
        <v/>
      </c>
      <c r="D92" s="4" t="str">
        <f>IFERROR(IF(A92&lt;&gt;"",VLOOKUP($A92,calculation!$A$10:$V$510,22),""),"")</f>
        <v/>
      </c>
      <c r="F92" s="4" t="s">
        <v>27</v>
      </c>
      <c r="G92" s="4">
        <f>MAX($G$9:G91)+1</f>
        <v>64</v>
      </c>
      <c r="H92" s="4" t="s">
        <v>34</v>
      </c>
      <c r="I92" s="4" t="s">
        <v>35</v>
      </c>
      <c r="J92" s="4" t="str">
        <f t="shared" si="0"/>
        <v/>
      </c>
      <c r="K92" s="4" t="s">
        <v>39</v>
      </c>
      <c r="L92" s="4">
        <f>Setup!$C$15</f>
        <v>1500</v>
      </c>
      <c r="M92" s="4" t="s">
        <v>36</v>
      </c>
      <c r="N92" s="4" t="str">
        <f t="shared" si="1"/>
        <v/>
      </c>
      <c r="O92" s="4" t="s">
        <v>40</v>
      </c>
      <c r="P92" s="4">
        <f>Setup!$C$13</f>
        <v>1200</v>
      </c>
      <c r="Q92" s="4" t="s">
        <v>37</v>
      </c>
      <c r="R92" s="4" t="str">
        <f t="shared" si="2"/>
        <v/>
      </c>
      <c r="S92" s="4" t="s">
        <v>41</v>
      </c>
      <c r="T92" s="4">
        <f>Setup!$C$14</f>
        <v>1200</v>
      </c>
      <c r="U92" s="4" t="str">
        <f t="shared" si="3"/>
        <v/>
      </c>
      <c r="V92" s="4"/>
    </row>
    <row r="93" spans="1:22" x14ac:dyDescent="0.25">
      <c r="A93" s="4"/>
      <c r="B93" s="4" t="str">
        <f>IFERROR(IF(A93&lt;&gt;"",VLOOKUP($A93,calculation!$A$10:$V$510,12),""),"")</f>
        <v/>
      </c>
      <c r="C93" s="4" t="str">
        <f>IFERROR(IF(A93&lt;&gt;"",VLOOKUP($A93,calculation!$A$10:$V$510,15),""),"")</f>
        <v/>
      </c>
      <c r="D93" s="4" t="str">
        <f>IFERROR(IF(A93&lt;&gt;"",VLOOKUP($A93,calculation!$A$10:$V$510,22),""),"")</f>
        <v/>
      </c>
      <c r="F93" s="4" t="s">
        <v>27</v>
      </c>
      <c r="G93" s="4">
        <f>MAX($G$9:G92)+1</f>
        <v>65</v>
      </c>
      <c r="H93" s="4" t="s">
        <v>34</v>
      </c>
      <c r="I93" s="4" t="s">
        <v>35</v>
      </c>
      <c r="J93" s="4" t="str">
        <f t="shared" si="0"/>
        <v/>
      </c>
      <c r="K93" s="4" t="s">
        <v>39</v>
      </c>
      <c r="L93" s="4">
        <f>Setup!$C$15</f>
        <v>1500</v>
      </c>
      <c r="M93" s="4" t="s">
        <v>36</v>
      </c>
      <c r="N93" s="4" t="str">
        <f t="shared" si="1"/>
        <v/>
      </c>
      <c r="O93" s="4" t="s">
        <v>40</v>
      </c>
      <c r="P93" s="4">
        <f>Setup!$C$13</f>
        <v>1200</v>
      </c>
      <c r="Q93" s="4" t="s">
        <v>37</v>
      </c>
      <c r="R93" s="4" t="str">
        <f t="shared" si="2"/>
        <v/>
      </c>
      <c r="S93" s="4" t="s">
        <v>41</v>
      </c>
      <c r="T93" s="4">
        <f>Setup!$C$14</f>
        <v>1200</v>
      </c>
      <c r="U93" s="4" t="str">
        <f t="shared" si="3"/>
        <v/>
      </c>
      <c r="V93" s="4"/>
    </row>
    <row r="94" spans="1:22" x14ac:dyDescent="0.25">
      <c r="A94" s="4"/>
      <c r="B94" s="4" t="str">
        <f>IFERROR(IF(A94&lt;&gt;"",VLOOKUP($A94,calculation!$A$10:$V$510,12),""),"")</f>
        <v/>
      </c>
      <c r="C94" s="4" t="str">
        <f>IFERROR(IF(A94&lt;&gt;"",VLOOKUP($A94,calculation!$A$10:$V$510,15),""),"")</f>
        <v/>
      </c>
      <c r="D94" s="4" t="str">
        <f>IFERROR(IF(A94&lt;&gt;"",VLOOKUP($A94,calculation!$A$10:$V$510,22),""),"")</f>
        <v/>
      </c>
      <c r="F94" s="4" t="s">
        <v>27</v>
      </c>
      <c r="G94" s="4">
        <f>MAX($G$9:G93)+1</f>
        <v>66</v>
      </c>
      <c r="H94" s="4" t="s">
        <v>34</v>
      </c>
      <c r="I94" s="4" t="s">
        <v>35</v>
      </c>
      <c r="J94" s="4" t="str">
        <f t="shared" si="0"/>
        <v/>
      </c>
      <c r="K94" s="4" t="s">
        <v>39</v>
      </c>
      <c r="L94" s="4">
        <f>Setup!$C$15</f>
        <v>1500</v>
      </c>
      <c r="M94" s="4" t="s">
        <v>36</v>
      </c>
      <c r="N94" s="4" t="str">
        <f t="shared" si="1"/>
        <v/>
      </c>
      <c r="O94" s="4" t="s">
        <v>40</v>
      </c>
      <c r="P94" s="4">
        <f>Setup!$C$13</f>
        <v>1200</v>
      </c>
      <c r="Q94" s="4" t="s">
        <v>37</v>
      </c>
      <c r="R94" s="4" t="str">
        <f t="shared" si="2"/>
        <v/>
      </c>
      <c r="S94" s="4" t="s">
        <v>41</v>
      </c>
      <c r="T94" s="4">
        <f>Setup!$C$14</f>
        <v>1200</v>
      </c>
      <c r="U94" s="4" t="str">
        <f t="shared" si="3"/>
        <v/>
      </c>
      <c r="V94" s="4"/>
    </row>
    <row r="95" spans="1:22" x14ac:dyDescent="0.25">
      <c r="A95" s="4"/>
      <c r="B95" s="4" t="str">
        <f>IFERROR(IF(A95&lt;&gt;"",VLOOKUP($A95,calculation!$A$10:$V$510,12),""),"")</f>
        <v/>
      </c>
      <c r="C95" s="4" t="str">
        <f>IFERROR(IF(A95&lt;&gt;"",VLOOKUP($A95,calculation!$A$10:$V$510,15),""),"")</f>
        <v/>
      </c>
      <c r="D95" s="4" t="str">
        <f>IFERROR(IF(A95&lt;&gt;"",VLOOKUP($A95,calculation!$A$10:$V$510,22),""),"")</f>
        <v/>
      </c>
      <c r="F95" s="4" t="s">
        <v>27</v>
      </c>
      <c r="G95" s="4">
        <f>MAX($G$9:G94)+1</f>
        <v>67</v>
      </c>
      <c r="H95" s="4" t="s">
        <v>34</v>
      </c>
      <c r="I95" s="4" t="s">
        <v>35</v>
      </c>
      <c r="J95" s="4" t="str">
        <f t="shared" si="0"/>
        <v/>
      </c>
      <c r="K95" s="4" t="s">
        <v>39</v>
      </c>
      <c r="L95" s="4">
        <f>Setup!$C$15</f>
        <v>1500</v>
      </c>
      <c r="M95" s="4" t="s">
        <v>36</v>
      </c>
      <c r="N95" s="4" t="str">
        <f t="shared" si="1"/>
        <v/>
      </c>
      <c r="O95" s="4" t="s">
        <v>40</v>
      </c>
      <c r="P95" s="4">
        <f>Setup!$C$13</f>
        <v>1200</v>
      </c>
      <c r="Q95" s="4" t="s">
        <v>37</v>
      </c>
      <c r="R95" s="4" t="str">
        <f t="shared" si="2"/>
        <v/>
      </c>
      <c r="S95" s="4" t="s">
        <v>41</v>
      </c>
      <c r="T95" s="4">
        <f>Setup!$C$14</f>
        <v>1200</v>
      </c>
      <c r="U95" s="4" t="str">
        <f t="shared" si="3"/>
        <v/>
      </c>
      <c r="V95" s="4"/>
    </row>
    <row r="96" spans="1:22" x14ac:dyDescent="0.25">
      <c r="A96" s="4"/>
      <c r="B96" s="4" t="str">
        <f>IFERROR(IF(A96&lt;&gt;"",VLOOKUP($A96,calculation!$A$10:$V$510,12),""),"")</f>
        <v/>
      </c>
      <c r="C96" s="4" t="str">
        <f>IFERROR(IF(A96&lt;&gt;"",VLOOKUP($A96,calculation!$A$10:$V$510,15),""),"")</f>
        <v/>
      </c>
      <c r="D96" s="4" t="str">
        <f>IFERROR(IF(A96&lt;&gt;"",VLOOKUP($A96,calculation!$A$10:$V$510,22),""),"")</f>
        <v/>
      </c>
      <c r="F96" s="4" t="s">
        <v>27</v>
      </c>
      <c r="G96" s="4">
        <f>MAX($G$9:G95)+1</f>
        <v>68</v>
      </c>
      <c r="H96" s="4" t="s">
        <v>34</v>
      </c>
      <c r="I96" s="4" t="s">
        <v>35</v>
      </c>
      <c r="J96" s="4" t="str">
        <f t="shared" ref="J96:J159" si="4">B96</f>
        <v/>
      </c>
      <c r="K96" s="4" t="s">
        <v>39</v>
      </c>
      <c r="L96" s="4">
        <f>Setup!$C$15</f>
        <v>1500</v>
      </c>
      <c r="M96" s="4" t="s">
        <v>36</v>
      </c>
      <c r="N96" s="4" t="str">
        <f t="shared" ref="N96:N159" si="5">C96</f>
        <v/>
      </c>
      <c r="O96" s="4" t="s">
        <v>40</v>
      </c>
      <c r="P96" s="4">
        <f>Setup!$C$13</f>
        <v>1200</v>
      </c>
      <c r="Q96" s="4" t="s">
        <v>37</v>
      </c>
      <c r="R96" s="4" t="str">
        <f t="shared" ref="R96:R159" si="6">D96</f>
        <v/>
      </c>
      <c r="S96" s="4" t="s">
        <v>41</v>
      </c>
      <c r="T96" s="4">
        <f>Setup!$C$14</f>
        <v>1200</v>
      </c>
      <c r="U96" s="4" t="str">
        <f t="shared" ref="U96:U159" si="7">IF(A96&lt;&gt;"",F96&amp;G96&amp;" "&amp;H96&amp;" "&amp;I96&amp;J96&amp;" "&amp;K96&amp;L96&amp;" "&amp;M96&amp;N96&amp;" "&amp;O96&amp;P96&amp;" "&amp;Q96&amp;R96&amp;" "&amp;S96&amp;T96,"")</f>
        <v/>
      </c>
      <c r="V96" s="4"/>
    </row>
    <row r="97" spans="1:22" x14ac:dyDescent="0.25">
      <c r="A97" s="4"/>
      <c r="B97" s="4" t="str">
        <f>IFERROR(IF(A97&lt;&gt;"",VLOOKUP($A97,calculation!$A$10:$V$510,12),""),"")</f>
        <v/>
      </c>
      <c r="C97" s="4" t="str">
        <f>IFERROR(IF(A97&lt;&gt;"",VLOOKUP($A97,calculation!$A$10:$V$510,15),""),"")</f>
        <v/>
      </c>
      <c r="D97" s="4" t="str">
        <f>IFERROR(IF(A97&lt;&gt;"",VLOOKUP($A97,calculation!$A$10:$V$510,22),""),"")</f>
        <v/>
      </c>
      <c r="F97" s="4" t="s">
        <v>27</v>
      </c>
      <c r="G97" s="4">
        <f>MAX($G$9:G96)+1</f>
        <v>69</v>
      </c>
      <c r="H97" s="4" t="s">
        <v>34</v>
      </c>
      <c r="I97" s="4" t="s">
        <v>35</v>
      </c>
      <c r="J97" s="4" t="str">
        <f t="shared" si="4"/>
        <v/>
      </c>
      <c r="K97" s="4" t="s">
        <v>39</v>
      </c>
      <c r="L97" s="4">
        <f>Setup!$C$15</f>
        <v>1500</v>
      </c>
      <c r="M97" s="4" t="s">
        <v>36</v>
      </c>
      <c r="N97" s="4" t="str">
        <f t="shared" si="5"/>
        <v/>
      </c>
      <c r="O97" s="4" t="s">
        <v>40</v>
      </c>
      <c r="P97" s="4">
        <f>Setup!$C$13</f>
        <v>1200</v>
      </c>
      <c r="Q97" s="4" t="s">
        <v>37</v>
      </c>
      <c r="R97" s="4" t="str">
        <f t="shared" si="6"/>
        <v/>
      </c>
      <c r="S97" s="4" t="s">
        <v>41</v>
      </c>
      <c r="T97" s="4">
        <f>Setup!$C$14</f>
        <v>1200</v>
      </c>
      <c r="U97" s="4" t="str">
        <f t="shared" si="7"/>
        <v/>
      </c>
      <c r="V97" s="4"/>
    </row>
    <row r="98" spans="1:22" x14ac:dyDescent="0.25">
      <c r="A98" s="4"/>
      <c r="B98" s="4" t="str">
        <f>IFERROR(IF(A98&lt;&gt;"",VLOOKUP($A98,calculation!$A$10:$V$510,12),""),"")</f>
        <v/>
      </c>
      <c r="C98" s="4" t="str">
        <f>IFERROR(IF(A98&lt;&gt;"",VLOOKUP($A98,calculation!$A$10:$V$510,15),""),"")</f>
        <v/>
      </c>
      <c r="D98" s="4" t="str">
        <f>IFERROR(IF(A98&lt;&gt;"",VLOOKUP($A98,calculation!$A$10:$V$510,22),""),"")</f>
        <v/>
      </c>
      <c r="F98" s="4" t="s">
        <v>27</v>
      </c>
      <c r="G98" s="4">
        <f>MAX($G$9:G97)+1</f>
        <v>70</v>
      </c>
      <c r="H98" s="4" t="s">
        <v>34</v>
      </c>
      <c r="I98" s="4" t="s">
        <v>35</v>
      </c>
      <c r="J98" s="4" t="str">
        <f t="shared" si="4"/>
        <v/>
      </c>
      <c r="K98" s="4" t="s">
        <v>39</v>
      </c>
      <c r="L98" s="4">
        <f>Setup!$C$15</f>
        <v>1500</v>
      </c>
      <c r="M98" s="4" t="s">
        <v>36</v>
      </c>
      <c r="N98" s="4" t="str">
        <f t="shared" si="5"/>
        <v/>
      </c>
      <c r="O98" s="4" t="s">
        <v>40</v>
      </c>
      <c r="P98" s="4">
        <f>Setup!$C$13</f>
        <v>1200</v>
      </c>
      <c r="Q98" s="4" t="s">
        <v>37</v>
      </c>
      <c r="R98" s="4" t="str">
        <f t="shared" si="6"/>
        <v/>
      </c>
      <c r="S98" s="4" t="s">
        <v>41</v>
      </c>
      <c r="T98" s="4">
        <f>Setup!$C$14</f>
        <v>1200</v>
      </c>
      <c r="U98" s="4" t="str">
        <f t="shared" si="7"/>
        <v/>
      </c>
      <c r="V98" s="4"/>
    </row>
    <row r="99" spans="1:22" x14ac:dyDescent="0.25">
      <c r="A99" s="4"/>
      <c r="B99" s="4" t="str">
        <f>IFERROR(IF(A99&lt;&gt;"",VLOOKUP($A99,calculation!$A$10:$V$510,12),""),"")</f>
        <v/>
      </c>
      <c r="C99" s="4" t="str">
        <f>IFERROR(IF(A99&lt;&gt;"",VLOOKUP($A99,calculation!$A$10:$V$510,15),""),"")</f>
        <v/>
      </c>
      <c r="D99" s="4" t="str">
        <f>IFERROR(IF(A99&lt;&gt;"",VLOOKUP($A99,calculation!$A$10:$V$510,22),""),"")</f>
        <v/>
      </c>
      <c r="F99" s="4" t="s">
        <v>27</v>
      </c>
      <c r="G99" s="4">
        <f>MAX($G$9:G98)+1</f>
        <v>71</v>
      </c>
      <c r="H99" s="4" t="s">
        <v>34</v>
      </c>
      <c r="I99" s="4" t="s">
        <v>35</v>
      </c>
      <c r="J99" s="4" t="str">
        <f t="shared" si="4"/>
        <v/>
      </c>
      <c r="K99" s="4" t="s">
        <v>39</v>
      </c>
      <c r="L99" s="4">
        <f>Setup!$C$15</f>
        <v>1500</v>
      </c>
      <c r="M99" s="4" t="s">
        <v>36</v>
      </c>
      <c r="N99" s="4" t="str">
        <f t="shared" si="5"/>
        <v/>
      </c>
      <c r="O99" s="4" t="s">
        <v>40</v>
      </c>
      <c r="P99" s="4">
        <f>Setup!$C$13</f>
        <v>1200</v>
      </c>
      <c r="Q99" s="4" t="s">
        <v>37</v>
      </c>
      <c r="R99" s="4" t="str">
        <f t="shared" si="6"/>
        <v/>
      </c>
      <c r="S99" s="4" t="s">
        <v>41</v>
      </c>
      <c r="T99" s="4">
        <f>Setup!$C$14</f>
        <v>1200</v>
      </c>
      <c r="U99" s="4" t="str">
        <f t="shared" si="7"/>
        <v/>
      </c>
      <c r="V99" s="4"/>
    </row>
    <row r="100" spans="1:22" x14ac:dyDescent="0.25">
      <c r="A100" s="4"/>
      <c r="B100" s="4" t="str">
        <f>IFERROR(IF(A100&lt;&gt;"",VLOOKUP($A100,calculation!$A$10:$V$510,12),""),"")</f>
        <v/>
      </c>
      <c r="C100" s="4" t="str">
        <f>IFERROR(IF(A100&lt;&gt;"",VLOOKUP($A100,calculation!$A$10:$V$510,15),""),"")</f>
        <v/>
      </c>
      <c r="D100" s="4" t="str">
        <f>IFERROR(IF(A100&lt;&gt;"",VLOOKUP($A100,calculation!$A$10:$V$510,22),""),"")</f>
        <v/>
      </c>
      <c r="F100" s="4" t="s">
        <v>27</v>
      </c>
      <c r="G100" s="4">
        <f>MAX($G$9:G99)+1</f>
        <v>72</v>
      </c>
      <c r="H100" s="4" t="s">
        <v>34</v>
      </c>
      <c r="I100" s="4" t="s">
        <v>35</v>
      </c>
      <c r="J100" s="4" t="str">
        <f t="shared" si="4"/>
        <v/>
      </c>
      <c r="K100" s="4" t="s">
        <v>39</v>
      </c>
      <c r="L100" s="4">
        <f>Setup!$C$15</f>
        <v>1500</v>
      </c>
      <c r="M100" s="4" t="s">
        <v>36</v>
      </c>
      <c r="N100" s="4" t="str">
        <f t="shared" si="5"/>
        <v/>
      </c>
      <c r="O100" s="4" t="s">
        <v>40</v>
      </c>
      <c r="P100" s="4">
        <f>Setup!$C$13</f>
        <v>1200</v>
      </c>
      <c r="Q100" s="4" t="s">
        <v>37</v>
      </c>
      <c r="R100" s="4" t="str">
        <f t="shared" si="6"/>
        <v/>
      </c>
      <c r="S100" s="4" t="s">
        <v>41</v>
      </c>
      <c r="T100" s="4">
        <f>Setup!$C$14</f>
        <v>1200</v>
      </c>
      <c r="U100" s="4" t="str">
        <f t="shared" si="7"/>
        <v/>
      </c>
      <c r="V100" s="4"/>
    </row>
    <row r="101" spans="1:22" x14ac:dyDescent="0.25">
      <c r="A101" s="4"/>
      <c r="B101" s="4" t="str">
        <f>IFERROR(IF(A101&lt;&gt;"",VLOOKUP($A101,calculation!$A$10:$V$510,12),""),"")</f>
        <v/>
      </c>
      <c r="C101" s="4" t="str">
        <f>IFERROR(IF(A101&lt;&gt;"",VLOOKUP($A101,calculation!$A$10:$V$510,15),""),"")</f>
        <v/>
      </c>
      <c r="D101" s="4" t="str">
        <f>IFERROR(IF(A101&lt;&gt;"",VLOOKUP($A101,calculation!$A$10:$V$510,22),""),"")</f>
        <v/>
      </c>
      <c r="F101" s="4" t="s">
        <v>27</v>
      </c>
      <c r="G101" s="4">
        <f>MAX($G$9:G100)+1</f>
        <v>73</v>
      </c>
      <c r="H101" s="4" t="s">
        <v>34</v>
      </c>
      <c r="I101" s="4" t="s">
        <v>35</v>
      </c>
      <c r="J101" s="4" t="str">
        <f t="shared" si="4"/>
        <v/>
      </c>
      <c r="K101" s="4" t="s">
        <v>39</v>
      </c>
      <c r="L101" s="4">
        <f>Setup!$C$15</f>
        <v>1500</v>
      </c>
      <c r="M101" s="4" t="s">
        <v>36</v>
      </c>
      <c r="N101" s="4" t="str">
        <f t="shared" si="5"/>
        <v/>
      </c>
      <c r="O101" s="4" t="s">
        <v>40</v>
      </c>
      <c r="P101" s="4">
        <f>Setup!$C$13</f>
        <v>1200</v>
      </c>
      <c r="Q101" s="4" t="s">
        <v>37</v>
      </c>
      <c r="R101" s="4" t="str">
        <f t="shared" si="6"/>
        <v/>
      </c>
      <c r="S101" s="4" t="s">
        <v>41</v>
      </c>
      <c r="T101" s="4">
        <f>Setup!$C$14</f>
        <v>1200</v>
      </c>
      <c r="U101" s="4" t="str">
        <f t="shared" si="7"/>
        <v/>
      </c>
      <c r="V101" s="4"/>
    </row>
    <row r="102" spans="1:22" x14ac:dyDescent="0.25">
      <c r="A102" s="4"/>
      <c r="B102" s="4" t="str">
        <f>IFERROR(IF(A102&lt;&gt;"",VLOOKUP($A102,calculation!$A$10:$V$510,12),""),"")</f>
        <v/>
      </c>
      <c r="C102" s="4" t="str">
        <f>IFERROR(IF(A102&lt;&gt;"",VLOOKUP($A102,calculation!$A$10:$V$510,15),""),"")</f>
        <v/>
      </c>
      <c r="D102" s="4" t="str">
        <f>IFERROR(IF(A102&lt;&gt;"",VLOOKUP($A102,calculation!$A$10:$V$510,22),""),"")</f>
        <v/>
      </c>
      <c r="F102" s="4" t="s">
        <v>27</v>
      </c>
      <c r="G102" s="4">
        <f>MAX($G$9:G101)+1</f>
        <v>74</v>
      </c>
      <c r="H102" s="4" t="s">
        <v>34</v>
      </c>
      <c r="I102" s="4" t="s">
        <v>35</v>
      </c>
      <c r="J102" s="4" t="str">
        <f t="shared" si="4"/>
        <v/>
      </c>
      <c r="K102" s="4" t="s">
        <v>39</v>
      </c>
      <c r="L102" s="4">
        <f>Setup!$C$15</f>
        <v>1500</v>
      </c>
      <c r="M102" s="4" t="s">
        <v>36</v>
      </c>
      <c r="N102" s="4" t="str">
        <f t="shared" si="5"/>
        <v/>
      </c>
      <c r="O102" s="4" t="s">
        <v>40</v>
      </c>
      <c r="P102" s="4">
        <f>Setup!$C$13</f>
        <v>1200</v>
      </c>
      <c r="Q102" s="4" t="s">
        <v>37</v>
      </c>
      <c r="R102" s="4" t="str">
        <f t="shared" si="6"/>
        <v/>
      </c>
      <c r="S102" s="4" t="s">
        <v>41</v>
      </c>
      <c r="T102" s="4">
        <f>Setup!$C$14</f>
        <v>1200</v>
      </c>
      <c r="U102" s="4" t="str">
        <f t="shared" si="7"/>
        <v/>
      </c>
      <c r="V102" s="4"/>
    </row>
    <row r="103" spans="1:22" x14ac:dyDescent="0.25">
      <c r="A103" s="4"/>
      <c r="B103" s="4" t="str">
        <f>IFERROR(IF(A103&lt;&gt;"",VLOOKUP($A103,calculation!$A$10:$V$510,12),""),"")</f>
        <v/>
      </c>
      <c r="C103" s="4" t="str">
        <f>IFERROR(IF(A103&lt;&gt;"",VLOOKUP($A103,calculation!$A$10:$V$510,15),""),"")</f>
        <v/>
      </c>
      <c r="D103" s="4" t="str">
        <f>IFERROR(IF(A103&lt;&gt;"",VLOOKUP($A103,calculation!$A$10:$V$510,22),""),"")</f>
        <v/>
      </c>
      <c r="F103" s="4" t="s">
        <v>27</v>
      </c>
      <c r="G103" s="4">
        <f>MAX($G$9:G102)+1</f>
        <v>75</v>
      </c>
      <c r="H103" s="4" t="s">
        <v>34</v>
      </c>
      <c r="I103" s="4" t="s">
        <v>35</v>
      </c>
      <c r="J103" s="4" t="str">
        <f t="shared" si="4"/>
        <v/>
      </c>
      <c r="K103" s="4" t="s">
        <v>39</v>
      </c>
      <c r="L103" s="4">
        <f>Setup!$C$15</f>
        <v>1500</v>
      </c>
      <c r="M103" s="4" t="s">
        <v>36</v>
      </c>
      <c r="N103" s="4" t="str">
        <f t="shared" si="5"/>
        <v/>
      </c>
      <c r="O103" s="4" t="s">
        <v>40</v>
      </c>
      <c r="P103" s="4">
        <f>Setup!$C$13</f>
        <v>1200</v>
      </c>
      <c r="Q103" s="4" t="s">
        <v>37</v>
      </c>
      <c r="R103" s="4" t="str">
        <f t="shared" si="6"/>
        <v/>
      </c>
      <c r="S103" s="4" t="s">
        <v>41</v>
      </c>
      <c r="T103" s="4">
        <f>Setup!$C$14</f>
        <v>1200</v>
      </c>
      <c r="U103" s="4" t="str">
        <f t="shared" si="7"/>
        <v/>
      </c>
      <c r="V103" s="4"/>
    </row>
    <row r="104" spans="1:22" x14ac:dyDescent="0.25">
      <c r="A104" s="4"/>
      <c r="B104" s="4" t="str">
        <f>IFERROR(IF(A104&lt;&gt;"",VLOOKUP($A104,calculation!$A$10:$V$510,12),""),"")</f>
        <v/>
      </c>
      <c r="C104" s="4" t="str">
        <f>IFERROR(IF(A104&lt;&gt;"",VLOOKUP($A104,calculation!$A$10:$V$510,15),""),"")</f>
        <v/>
      </c>
      <c r="D104" s="4" t="str">
        <f>IFERROR(IF(A104&lt;&gt;"",VLOOKUP($A104,calculation!$A$10:$V$510,22),""),"")</f>
        <v/>
      </c>
      <c r="F104" s="4" t="s">
        <v>27</v>
      </c>
      <c r="G104" s="4">
        <f>MAX($G$9:G103)+1</f>
        <v>76</v>
      </c>
      <c r="H104" s="4" t="s">
        <v>34</v>
      </c>
      <c r="I104" s="4" t="s">
        <v>35</v>
      </c>
      <c r="J104" s="4" t="str">
        <f t="shared" si="4"/>
        <v/>
      </c>
      <c r="K104" s="4" t="s">
        <v>39</v>
      </c>
      <c r="L104" s="4">
        <f>Setup!$C$15</f>
        <v>1500</v>
      </c>
      <c r="M104" s="4" t="s">
        <v>36</v>
      </c>
      <c r="N104" s="4" t="str">
        <f t="shared" si="5"/>
        <v/>
      </c>
      <c r="O104" s="4" t="s">
        <v>40</v>
      </c>
      <c r="P104" s="4">
        <f>Setup!$C$13</f>
        <v>1200</v>
      </c>
      <c r="Q104" s="4" t="s">
        <v>37</v>
      </c>
      <c r="R104" s="4" t="str">
        <f t="shared" si="6"/>
        <v/>
      </c>
      <c r="S104" s="4" t="s">
        <v>41</v>
      </c>
      <c r="T104" s="4">
        <f>Setup!$C$14</f>
        <v>1200</v>
      </c>
      <c r="U104" s="4" t="str">
        <f t="shared" si="7"/>
        <v/>
      </c>
      <c r="V104" s="4"/>
    </row>
    <row r="105" spans="1:22" x14ac:dyDescent="0.25">
      <c r="A105" s="4"/>
      <c r="B105" s="4" t="str">
        <f>IFERROR(IF(A105&lt;&gt;"",VLOOKUP($A105,calculation!$A$10:$V$510,12),""),"")</f>
        <v/>
      </c>
      <c r="C105" s="4" t="str">
        <f>IFERROR(IF(A105&lt;&gt;"",VLOOKUP($A105,calculation!$A$10:$V$510,15),""),"")</f>
        <v/>
      </c>
      <c r="D105" s="4" t="str">
        <f>IFERROR(IF(A105&lt;&gt;"",VLOOKUP($A105,calculation!$A$10:$V$510,22),""),"")</f>
        <v/>
      </c>
      <c r="F105" s="4" t="s">
        <v>27</v>
      </c>
      <c r="G105" s="4">
        <f>MAX($G$9:G104)+1</f>
        <v>77</v>
      </c>
      <c r="H105" s="4" t="s">
        <v>34</v>
      </c>
      <c r="I105" s="4" t="s">
        <v>35</v>
      </c>
      <c r="J105" s="4" t="str">
        <f t="shared" si="4"/>
        <v/>
      </c>
      <c r="K105" s="4" t="s">
        <v>39</v>
      </c>
      <c r="L105" s="4">
        <f>Setup!$C$15</f>
        <v>1500</v>
      </c>
      <c r="M105" s="4" t="s">
        <v>36</v>
      </c>
      <c r="N105" s="4" t="str">
        <f t="shared" si="5"/>
        <v/>
      </c>
      <c r="O105" s="4" t="s">
        <v>40</v>
      </c>
      <c r="P105" s="4">
        <f>Setup!$C$13</f>
        <v>1200</v>
      </c>
      <c r="Q105" s="4" t="s">
        <v>37</v>
      </c>
      <c r="R105" s="4" t="str">
        <f t="shared" si="6"/>
        <v/>
      </c>
      <c r="S105" s="4" t="s">
        <v>41</v>
      </c>
      <c r="T105" s="4">
        <f>Setup!$C$14</f>
        <v>1200</v>
      </c>
      <c r="U105" s="4" t="str">
        <f t="shared" si="7"/>
        <v/>
      </c>
      <c r="V105" s="4"/>
    </row>
    <row r="106" spans="1:22" x14ac:dyDescent="0.25">
      <c r="A106" s="4"/>
      <c r="B106" s="4" t="str">
        <f>IFERROR(IF(A106&lt;&gt;"",VLOOKUP($A106,calculation!$A$10:$V$510,12),""),"")</f>
        <v/>
      </c>
      <c r="C106" s="4" t="str">
        <f>IFERROR(IF(A106&lt;&gt;"",VLOOKUP($A106,calculation!$A$10:$V$510,15),""),"")</f>
        <v/>
      </c>
      <c r="D106" s="4" t="str">
        <f>IFERROR(IF(A106&lt;&gt;"",VLOOKUP($A106,calculation!$A$10:$V$510,22),""),"")</f>
        <v/>
      </c>
      <c r="F106" s="4" t="s">
        <v>27</v>
      </c>
      <c r="G106" s="4">
        <f>MAX($G$9:G105)+1</f>
        <v>78</v>
      </c>
      <c r="H106" s="4" t="s">
        <v>34</v>
      </c>
      <c r="I106" s="4" t="s">
        <v>35</v>
      </c>
      <c r="J106" s="4" t="str">
        <f t="shared" si="4"/>
        <v/>
      </c>
      <c r="K106" s="4" t="s">
        <v>39</v>
      </c>
      <c r="L106" s="4">
        <f>Setup!$C$15</f>
        <v>1500</v>
      </c>
      <c r="M106" s="4" t="s">
        <v>36</v>
      </c>
      <c r="N106" s="4" t="str">
        <f t="shared" si="5"/>
        <v/>
      </c>
      <c r="O106" s="4" t="s">
        <v>40</v>
      </c>
      <c r="P106" s="4">
        <f>Setup!$C$13</f>
        <v>1200</v>
      </c>
      <c r="Q106" s="4" t="s">
        <v>37</v>
      </c>
      <c r="R106" s="4" t="str">
        <f t="shared" si="6"/>
        <v/>
      </c>
      <c r="S106" s="4" t="s">
        <v>41</v>
      </c>
      <c r="T106" s="4">
        <f>Setup!$C$14</f>
        <v>1200</v>
      </c>
      <c r="U106" s="4" t="str">
        <f t="shared" si="7"/>
        <v/>
      </c>
      <c r="V106" s="4"/>
    </row>
    <row r="107" spans="1:22" x14ac:dyDescent="0.25">
      <c r="A107" s="4"/>
      <c r="B107" s="4" t="str">
        <f>IFERROR(IF(A107&lt;&gt;"",VLOOKUP($A107,calculation!$A$10:$V$510,12),""),"")</f>
        <v/>
      </c>
      <c r="C107" s="4" t="str">
        <f>IFERROR(IF(A107&lt;&gt;"",VLOOKUP($A107,calculation!$A$10:$V$510,15),""),"")</f>
        <v/>
      </c>
      <c r="D107" s="4" t="str">
        <f>IFERROR(IF(A107&lt;&gt;"",VLOOKUP($A107,calculation!$A$10:$V$510,22),""),"")</f>
        <v/>
      </c>
      <c r="F107" s="4" t="s">
        <v>27</v>
      </c>
      <c r="G107" s="4">
        <f>MAX($G$9:G106)+1</f>
        <v>79</v>
      </c>
      <c r="H107" s="4" t="s">
        <v>34</v>
      </c>
      <c r="I107" s="4" t="s">
        <v>35</v>
      </c>
      <c r="J107" s="4" t="str">
        <f t="shared" si="4"/>
        <v/>
      </c>
      <c r="K107" s="4" t="s">
        <v>39</v>
      </c>
      <c r="L107" s="4">
        <f>Setup!$C$15</f>
        <v>1500</v>
      </c>
      <c r="M107" s="4" t="s">
        <v>36</v>
      </c>
      <c r="N107" s="4" t="str">
        <f t="shared" si="5"/>
        <v/>
      </c>
      <c r="O107" s="4" t="s">
        <v>40</v>
      </c>
      <c r="P107" s="4">
        <f>Setup!$C$13</f>
        <v>1200</v>
      </c>
      <c r="Q107" s="4" t="s">
        <v>37</v>
      </c>
      <c r="R107" s="4" t="str">
        <f t="shared" si="6"/>
        <v/>
      </c>
      <c r="S107" s="4" t="s">
        <v>41</v>
      </c>
      <c r="T107" s="4">
        <f>Setup!$C$14</f>
        <v>1200</v>
      </c>
      <c r="U107" s="4" t="str">
        <f t="shared" si="7"/>
        <v/>
      </c>
      <c r="V107" s="4"/>
    </row>
    <row r="108" spans="1:22" x14ac:dyDescent="0.25">
      <c r="A108" s="4"/>
      <c r="B108" s="4" t="str">
        <f>IFERROR(IF(A108&lt;&gt;"",VLOOKUP($A108,calculation!$A$10:$V$510,12),""),"")</f>
        <v/>
      </c>
      <c r="C108" s="4" t="str">
        <f>IFERROR(IF(A108&lt;&gt;"",VLOOKUP($A108,calculation!$A$10:$V$510,15),""),"")</f>
        <v/>
      </c>
      <c r="D108" s="4" t="str">
        <f>IFERROR(IF(A108&lt;&gt;"",VLOOKUP($A108,calculation!$A$10:$V$510,22),""),"")</f>
        <v/>
      </c>
      <c r="F108" s="4" t="s">
        <v>27</v>
      </c>
      <c r="G108" s="4">
        <f>MAX($G$9:G107)+1</f>
        <v>80</v>
      </c>
      <c r="H108" s="4" t="s">
        <v>34</v>
      </c>
      <c r="I108" s="4" t="s">
        <v>35</v>
      </c>
      <c r="J108" s="4" t="str">
        <f t="shared" si="4"/>
        <v/>
      </c>
      <c r="K108" s="4" t="s">
        <v>39</v>
      </c>
      <c r="L108" s="4">
        <f>Setup!$C$15</f>
        <v>1500</v>
      </c>
      <c r="M108" s="4" t="s">
        <v>36</v>
      </c>
      <c r="N108" s="4" t="str">
        <f t="shared" si="5"/>
        <v/>
      </c>
      <c r="O108" s="4" t="s">
        <v>40</v>
      </c>
      <c r="P108" s="4">
        <f>Setup!$C$13</f>
        <v>1200</v>
      </c>
      <c r="Q108" s="4" t="s">
        <v>37</v>
      </c>
      <c r="R108" s="4" t="str">
        <f t="shared" si="6"/>
        <v/>
      </c>
      <c r="S108" s="4" t="s">
        <v>41</v>
      </c>
      <c r="T108" s="4">
        <f>Setup!$C$14</f>
        <v>1200</v>
      </c>
      <c r="U108" s="4" t="str">
        <f t="shared" si="7"/>
        <v/>
      </c>
      <c r="V108" s="4"/>
    </row>
    <row r="109" spans="1:22" x14ac:dyDescent="0.25">
      <c r="A109" s="4"/>
      <c r="B109" s="4" t="str">
        <f>IFERROR(IF(A109&lt;&gt;"",VLOOKUP($A109,calculation!$A$10:$V$510,12),""),"")</f>
        <v/>
      </c>
      <c r="C109" s="4" t="str">
        <f>IFERROR(IF(A109&lt;&gt;"",VLOOKUP($A109,calculation!$A$10:$V$510,15),""),"")</f>
        <v/>
      </c>
      <c r="D109" s="4" t="str">
        <f>IFERROR(IF(A109&lt;&gt;"",VLOOKUP($A109,calculation!$A$10:$V$510,22),""),"")</f>
        <v/>
      </c>
      <c r="F109" s="4" t="s">
        <v>27</v>
      </c>
      <c r="G109" s="4">
        <f>MAX($G$9:G108)+1</f>
        <v>81</v>
      </c>
      <c r="H109" s="4" t="s">
        <v>34</v>
      </c>
      <c r="I109" s="4" t="s">
        <v>35</v>
      </c>
      <c r="J109" s="4" t="str">
        <f t="shared" si="4"/>
        <v/>
      </c>
      <c r="K109" s="4" t="s">
        <v>39</v>
      </c>
      <c r="L109" s="4">
        <f>Setup!$C$15</f>
        <v>1500</v>
      </c>
      <c r="M109" s="4" t="s">
        <v>36</v>
      </c>
      <c r="N109" s="4" t="str">
        <f t="shared" si="5"/>
        <v/>
      </c>
      <c r="O109" s="4" t="s">
        <v>40</v>
      </c>
      <c r="P109" s="4">
        <f>Setup!$C$13</f>
        <v>1200</v>
      </c>
      <c r="Q109" s="4" t="s">
        <v>37</v>
      </c>
      <c r="R109" s="4" t="str">
        <f t="shared" si="6"/>
        <v/>
      </c>
      <c r="S109" s="4" t="s">
        <v>41</v>
      </c>
      <c r="T109" s="4">
        <f>Setup!$C$14</f>
        <v>1200</v>
      </c>
      <c r="U109" s="4" t="str">
        <f t="shared" si="7"/>
        <v/>
      </c>
      <c r="V109" s="4"/>
    </row>
    <row r="110" spans="1:22" x14ac:dyDescent="0.25">
      <c r="A110" s="4"/>
      <c r="B110" s="4" t="str">
        <f>IFERROR(IF(A110&lt;&gt;"",VLOOKUP($A110,calculation!$A$10:$V$510,12),""),"")</f>
        <v/>
      </c>
      <c r="C110" s="4" t="str">
        <f>IFERROR(IF(A110&lt;&gt;"",VLOOKUP($A110,calculation!$A$10:$V$510,15),""),"")</f>
        <v/>
      </c>
      <c r="D110" s="4" t="str">
        <f>IFERROR(IF(A110&lt;&gt;"",VLOOKUP($A110,calculation!$A$10:$V$510,22),""),"")</f>
        <v/>
      </c>
      <c r="F110" s="4" t="s">
        <v>27</v>
      </c>
      <c r="G110" s="4">
        <f>MAX($G$9:G109)+1</f>
        <v>82</v>
      </c>
      <c r="H110" s="4" t="s">
        <v>34</v>
      </c>
      <c r="I110" s="4" t="s">
        <v>35</v>
      </c>
      <c r="J110" s="4" t="str">
        <f t="shared" si="4"/>
        <v/>
      </c>
      <c r="K110" s="4" t="s">
        <v>39</v>
      </c>
      <c r="L110" s="4">
        <f>Setup!$C$15</f>
        <v>1500</v>
      </c>
      <c r="M110" s="4" t="s">
        <v>36</v>
      </c>
      <c r="N110" s="4" t="str">
        <f t="shared" si="5"/>
        <v/>
      </c>
      <c r="O110" s="4" t="s">
        <v>40</v>
      </c>
      <c r="P110" s="4">
        <f>Setup!$C$13</f>
        <v>1200</v>
      </c>
      <c r="Q110" s="4" t="s">
        <v>37</v>
      </c>
      <c r="R110" s="4" t="str">
        <f t="shared" si="6"/>
        <v/>
      </c>
      <c r="S110" s="4" t="s">
        <v>41</v>
      </c>
      <c r="T110" s="4">
        <f>Setup!$C$14</f>
        <v>1200</v>
      </c>
      <c r="U110" s="4" t="str">
        <f t="shared" si="7"/>
        <v/>
      </c>
      <c r="V110" s="4"/>
    </row>
    <row r="111" spans="1:22" x14ac:dyDescent="0.25">
      <c r="A111" s="4"/>
      <c r="B111" s="4" t="str">
        <f>IFERROR(IF(A111&lt;&gt;"",VLOOKUP($A111,calculation!$A$10:$V$510,12),""),"")</f>
        <v/>
      </c>
      <c r="C111" s="4" t="str">
        <f>IFERROR(IF(A111&lt;&gt;"",VLOOKUP($A111,calculation!$A$10:$V$510,15),""),"")</f>
        <v/>
      </c>
      <c r="D111" s="4" t="str">
        <f>IFERROR(IF(A111&lt;&gt;"",VLOOKUP($A111,calculation!$A$10:$V$510,22),""),"")</f>
        <v/>
      </c>
      <c r="F111" s="4" t="s">
        <v>27</v>
      </c>
      <c r="G111" s="4">
        <f>MAX($G$9:G110)+1</f>
        <v>83</v>
      </c>
      <c r="H111" s="4" t="s">
        <v>34</v>
      </c>
      <c r="I111" s="4" t="s">
        <v>35</v>
      </c>
      <c r="J111" s="4" t="str">
        <f t="shared" si="4"/>
        <v/>
      </c>
      <c r="K111" s="4" t="s">
        <v>39</v>
      </c>
      <c r="L111" s="4">
        <f>Setup!$C$15</f>
        <v>1500</v>
      </c>
      <c r="M111" s="4" t="s">
        <v>36</v>
      </c>
      <c r="N111" s="4" t="str">
        <f t="shared" si="5"/>
        <v/>
      </c>
      <c r="O111" s="4" t="s">
        <v>40</v>
      </c>
      <c r="P111" s="4">
        <f>Setup!$C$13</f>
        <v>1200</v>
      </c>
      <c r="Q111" s="4" t="s">
        <v>37</v>
      </c>
      <c r="R111" s="4" t="str">
        <f t="shared" si="6"/>
        <v/>
      </c>
      <c r="S111" s="4" t="s">
        <v>41</v>
      </c>
      <c r="T111" s="4">
        <f>Setup!$C$14</f>
        <v>1200</v>
      </c>
      <c r="U111" s="4" t="str">
        <f t="shared" si="7"/>
        <v/>
      </c>
      <c r="V111" s="4"/>
    </row>
    <row r="112" spans="1:22" x14ac:dyDescent="0.25">
      <c r="A112" s="4"/>
      <c r="B112" s="4" t="str">
        <f>IFERROR(IF(A112&lt;&gt;"",VLOOKUP($A112,calculation!$A$10:$V$510,12),""),"")</f>
        <v/>
      </c>
      <c r="C112" s="4" t="str">
        <f>IFERROR(IF(A112&lt;&gt;"",VLOOKUP($A112,calculation!$A$10:$V$510,15),""),"")</f>
        <v/>
      </c>
      <c r="D112" s="4" t="str">
        <f>IFERROR(IF(A112&lt;&gt;"",VLOOKUP($A112,calculation!$A$10:$V$510,22),""),"")</f>
        <v/>
      </c>
      <c r="F112" s="4" t="s">
        <v>27</v>
      </c>
      <c r="G112" s="4">
        <f>MAX($G$9:G111)+1</f>
        <v>84</v>
      </c>
      <c r="H112" s="4" t="s">
        <v>34</v>
      </c>
      <c r="I112" s="4" t="s">
        <v>35</v>
      </c>
      <c r="J112" s="4" t="str">
        <f t="shared" si="4"/>
        <v/>
      </c>
      <c r="K112" s="4" t="s">
        <v>39</v>
      </c>
      <c r="L112" s="4">
        <f>Setup!$C$15</f>
        <v>1500</v>
      </c>
      <c r="M112" s="4" t="s">
        <v>36</v>
      </c>
      <c r="N112" s="4" t="str">
        <f t="shared" si="5"/>
        <v/>
      </c>
      <c r="O112" s="4" t="s">
        <v>40</v>
      </c>
      <c r="P112" s="4">
        <f>Setup!$C$13</f>
        <v>1200</v>
      </c>
      <c r="Q112" s="4" t="s">
        <v>37</v>
      </c>
      <c r="R112" s="4" t="str">
        <f t="shared" si="6"/>
        <v/>
      </c>
      <c r="S112" s="4" t="s">
        <v>41</v>
      </c>
      <c r="T112" s="4">
        <f>Setup!$C$14</f>
        <v>1200</v>
      </c>
      <c r="U112" s="4" t="str">
        <f t="shared" si="7"/>
        <v/>
      </c>
      <c r="V112" s="4"/>
    </row>
    <row r="113" spans="1:22" x14ac:dyDescent="0.25">
      <c r="A113" s="4"/>
      <c r="B113" s="4" t="str">
        <f>IFERROR(IF(A113&lt;&gt;"",VLOOKUP($A113,calculation!$A$10:$V$510,12),""),"")</f>
        <v/>
      </c>
      <c r="C113" s="4" t="str">
        <f>IFERROR(IF(A113&lt;&gt;"",VLOOKUP($A113,calculation!$A$10:$V$510,15),""),"")</f>
        <v/>
      </c>
      <c r="D113" s="4" t="str">
        <f>IFERROR(IF(A113&lt;&gt;"",VLOOKUP($A113,calculation!$A$10:$V$510,22),""),"")</f>
        <v/>
      </c>
      <c r="F113" s="4" t="s">
        <v>27</v>
      </c>
      <c r="G113" s="4">
        <f>MAX($G$9:G112)+1</f>
        <v>85</v>
      </c>
      <c r="H113" s="4" t="s">
        <v>34</v>
      </c>
      <c r="I113" s="4" t="s">
        <v>35</v>
      </c>
      <c r="J113" s="4" t="str">
        <f t="shared" si="4"/>
        <v/>
      </c>
      <c r="K113" s="4" t="s">
        <v>39</v>
      </c>
      <c r="L113" s="4">
        <f>Setup!$C$15</f>
        <v>1500</v>
      </c>
      <c r="M113" s="4" t="s">
        <v>36</v>
      </c>
      <c r="N113" s="4" t="str">
        <f t="shared" si="5"/>
        <v/>
      </c>
      <c r="O113" s="4" t="s">
        <v>40</v>
      </c>
      <c r="P113" s="4">
        <f>Setup!$C$13</f>
        <v>1200</v>
      </c>
      <c r="Q113" s="4" t="s">
        <v>37</v>
      </c>
      <c r="R113" s="4" t="str">
        <f t="shared" si="6"/>
        <v/>
      </c>
      <c r="S113" s="4" t="s">
        <v>41</v>
      </c>
      <c r="T113" s="4">
        <f>Setup!$C$14</f>
        <v>1200</v>
      </c>
      <c r="U113" s="4" t="str">
        <f t="shared" si="7"/>
        <v/>
      </c>
      <c r="V113" s="4"/>
    </row>
    <row r="114" spans="1:22" x14ac:dyDescent="0.25">
      <c r="A114" s="4"/>
      <c r="B114" s="4" t="str">
        <f>IFERROR(IF(A114&lt;&gt;"",VLOOKUP($A114,calculation!$A$10:$V$510,12),""),"")</f>
        <v/>
      </c>
      <c r="C114" s="4" t="str">
        <f>IFERROR(IF(A114&lt;&gt;"",VLOOKUP($A114,calculation!$A$10:$V$510,15),""),"")</f>
        <v/>
      </c>
      <c r="D114" s="4" t="str">
        <f>IFERROR(IF(A114&lt;&gt;"",VLOOKUP($A114,calculation!$A$10:$V$510,22),""),"")</f>
        <v/>
      </c>
      <c r="F114" s="4" t="s">
        <v>27</v>
      </c>
      <c r="G114" s="4">
        <f>MAX($G$9:G113)+1</f>
        <v>86</v>
      </c>
      <c r="H114" s="4" t="s">
        <v>34</v>
      </c>
      <c r="I114" s="4" t="s">
        <v>35</v>
      </c>
      <c r="J114" s="4" t="str">
        <f t="shared" si="4"/>
        <v/>
      </c>
      <c r="K114" s="4" t="s">
        <v>39</v>
      </c>
      <c r="L114" s="4">
        <f>Setup!$C$15</f>
        <v>1500</v>
      </c>
      <c r="M114" s="4" t="s">
        <v>36</v>
      </c>
      <c r="N114" s="4" t="str">
        <f t="shared" si="5"/>
        <v/>
      </c>
      <c r="O114" s="4" t="s">
        <v>40</v>
      </c>
      <c r="P114" s="4">
        <f>Setup!$C$13</f>
        <v>1200</v>
      </c>
      <c r="Q114" s="4" t="s">
        <v>37</v>
      </c>
      <c r="R114" s="4" t="str">
        <f t="shared" si="6"/>
        <v/>
      </c>
      <c r="S114" s="4" t="s">
        <v>41</v>
      </c>
      <c r="T114" s="4">
        <f>Setup!$C$14</f>
        <v>1200</v>
      </c>
      <c r="U114" s="4" t="str">
        <f t="shared" si="7"/>
        <v/>
      </c>
      <c r="V114" s="4"/>
    </row>
    <row r="115" spans="1:22" x14ac:dyDescent="0.25">
      <c r="A115" s="4"/>
      <c r="B115" s="4" t="str">
        <f>IFERROR(IF(A115&lt;&gt;"",VLOOKUP($A115,calculation!$A$10:$V$510,12),""),"")</f>
        <v/>
      </c>
      <c r="C115" s="4" t="str">
        <f>IFERROR(IF(A115&lt;&gt;"",VLOOKUP($A115,calculation!$A$10:$V$510,15),""),"")</f>
        <v/>
      </c>
      <c r="D115" s="4" t="str">
        <f>IFERROR(IF(A115&lt;&gt;"",VLOOKUP($A115,calculation!$A$10:$V$510,22),""),"")</f>
        <v/>
      </c>
      <c r="F115" s="4" t="s">
        <v>27</v>
      </c>
      <c r="G115" s="4">
        <f>MAX($G$9:G114)+1</f>
        <v>87</v>
      </c>
      <c r="H115" s="4" t="s">
        <v>34</v>
      </c>
      <c r="I115" s="4" t="s">
        <v>35</v>
      </c>
      <c r="J115" s="4" t="str">
        <f t="shared" si="4"/>
        <v/>
      </c>
      <c r="K115" s="4" t="s">
        <v>39</v>
      </c>
      <c r="L115" s="4">
        <f>Setup!$C$15</f>
        <v>1500</v>
      </c>
      <c r="M115" s="4" t="s">
        <v>36</v>
      </c>
      <c r="N115" s="4" t="str">
        <f t="shared" si="5"/>
        <v/>
      </c>
      <c r="O115" s="4" t="s">
        <v>40</v>
      </c>
      <c r="P115" s="4">
        <f>Setup!$C$13</f>
        <v>1200</v>
      </c>
      <c r="Q115" s="4" t="s">
        <v>37</v>
      </c>
      <c r="R115" s="4" t="str">
        <f t="shared" si="6"/>
        <v/>
      </c>
      <c r="S115" s="4" t="s">
        <v>41</v>
      </c>
      <c r="T115" s="4">
        <f>Setup!$C$14</f>
        <v>1200</v>
      </c>
      <c r="U115" s="4" t="str">
        <f t="shared" si="7"/>
        <v/>
      </c>
      <c r="V115" s="4"/>
    </row>
    <row r="116" spans="1:22" x14ac:dyDescent="0.25">
      <c r="A116" s="4"/>
      <c r="B116" s="4" t="str">
        <f>IFERROR(IF(A116&lt;&gt;"",VLOOKUP($A116,calculation!$A$10:$V$510,12),""),"")</f>
        <v/>
      </c>
      <c r="C116" s="4" t="str">
        <f>IFERROR(IF(A116&lt;&gt;"",VLOOKUP($A116,calculation!$A$10:$V$510,15),""),"")</f>
        <v/>
      </c>
      <c r="D116" s="4" t="str">
        <f>IFERROR(IF(A116&lt;&gt;"",VLOOKUP($A116,calculation!$A$10:$V$510,22),""),"")</f>
        <v/>
      </c>
      <c r="F116" s="4" t="s">
        <v>27</v>
      </c>
      <c r="G116" s="4">
        <f>MAX($G$9:G115)+1</f>
        <v>88</v>
      </c>
      <c r="H116" s="4" t="s">
        <v>34</v>
      </c>
      <c r="I116" s="4" t="s">
        <v>35</v>
      </c>
      <c r="J116" s="4" t="str">
        <f t="shared" si="4"/>
        <v/>
      </c>
      <c r="K116" s="4" t="s">
        <v>39</v>
      </c>
      <c r="L116" s="4">
        <f>Setup!$C$15</f>
        <v>1500</v>
      </c>
      <c r="M116" s="4" t="s">
        <v>36</v>
      </c>
      <c r="N116" s="4" t="str">
        <f t="shared" si="5"/>
        <v/>
      </c>
      <c r="O116" s="4" t="s">
        <v>40</v>
      </c>
      <c r="P116" s="4">
        <f>Setup!$C$13</f>
        <v>1200</v>
      </c>
      <c r="Q116" s="4" t="s">
        <v>37</v>
      </c>
      <c r="R116" s="4" t="str">
        <f t="shared" si="6"/>
        <v/>
      </c>
      <c r="S116" s="4" t="s">
        <v>41</v>
      </c>
      <c r="T116" s="4">
        <f>Setup!$C$14</f>
        <v>1200</v>
      </c>
      <c r="U116" s="4" t="str">
        <f t="shared" si="7"/>
        <v/>
      </c>
      <c r="V116" s="4"/>
    </row>
    <row r="117" spans="1:22" x14ac:dyDescent="0.25">
      <c r="A117" s="4"/>
      <c r="B117" s="4" t="str">
        <f>IFERROR(IF(A117&lt;&gt;"",VLOOKUP($A117,calculation!$A$10:$V$510,12),""),"")</f>
        <v/>
      </c>
      <c r="C117" s="4" t="str">
        <f>IFERROR(IF(A117&lt;&gt;"",VLOOKUP($A117,calculation!$A$10:$V$510,15),""),"")</f>
        <v/>
      </c>
      <c r="D117" s="4" t="str">
        <f>IFERROR(IF(A117&lt;&gt;"",VLOOKUP($A117,calculation!$A$10:$V$510,22),""),"")</f>
        <v/>
      </c>
      <c r="F117" s="4" t="s">
        <v>27</v>
      </c>
      <c r="G117" s="4">
        <f>MAX($G$9:G116)+1</f>
        <v>89</v>
      </c>
      <c r="H117" s="4" t="s">
        <v>34</v>
      </c>
      <c r="I117" s="4" t="s">
        <v>35</v>
      </c>
      <c r="J117" s="4" t="str">
        <f t="shared" si="4"/>
        <v/>
      </c>
      <c r="K117" s="4" t="s">
        <v>39</v>
      </c>
      <c r="L117" s="4">
        <f>Setup!$C$15</f>
        <v>1500</v>
      </c>
      <c r="M117" s="4" t="s">
        <v>36</v>
      </c>
      <c r="N117" s="4" t="str">
        <f t="shared" si="5"/>
        <v/>
      </c>
      <c r="O117" s="4" t="s">
        <v>40</v>
      </c>
      <c r="P117" s="4">
        <f>Setup!$C$13</f>
        <v>1200</v>
      </c>
      <c r="Q117" s="4" t="s">
        <v>37</v>
      </c>
      <c r="R117" s="4" t="str">
        <f t="shared" si="6"/>
        <v/>
      </c>
      <c r="S117" s="4" t="s">
        <v>41</v>
      </c>
      <c r="T117" s="4">
        <f>Setup!$C$14</f>
        <v>1200</v>
      </c>
      <c r="U117" s="4" t="str">
        <f t="shared" si="7"/>
        <v/>
      </c>
      <c r="V117" s="4"/>
    </row>
    <row r="118" spans="1:22" x14ac:dyDescent="0.25">
      <c r="A118" s="4"/>
      <c r="B118" s="4" t="str">
        <f>IFERROR(IF(A118&lt;&gt;"",VLOOKUP($A118,calculation!$A$10:$V$510,12),""),"")</f>
        <v/>
      </c>
      <c r="C118" s="4" t="str">
        <f>IFERROR(IF(A118&lt;&gt;"",VLOOKUP($A118,calculation!$A$10:$V$510,15),""),"")</f>
        <v/>
      </c>
      <c r="D118" s="4" t="str">
        <f>IFERROR(IF(A118&lt;&gt;"",VLOOKUP($A118,calculation!$A$10:$V$510,22),""),"")</f>
        <v/>
      </c>
      <c r="F118" s="4" t="s">
        <v>27</v>
      </c>
      <c r="G118" s="4">
        <f>MAX($G$9:G117)+1</f>
        <v>90</v>
      </c>
      <c r="H118" s="4" t="s">
        <v>34</v>
      </c>
      <c r="I118" s="4" t="s">
        <v>35</v>
      </c>
      <c r="J118" s="4" t="str">
        <f t="shared" si="4"/>
        <v/>
      </c>
      <c r="K118" s="4" t="s">
        <v>39</v>
      </c>
      <c r="L118" s="4">
        <f>Setup!$C$15</f>
        <v>1500</v>
      </c>
      <c r="M118" s="4" t="s">
        <v>36</v>
      </c>
      <c r="N118" s="4" t="str">
        <f t="shared" si="5"/>
        <v/>
      </c>
      <c r="O118" s="4" t="s">
        <v>40</v>
      </c>
      <c r="P118" s="4">
        <f>Setup!$C$13</f>
        <v>1200</v>
      </c>
      <c r="Q118" s="4" t="s">
        <v>37</v>
      </c>
      <c r="R118" s="4" t="str">
        <f t="shared" si="6"/>
        <v/>
      </c>
      <c r="S118" s="4" t="s">
        <v>41</v>
      </c>
      <c r="T118" s="4">
        <f>Setup!$C$14</f>
        <v>1200</v>
      </c>
      <c r="U118" s="4" t="str">
        <f t="shared" si="7"/>
        <v/>
      </c>
      <c r="V118" s="4"/>
    </row>
    <row r="119" spans="1:22" x14ac:dyDescent="0.25">
      <c r="A119" s="4"/>
      <c r="B119" s="4" t="str">
        <f>IFERROR(IF(A119&lt;&gt;"",VLOOKUP($A119,calculation!$A$10:$V$510,12),""),"")</f>
        <v/>
      </c>
      <c r="C119" s="4" t="str">
        <f>IFERROR(IF(A119&lt;&gt;"",VLOOKUP($A119,calculation!$A$10:$V$510,15),""),"")</f>
        <v/>
      </c>
      <c r="D119" s="4" t="str">
        <f>IFERROR(IF(A119&lt;&gt;"",VLOOKUP($A119,calculation!$A$10:$V$510,22),""),"")</f>
        <v/>
      </c>
      <c r="F119" s="4" t="s">
        <v>27</v>
      </c>
      <c r="G119" s="4">
        <f>MAX($G$9:G118)+1</f>
        <v>91</v>
      </c>
      <c r="H119" s="4" t="s">
        <v>34</v>
      </c>
      <c r="I119" s="4" t="s">
        <v>35</v>
      </c>
      <c r="J119" s="4" t="str">
        <f t="shared" si="4"/>
        <v/>
      </c>
      <c r="K119" s="4" t="s">
        <v>39</v>
      </c>
      <c r="L119" s="4">
        <f>Setup!$C$15</f>
        <v>1500</v>
      </c>
      <c r="M119" s="4" t="s">
        <v>36</v>
      </c>
      <c r="N119" s="4" t="str">
        <f t="shared" si="5"/>
        <v/>
      </c>
      <c r="O119" s="4" t="s">
        <v>40</v>
      </c>
      <c r="P119" s="4">
        <f>Setup!$C$13</f>
        <v>1200</v>
      </c>
      <c r="Q119" s="4" t="s">
        <v>37</v>
      </c>
      <c r="R119" s="4" t="str">
        <f t="shared" si="6"/>
        <v/>
      </c>
      <c r="S119" s="4" t="s">
        <v>41</v>
      </c>
      <c r="T119" s="4">
        <f>Setup!$C$14</f>
        <v>1200</v>
      </c>
      <c r="U119" s="4" t="str">
        <f t="shared" si="7"/>
        <v/>
      </c>
      <c r="V119" s="4"/>
    </row>
    <row r="120" spans="1:22" x14ac:dyDescent="0.25">
      <c r="A120" s="4"/>
      <c r="B120" s="4" t="str">
        <f>IFERROR(IF(A120&lt;&gt;"",VLOOKUP($A120,calculation!$A$10:$V$510,12),""),"")</f>
        <v/>
      </c>
      <c r="C120" s="4" t="str">
        <f>IFERROR(IF(A120&lt;&gt;"",VLOOKUP($A120,calculation!$A$10:$V$510,15),""),"")</f>
        <v/>
      </c>
      <c r="D120" s="4" t="str">
        <f>IFERROR(IF(A120&lt;&gt;"",VLOOKUP($A120,calculation!$A$10:$V$510,22),""),"")</f>
        <v/>
      </c>
      <c r="F120" s="4" t="s">
        <v>27</v>
      </c>
      <c r="G120" s="4">
        <f>MAX($G$9:G119)+1</f>
        <v>92</v>
      </c>
      <c r="H120" s="4" t="s">
        <v>34</v>
      </c>
      <c r="I120" s="4" t="s">
        <v>35</v>
      </c>
      <c r="J120" s="4" t="str">
        <f t="shared" si="4"/>
        <v/>
      </c>
      <c r="K120" s="4" t="s">
        <v>39</v>
      </c>
      <c r="L120" s="4">
        <f>Setup!$C$15</f>
        <v>1500</v>
      </c>
      <c r="M120" s="4" t="s">
        <v>36</v>
      </c>
      <c r="N120" s="4" t="str">
        <f t="shared" si="5"/>
        <v/>
      </c>
      <c r="O120" s="4" t="s">
        <v>40</v>
      </c>
      <c r="P120" s="4">
        <f>Setup!$C$13</f>
        <v>1200</v>
      </c>
      <c r="Q120" s="4" t="s">
        <v>37</v>
      </c>
      <c r="R120" s="4" t="str">
        <f t="shared" si="6"/>
        <v/>
      </c>
      <c r="S120" s="4" t="s">
        <v>41</v>
      </c>
      <c r="T120" s="4">
        <f>Setup!$C$14</f>
        <v>1200</v>
      </c>
      <c r="U120" s="4" t="str">
        <f t="shared" si="7"/>
        <v/>
      </c>
      <c r="V120" s="4"/>
    </row>
    <row r="121" spans="1:22" x14ac:dyDescent="0.25">
      <c r="A121" s="4"/>
      <c r="B121" s="4" t="str">
        <f>IFERROR(IF(A121&lt;&gt;"",VLOOKUP($A121,calculation!$A$10:$V$510,12),""),"")</f>
        <v/>
      </c>
      <c r="C121" s="4" t="str">
        <f>IFERROR(IF(A121&lt;&gt;"",VLOOKUP($A121,calculation!$A$10:$V$510,15),""),"")</f>
        <v/>
      </c>
      <c r="D121" s="4" t="str">
        <f>IFERROR(IF(A121&lt;&gt;"",VLOOKUP($A121,calculation!$A$10:$V$510,22),""),"")</f>
        <v/>
      </c>
      <c r="F121" s="4" t="s">
        <v>27</v>
      </c>
      <c r="G121" s="4">
        <f>MAX($G$9:G120)+1</f>
        <v>93</v>
      </c>
      <c r="H121" s="4" t="s">
        <v>34</v>
      </c>
      <c r="I121" s="4" t="s">
        <v>35</v>
      </c>
      <c r="J121" s="4" t="str">
        <f t="shared" si="4"/>
        <v/>
      </c>
      <c r="K121" s="4" t="s">
        <v>39</v>
      </c>
      <c r="L121" s="4">
        <f>Setup!$C$15</f>
        <v>1500</v>
      </c>
      <c r="M121" s="4" t="s">
        <v>36</v>
      </c>
      <c r="N121" s="4" t="str">
        <f t="shared" si="5"/>
        <v/>
      </c>
      <c r="O121" s="4" t="s">
        <v>40</v>
      </c>
      <c r="P121" s="4">
        <f>Setup!$C$13</f>
        <v>1200</v>
      </c>
      <c r="Q121" s="4" t="s">
        <v>37</v>
      </c>
      <c r="R121" s="4" t="str">
        <f t="shared" si="6"/>
        <v/>
      </c>
      <c r="S121" s="4" t="s">
        <v>41</v>
      </c>
      <c r="T121" s="4">
        <f>Setup!$C$14</f>
        <v>1200</v>
      </c>
      <c r="U121" s="4" t="str">
        <f t="shared" si="7"/>
        <v/>
      </c>
      <c r="V121" s="4"/>
    </row>
    <row r="122" spans="1:22" x14ac:dyDescent="0.25">
      <c r="A122" s="4"/>
      <c r="B122" s="4" t="str">
        <f>IFERROR(IF(A122&lt;&gt;"",VLOOKUP($A122,calculation!$A$10:$V$510,12),""),"")</f>
        <v/>
      </c>
      <c r="C122" s="4" t="str">
        <f>IFERROR(IF(A122&lt;&gt;"",VLOOKUP($A122,calculation!$A$10:$V$510,15),""),"")</f>
        <v/>
      </c>
      <c r="D122" s="4" t="str">
        <f>IFERROR(IF(A122&lt;&gt;"",VLOOKUP($A122,calculation!$A$10:$V$510,22),""),"")</f>
        <v/>
      </c>
      <c r="F122" s="4" t="s">
        <v>27</v>
      </c>
      <c r="G122" s="4">
        <f>MAX($G$9:G121)+1</f>
        <v>94</v>
      </c>
      <c r="H122" s="4" t="s">
        <v>34</v>
      </c>
      <c r="I122" s="4" t="s">
        <v>35</v>
      </c>
      <c r="J122" s="4" t="str">
        <f t="shared" si="4"/>
        <v/>
      </c>
      <c r="K122" s="4" t="s">
        <v>39</v>
      </c>
      <c r="L122" s="4">
        <f>Setup!$C$15</f>
        <v>1500</v>
      </c>
      <c r="M122" s="4" t="s">
        <v>36</v>
      </c>
      <c r="N122" s="4" t="str">
        <f t="shared" si="5"/>
        <v/>
      </c>
      <c r="O122" s="4" t="s">
        <v>40</v>
      </c>
      <c r="P122" s="4">
        <f>Setup!$C$13</f>
        <v>1200</v>
      </c>
      <c r="Q122" s="4" t="s">
        <v>37</v>
      </c>
      <c r="R122" s="4" t="str">
        <f t="shared" si="6"/>
        <v/>
      </c>
      <c r="S122" s="4" t="s">
        <v>41</v>
      </c>
      <c r="T122" s="4">
        <f>Setup!$C$14</f>
        <v>1200</v>
      </c>
      <c r="U122" s="4" t="str">
        <f t="shared" si="7"/>
        <v/>
      </c>
      <c r="V122" s="4"/>
    </row>
    <row r="123" spans="1:22" x14ac:dyDescent="0.25">
      <c r="A123" s="4"/>
      <c r="B123" s="4" t="str">
        <f>IFERROR(IF(A123&lt;&gt;"",VLOOKUP($A123,calculation!$A$10:$V$510,12),""),"")</f>
        <v/>
      </c>
      <c r="C123" s="4" t="str">
        <f>IFERROR(IF(A123&lt;&gt;"",VLOOKUP($A123,calculation!$A$10:$V$510,15),""),"")</f>
        <v/>
      </c>
      <c r="D123" s="4" t="str">
        <f>IFERROR(IF(A123&lt;&gt;"",VLOOKUP($A123,calculation!$A$10:$V$510,22),""),"")</f>
        <v/>
      </c>
      <c r="F123" s="4" t="s">
        <v>27</v>
      </c>
      <c r="G123" s="4">
        <f>MAX($G$9:G122)+1</f>
        <v>95</v>
      </c>
      <c r="H123" s="4" t="s">
        <v>34</v>
      </c>
      <c r="I123" s="4" t="s">
        <v>35</v>
      </c>
      <c r="J123" s="4" t="str">
        <f t="shared" si="4"/>
        <v/>
      </c>
      <c r="K123" s="4" t="s">
        <v>39</v>
      </c>
      <c r="L123" s="4">
        <f>Setup!$C$15</f>
        <v>1500</v>
      </c>
      <c r="M123" s="4" t="s">
        <v>36</v>
      </c>
      <c r="N123" s="4" t="str">
        <f t="shared" si="5"/>
        <v/>
      </c>
      <c r="O123" s="4" t="s">
        <v>40</v>
      </c>
      <c r="P123" s="4">
        <f>Setup!$C$13</f>
        <v>1200</v>
      </c>
      <c r="Q123" s="4" t="s">
        <v>37</v>
      </c>
      <c r="R123" s="4" t="str">
        <f t="shared" si="6"/>
        <v/>
      </c>
      <c r="S123" s="4" t="s">
        <v>41</v>
      </c>
      <c r="T123" s="4">
        <f>Setup!$C$14</f>
        <v>1200</v>
      </c>
      <c r="U123" s="4" t="str">
        <f t="shared" si="7"/>
        <v/>
      </c>
      <c r="V123" s="4"/>
    </row>
    <row r="124" spans="1:22" x14ac:dyDescent="0.25">
      <c r="A124" s="4"/>
      <c r="B124" s="4" t="str">
        <f>IFERROR(IF(A124&lt;&gt;"",VLOOKUP($A124,calculation!$A$10:$V$510,12),""),"")</f>
        <v/>
      </c>
      <c r="C124" s="4" t="str">
        <f>IFERROR(IF(A124&lt;&gt;"",VLOOKUP($A124,calculation!$A$10:$V$510,15),""),"")</f>
        <v/>
      </c>
      <c r="D124" s="4" t="str">
        <f>IFERROR(IF(A124&lt;&gt;"",VLOOKUP($A124,calculation!$A$10:$V$510,22),""),"")</f>
        <v/>
      </c>
      <c r="F124" s="4" t="s">
        <v>27</v>
      </c>
      <c r="G124" s="4">
        <f>MAX($G$9:G123)+1</f>
        <v>96</v>
      </c>
      <c r="H124" s="4" t="s">
        <v>34</v>
      </c>
      <c r="I124" s="4" t="s">
        <v>35</v>
      </c>
      <c r="J124" s="4" t="str">
        <f t="shared" si="4"/>
        <v/>
      </c>
      <c r="K124" s="4" t="s">
        <v>39</v>
      </c>
      <c r="L124" s="4">
        <f>Setup!$C$15</f>
        <v>1500</v>
      </c>
      <c r="M124" s="4" t="s">
        <v>36</v>
      </c>
      <c r="N124" s="4" t="str">
        <f t="shared" si="5"/>
        <v/>
      </c>
      <c r="O124" s="4" t="s">
        <v>40</v>
      </c>
      <c r="P124" s="4">
        <f>Setup!$C$13</f>
        <v>1200</v>
      </c>
      <c r="Q124" s="4" t="s">
        <v>37</v>
      </c>
      <c r="R124" s="4" t="str">
        <f t="shared" si="6"/>
        <v/>
      </c>
      <c r="S124" s="4" t="s">
        <v>41</v>
      </c>
      <c r="T124" s="4">
        <f>Setup!$C$14</f>
        <v>1200</v>
      </c>
      <c r="U124" s="4" t="str">
        <f t="shared" si="7"/>
        <v/>
      </c>
      <c r="V124" s="4"/>
    </row>
    <row r="125" spans="1:22" x14ac:dyDescent="0.25">
      <c r="A125" s="4"/>
      <c r="B125" s="4" t="str">
        <f>IFERROR(IF(A125&lt;&gt;"",VLOOKUP($A125,calculation!$A$10:$V$510,12),""),"")</f>
        <v/>
      </c>
      <c r="C125" s="4" t="str">
        <f>IFERROR(IF(A125&lt;&gt;"",VLOOKUP($A125,calculation!$A$10:$V$510,15),""),"")</f>
        <v/>
      </c>
      <c r="D125" s="4" t="str">
        <f>IFERROR(IF(A125&lt;&gt;"",VLOOKUP($A125,calculation!$A$10:$V$510,22),""),"")</f>
        <v/>
      </c>
      <c r="F125" s="4" t="s">
        <v>27</v>
      </c>
      <c r="G125" s="4">
        <f>MAX($G$9:G124)+1</f>
        <v>97</v>
      </c>
      <c r="H125" s="4" t="s">
        <v>34</v>
      </c>
      <c r="I125" s="4" t="s">
        <v>35</v>
      </c>
      <c r="J125" s="4" t="str">
        <f t="shared" si="4"/>
        <v/>
      </c>
      <c r="K125" s="4" t="s">
        <v>39</v>
      </c>
      <c r="L125" s="4">
        <f>Setup!$C$15</f>
        <v>1500</v>
      </c>
      <c r="M125" s="4" t="s">
        <v>36</v>
      </c>
      <c r="N125" s="4" t="str">
        <f t="shared" si="5"/>
        <v/>
      </c>
      <c r="O125" s="4" t="s">
        <v>40</v>
      </c>
      <c r="P125" s="4">
        <f>Setup!$C$13</f>
        <v>1200</v>
      </c>
      <c r="Q125" s="4" t="s">
        <v>37</v>
      </c>
      <c r="R125" s="4" t="str">
        <f t="shared" si="6"/>
        <v/>
      </c>
      <c r="S125" s="4" t="s">
        <v>41</v>
      </c>
      <c r="T125" s="4">
        <f>Setup!$C$14</f>
        <v>1200</v>
      </c>
      <c r="U125" s="4" t="str">
        <f t="shared" si="7"/>
        <v/>
      </c>
      <c r="V125" s="4"/>
    </row>
    <row r="126" spans="1:22" x14ac:dyDescent="0.25">
      <c r="A126" s="4"/>
      <c r="B126" s="4" t="str">
        <f>IFERROR(IF(A126&lt;&gt;"",VLOOKUP($A126,calculation!$A$10:$V$510,12),""),"")</f>
        <v/>
      </c>
      <c r="C126" s="4" t="str">
        <f>IFERROR(IF(A126&lt;&gt;"",VLOOKUP($A126,calculation!$A$10:$V$510,15),""),"")</f>
        <v/>
      </c>
      <c r="D126" s="4" t="str">
        <f>IFERROR(IF(A126&lt;&gt;"",VLOOKUP($A126,calculation!$A$10:$V$510,22),""),"")</f>
        <v/>
      </c>
      <c r="F126" s="4" t="s">
        <v>27</v>
      </c>
      <c r="G126" s="4">
        <f>MAX($G$9:G125)+1</f>
        <v>98</v>
      </c>
      <c r="H126" s="4" t="s">
        <v>34</v>
      </c>
      <c r="I126" s="4" t="s">
        <v>35</v>
      </c>
      <c r="J126" s="4" t="str">
        <f t="shared" si="4"/>
        <v/>
      </c>
      <c r="K126" s="4" t="s">
        <v>39</v>
      </c>
      <c r="L126" s="4">
        <f>Setup!$C$15</f>
        <v>1500</v>
      </c>
      <c r="M126" s="4" t="s">
        <v>36</v>
      </c>
      <c r="N126" s="4" t="str">
        <f t="shared" si="5"/>
        <v/>
      </c>
      <c r="O126" s="4" t="s">
        <v>40</v>
      </c>
      <c r="P126" s="4">
        <f>Setup!$C$13</f>
        <v>1200</v>
      </c>
      <c r="Q126" s="4" t="s">
        <v>37</v>
      </c>
      <c r="R126" s="4" t="str">
        <f t="shared" si="6"/>
        <v/>
      </c>
      <c r="S126" s="4" t="s">
        <v>41</v>
      </c>
      <c r="T126" s="4">
        <f>Setup!$C$14</f>
        <v>1200</v>
      </c>
      <c r="U126" s="4" t="str">
        <f t="shared" si="7"/>
        <v/>
      </c>
      <c r="V126" s="4"/>
    </row>
    <row r="127" spans="1:22" x14ac:dyDescent="0.25">
      <c r="A127" s="4"/>
      <c r="B127" s="4" t="str">
        <f>IFERROR(IF(A127&lt;&gt;"",VLOOKUP($A127,calculation!$A$10:$V$510,12),""),"")</f>
        <v/>
      </c>
      <c r="C127" s="4" t="str">
        <f>IFERROR(IF(A127&lt;&gt;"",VLOOKUP($A127,calculation!$A$10:$V$510,15),""),"")</f>
        <v/>
      </c>
      <c r="D127" s="4" t="str">
        <f>IFERROR(IF(A127&lt;&gt;"",VLOOKUP($A127,calculation!$A$10:$V$510,22),""),"")</f>
        <v/>
      </c>
      <c r="F127" s="4" t="s">
        <v>27</v>
      </c>
      <c r="G127" s="4">
        <f>MAX($G$9:G126)+1</f>
        <v>99</v>
      </c>
      <c r="H127" s="4" t="s">
        <v>34</v>
      </c>
      <c r="I127" s="4" t="s">
        <v>35</v>
      </c>
      <c r="J127" s="4" t="str">
        <f t="shared" si="4"/>
        <v/>
      </c>
      <c r="K127" s="4" t="s">
        <v>39</v>
      </c>
      <c r="L127" s="4">
        <f>Setup!$C$15</f>
        <v>1500</v>
      </c>
      <c r="M127" s="4" t="s">
        <v>36</v>
      </c>
      <c r="N127" s="4" t="str">
        <f t="shared" si="5"/>
        <v/>
      </c>
      <c r="O127" s="4" t="s">
        <v>40</v>
      </c>
      <c r="P127" s="4">
        <f>Setup!$C$13</f>
        <v>1200</v>
      </c>
      <c r="Q127" s="4" t="s">
        <v>37</v>
      </c>
      <c r="R127" s="4" t="str">
        <f t="shared" si="6"/>
        <v/>
      </c>
      <c r="S127" s="4" t="s">
        <v>41</v>
      </c>
      <c r="T127" s="4">
        <f>Setup!$C$14</f>
        <v>1200</v>
      </c>
      <c r="U127" s="4" t="str">
        <f t="shared" si="7"/>
        <v/>
      </c>
      <c r="V127" s="4"/>
    </row>
    <row r="128" spans="1:22" x14ac:dyDescent="0.25">
      <c r="A128" s="4"/>
      <c r="B128" s="4" t="str">
        <f>IFERROR(IF(A128&lt;&gt;"",VLOOKUP($A128,calculation!$A$10:$V$510,12),""),"")</f>
        <v/>
      </c>
      <c r="C128" s="4" t="str">
        <f>IFERROR(IF(A128&lt;&gt;"",VLOOKUP($A128,calculation!$A$10:$V$510,15),""),"")</f>
        <v/>
      </c>
      <c r="D128" s="4" t="str">
        <f>IFERROR(IF(A128&lt;&gt;"",VLOOKUP($A128,calculation!$A$10:$V$510,22),""),"")</f>
        <v/>
      </c>
      <c r="F128" s="4" t="s">
        <v>27</v>
      </c>
      <c r="G128" s="4">
        <f>MAX($G$9:G127)+1</f>
        <v>100</v>
      </c>
      <c r="H128" s="4" t="s">
        <v>34</v>
      </c>
      <c r="I128" s="4" t="s">
        <v>35</v>
      </c>
      <c r="J128" s="4" t="str">
        <f t="shared" si="4"/>
        <v/>
      </c>
      <c r="K128" s="4" t="s">
        <v>39</v>
      </c>
      <c r="L128" s="4">
        <f>Setup!$C$15</f>
        <v>1500</v>
      </c>
      <c r="M128" s="4" t="s">
        <v>36</v>
      </c>
      <c r="N128" s="4" t="str">
        <f t="shared" si="5"/>
        <v/>
      </c>
      <c r="O128" s="4" t="s">
        <v>40</v>
      </c>
      <c r="P128" s="4">
        <f>Setup!$C$13</f>
        <v>1200</v>
      </c>
      <c r="Q128" s="4" t="s">
        <v>37</v>
      </c>
      <c r="R128" s="4" t="str">
        <f t="shared" si="6"/>
        <v/>
      </c>
      <c r="S128" s="4" t="s">
        <v>41</v>
      </c>
      <c r="T128" s="4">
        <f>Setup!$C$14</f>
        <v>1200</v>
      </c>
      <c r="U128" s="4" t="str">
        <f t="shared" si="7"/>
        <v/>
      </c>
      <c r="V128" s="4"/>
    </row>
    <row r="129" spans="1:22" x14ac:dyDescent="0.25">
      <c r="A129" s="4"/>
      <c r="B129" s="4" t="str">
        <f>IFERROR(IF(A129&lt;&gt;"",VLOOKUP($A129,calculation!$A$10:$V$510,12),""),"")</f>
        <v/>
      </c>
      <c r="C129" s="4" t="str">
        <f>IFERROR(IF(A129&lt;&gt;"",VLOOKUP($A129,calculation!$A$10:$V$510,15),""),"")</f>
        <v/>
      </c>
      <c r="D129" s="4" t="str">
        <f>IFERROR(IF(A129&lt;&gt;"",VLOOKUP($A129,calculation!$A$10:$V$510,22),""),"")</f>
        <v/>
      </c>
      <c r="F129" s="4" t="s">
        <v>27</v>
      </c>
      <c r="G129" s="4">
        <f>MAX($G$9:G128)+1</f>
        <v>101</v>
      </c>
      <c r="H129" s="4" t="s">
        <v>34</v>
      </c>
      <c r="I129" s="4" t="s">
        <v>35</v>
      </c>
      <c r="J129" s="4" t="str">
        <f t="shared" si="4"/>
        <v/>
      </c>
      <c r="K129" s="4" t="s">
        <v>39</v>
      </c>
      <c r="L129" s="4">
        <f>Setup!$C$15</f>
        <v>1500</v>
      </c>
      <c r="M129" s="4" t="s">
        <v>36</v>
      </c>
      <c r="N129" s="4" t="str">
        <f t="shared" si="5"/>
        <v/>
      </c>
      <c r="O129" s="4" t="s">
        <v>40</v>
      </c>
      <c r="P129" s="4">
        <f>Setup!$C$13</f>
        <v>1200</v>
      </c>
      <c r="Q129" s="4" t="s">
        <v>37</v>
      </c>
      <c r="R129" s="4" t="str">
        <f t="shared" si="6"/>
        <v/>
      </c>
      <c r="S129" s="4" t="s">
        <v>41</v>
      </c>
      <c r="T129" s="4">
        <f>Setup!$C$14</f>
        <v>1200</v>
      </c>
      <c r="U129" s="4" t="str">
        <f t="shared" si="7"/>
        <v/>
      </c>
      <c r="V129" s="4"/>
    </row>
    <row r="130" spans="1:22" x14ac:dyDescent="0.25">
      <c r="A130" s="4"/>
      <c r="B130" s="4" t="str">
        <f>IFERROR(IF(A130&lt;&gt;"",VLOOKUP($A130,calculation!$A$10:$V$510,12),""),"")</f>
        <v/>
      </c>
      <c r="C130" s="4" t="str">
        <f>IFERROR(IF(A130&lt;&gt;"",VLOOKUP($A130,calculation!$A$10:$V$510,15),""),"")</f>
        <v/>
      </c>
      <c r="D130" s="4" t="str">
        <f>IFERROR(IF(A130&lt;&gt;"",VLOOKUP($A130,calculation!$A$10:$V$510,22),""),"")</f>
        <v/>
      </c>
      <c r="F130" s="4" t="s">
        <v>27</v>
      </c>
      <c r="G130" s="4">
        <f>MAX($G$9:G129)+1</f>
        <v>102</v>
      </c>
      <c r="H130" s="4" t="s">
        <v>34</v>
      </c>
      <c r="I130" s="4" t="s">
        <v>35</v>
      </c>
      <c r="J130" s="4" t="str">
        <f t="shared" si="4"/>
        <v/>
      </c>
      <c r="K130" s="4" t="s">
        <v>39</v>
      </c>
      <c r="L130" s="4">
        <f>Setup!$C$15</f>
        <v>1500</v>
      </c>
      <c r="M130" s="4" t="s">
        <v>36</v>
      </c>
      <c r="N130" s="4" t="str">
        <f t="shared" si="5"/>
        <v/>
      </c>
      <c r="O130" s="4" t="s">
        <v>40</v>
      </c>
      <c r="P130" s="4">
        <f>Setup!$C$13</f>
        <v>1200</v>
      </c>
      <c r="Q130" s="4" t="s">
        <v>37</v>
      </c>
      <c r="R130" s="4" t="str">
        <f t="shared" si="6"/>
        <v/>
      </c>
      <c r="S130" s="4" t="s">
        <v>41</v>
      </c>
      <c r="T130" s="4">
        <f>Setup!$C$14</f>
        <v>1200</v>
      </c>
      <c r="U130" s="4" t="str">
        <f t="shared" si="7"/>
        <v/>
      </c>
      <c r="V130" s="4"/>
    </row>
    <row r="131" spans="1:22" x14ac:dyDescent="0.25">
      <c r="A131" s="4"/>
      <c r="B131" s="4" t="str">
        <f>IFERROR(IF(A131&lt;&gt;"",VLOOKUP($A131,calculation!$A$10:$V$510,12),""),"")</f>
        <v/>
      </c>
      <c r="C131" s="4" t="str">
        <f>IFERROR(IF(A131&lt;&gt;"",VLOOKUP($A131,calculation!$A$10:$V$510,15),""),"")</f>
        <v/>
      </c>
      <c r="D131" s="4" t="str">
        <f>IFERROR(IF(A131&lt;&gt;"",VLOOKUP($A131,calculation!$A$10:$V$510,22),""),"")</f>
        <v/>
      </c>
      <c r="F131" s="4" t="s">
        <v>27</v>
      </c>
      <c r="G131" s="4">
        <f>MAX($G$9:G130)+1</f>
        <v>103</v>
      </c>
      <c r="H131" s="4" t="s">
        <v>34</v>
      </c>
      <c r="I131" s="4" t="s">
        <v>35</v>
      </c>
      <c r="J131" s="4" t="str">
        <f t="shared" si="4"/>
        <v/>
      </c>
      <c r="K131" s="4" t="s">
        <v>39</v>
      </c>
      <c r="L131" s="4">
        <f>Setup!$C$15</f>
        <v>1500</v>
      </c>
      <c r="M131" s="4" t="s">
        <v>36</v>
      </c>
      <c r="N131" s="4" t="str">
        <f t="shared" si="5"/>
        <v/>
      </c>
      <c r="O131" s="4" t="s">
        <v>40</v>
      </c>
      <c r="P131" s="4">
        <f>Setup!$C$13</f>
        <v>1200</v>
      </c>
      <c r="Q131" s="4" t="s">
        <v>37</v>
      </c>
      <c r="R131" s="4" t="str">
        <f t="shared" si="6"/>
        <v/>
      </c>
      <c r="S131" s="4" t="s">
        <v>41</v>
      </c>
      <c r="T131" s="4">
        <f>Setup!$C$14</f>
        <v>1200</v>
      </c>
      <c r="U131" s="4" t="str">
        <f t="shared" si="7"/>
        <v/>
      </c>
      <c r="V131" s="4"/>
    </row>
    <row r="132" spans="1:22" x14ac:dyDescent="0.25">
      <c r="A132" s="4"/>
      <c r="B132" s="4" t="str">
        <f>IFERROR(IF(A132&lt;&gt;"",VLOOKUP($A132,calculation!$A$10:$V$510,12),""),"")</f>
        <v/>
      </c>
      <c r="C132" s="4" t="str">
        <f>IFERROR(IF(A132&lt;&gt;"",VLOOKUP($A132,calculation!$A$10:$V$510,15),""),"")</f>
        <v/>
      </c>
      <c r="D132" s="4" t="str">
        <f>IFERROR(IF(A132&lt;&gt;"",VLOOKUP($A132,calculation!$A$10:$V$510,22),""),"")</f>
        <v/>
      </c>
      <c r="F132" s="4" t="s">
        <v>27</v>
      </c>
      <c r="G132" s="4">
        <f>MAX($G$9:G131)+1</f>
        <v>104</v>
      </c>
      <c r="H132" s="4" t="s">
        <v>34</v>
      </c>
      <c r="I132" s="4" t="s">
        <v>35</v>
      </c>
      <c r="J132" s="4" t="str">
        <f t="shared" si="4"/>
        <v/>
      </c>
      <c r="K132" s="4" t="s">
        <v>39</v>
      </c>
      <c r="L132" s="4">
        <f>Setup!$C$15</f>
        <v>1500</v>
      </c>
      <c r="M132" s="4" t="s">
        <v>36</v>
      </c>
      <c r="N132" s="4" t="str">
        <f t="shared" si="5"/>
        <v/>
      </c>
      <c r="O132" s="4" t="s">
        <v>40</v>
      </c>
      <c r="P132" s="4">
        <f>Setup!$C$13</f>
        <v>1200</v>
      </c>
      <c r="Q132" s="4" t="s">
        <v>37</v>
      </c>
      <c r="R132" s="4" t="str">
        <f t="shared" si="6"/>
        <v/>
      </c>
      <c r="S132" s="4" t="s">
        <v>41</v>
      </c>
      <c r="T132" s="4">
        <f>Setup!$C$14</f>
        <v>1200</v>
      </c>
      <c r="U132" s="4" t="str">
        <f t="shared" si="7"/>
        <v/>
      </c>
      <c r="V132" s="4"/>
    </row>
    <row r="133" spans="1:22" x14ac:dyDescent="0.25">
      <c r="A133" s="4"/>
      <c r="B133" s="4" t="str">
        <f>IFERROR(IF(A133&lt;&gt;"",VLOOKUP($A133,calculation!$A$10:$V$510,12),""),"")</f>
        <v/>
      </c>
      <c r="C133" s="4" t="str">
        <f>IFERROR(IF(A133&lt;&gt;"",VLOOKUP($A133,calculation!$A$10:$V$510,15),""),"")</f>
        <v/>
      </c>
      <c r="D133" s="4" t="str">
        <f>IFERROR(IF(A133&lt;&gt;"",VLOOKUP($A133,calculation!$A$10:$V$510,22),""),"")</f>
        <v/>
      </c>
      <c r="F133" s="4" t="s">
        <v>27</v>
      </c>
      <c r="G133" s="4">
        <f>MAX($G$9:G132)+1</f>
        <v>105</v>
      </c>
      <c r="H133" s="4" t="s">
        <v>34</v>
      </c>
      <c r="I133" s="4" t="s">
        <v>35</v>
      </c>
      <c r="J133" s="4" t="str">
        <f t="shared" si="4"/>
        <v/>
      </c>
      <c r="K133" s="4" t="s">
        <v>39</v>
      </c>
      <c r="L133" s="4">
        <f>Setup!$C$15</f>
        <v>1500</v>
      </c>
      <c r="M133" s="4" t="s">
        <v>36</v>
      </c>
      <c r="N133" s="4" t="str">
        <f t="shared" si="5"/>
        <v/>
      </c>
      <c r="O133" s="4" t="s">
        <v>40</v>
      </c>
      <c r="P133" s="4">
        <f>Setup!$C$13</f>
        <v>1200</v>
      </c>
      <c r="Q133" s="4" t="s">
        <v>37</v>
      </c>
      <c r="R133" s="4" t="str">
        <f t="shared" si="6"/>
        <v/>
      </c>
      <c r="S133" s="4" t="s">
        <v>41</v>
      </c>
      <c r="T133" s="4">
        <f>Setup!$C$14</f>
        <v>1200</v>
      </c>
      <c r="U133" s="4" t="str">
        <f t="shared" si="7"/>
        <v/>
      </c>
      <c r="V133" s="4"/>
    </row>
    <row r="134" spans="1:22" x14ac:dyDescent="0.25">
      <c r="A134" s="4"/>
      <c r="B134" s="4" t="str">
        <f>IFERROR(IF(A134&lt;&gt;"",VLOOKUP($A134,calculation!$A$10:$V$510,12),""),"")</f>
        <v/>
      </c>
      <c r="C134" s="4" t="str">
        <f>IFERROR(IF(A134&lt;&gt;"",VLOOKUP($A134,calculation!$A$10:$V$510,15),""),"")</f>
        <v/>
      </c>
      <c r="D134" s="4" t="str">
        <f>IFERROR(IF(A134&lt;&gt;"",VLOOKUP($A134,calculation!$A$10:$V$510,22),""),"")</f>
        <v/>
      </c>
      <c r="F134" s="4" t="s">
        <v>27</v>
      </c>
      <c r="G134" s="4">
        <f>MAX($G$9:G133)+1</f>
        <v>106</v>
      </c>
      <c r="H134" s="4" t="s">
        <v>34</v>
      </c>
      <c r="I134" s="4" t="s">
        <v>35</v>
      </c>
      <c r="J134" s="4" t="str">
        <f t="shared" si="4"/>
        <v/>
      </c>
      <c r="K134" s="4" t="s">
        <v>39</v>
      </c>
      <c r="L134" s="4">
        <f>Setup!$C$15</f>
        <v>1500</v>
      </c>
      <c r="M134" s="4" t="s">
        <v>36</v>
      </c>
      <c r="N134" s="4" t="str">
        <f t="shared" si="5"/>
        <v/>
      </c>
      <c r="O134" s="4" t="s">
        <v>40</v>
      </c>
      <c r="P134" s="4">
        <f>Setup!$C$13</f>
        <v>1200</v>
      </c>
      <c r="Q134" s="4" t="s">
        <v>37</v>
      </c>
      <c r="R134" s="4" t="str">
        <f t="shared" si="6"/>
        <v/>
      </c>
      <c r="S134" s="4" t="s">
        <v>41</v>
      </c>
      <c r="T134" s="4">
        <f>Setup!$C$14</f>
        <v>1200</v>
      </c>
      <c r="U134" s="4" t="str">
        <f t="shared" si="7"/>
        <v/>
      </c>
      <c r="V134" s="4"/>
    </row>
    <row r="135" spans="1:22" x14ac:dyDescent="0.25">
      <c r="A135" s="4"/>
      <c r="B135" s="4" t="str">
        <f>IFERROR(IF(A135&lt;&gt;"",VLOOKUP($A135,calculation!$A$10:$V$510,12),""),"")</f>
        <v/>
      </c>
      <c r="C135" s="4" t="str">
        <f>IFERROR(IF(A135&lt;&gt;"",VLOOKUP($A135,calculation!$A$10:$V$510,15),""),"")</f>
        <v/>
      </c>
      <c r="D135" s="4" t="str">
        <f>IFERROR(IF(A135&lt;&gt;"",VLOOKUP($A135,calculation!$A$10:$V$510,22),""),"")</f>
        <v/>
      </c>
      <c r="F135" s="4" t="s">
        <v>27</v>
      </c>
      <c r="G135" s="4">
        <f>MAX($G$9:G134)+1</f>
        <v>107</v>
      </c>
      <c r="H135" s="4" t="s">
        <v>34</v>
      </c>
      <c r="I135" s="4" t="s">
        <v>35</v>
      </c>
      <c r="J135" s="4" t="str">
        <f t="shared" si="4"/>
        <v/>
      </c>
      <c r="K135" s="4" t="s">
        <v>39</v>
      </c>
      <c r="L135" s="4">
        <f>Setup!$C$15</f>
        <v>1500</v>
      </c>
      <c r="M135" s="4" t="s">
        <v>36</v>
      </c>
      <c r="N135" s="4" t="str">
        <f t="shared" si="5"/>
        <v/>
      </c>
      <c r="O135" s="4" t="s">
        <v>40</v>
      </c>
      <c r="P135" s="4">
        <f>Setup!$C$13</f>
        <v>1200</v>
      </c>
      <c r="Q135" s="4" t="s">
        <v>37</v>
      </c>
      <c r="R135" s="4" t="str">
        <f t="shared" si="6"/>
        <v/>
      </c>
      <c r="S135" s="4" t="s">
        <v>41</v>
      </c>
      <c r="T135" s="4">
        <f>Setup!$C$14</f>
        <v>1200</v>
      </c>
      <c r="U135" s="4" t="str">
        <f t="shared" si="7"/>
        <v/>
      </c>
      <c r="V135" s="4"/>
    </row>
    <row r="136" spans="1:22" x14ac:dyDescent="0.25">
      <c r="A136" s="4"/>
      <c r="B136" s="4" t="str">
        <f>IFERROR(IF(A136&lt;&gt;"",VLOOKUP($A136,calculation!$A$10:$V$510,12),""),"")</f>
        <v/>
      </c>
      <c r="C136" s="4" t="str">
        <f>IFERROR(IF(A136&lt;&gt;"",VLOOKUP($A136,calculation!$A$10:$V$510,15),""),"")</f>
        <v/>
      </c>
      <c r="D136" s="4" t="str">
        <f>IFERROR(IF(A136&lt;&gt;"",VLOOKUP($A136,calculation!$A$10:$V$510,22),""),"")</f>
        <v/>
      </c>
      <c r="F136" s="4" t="s">
        <v>27</v>
      </c>
      <c r="G136" s="4">
        <f>MAX($G$9:G135)+1</f>
        <v>108</v>
      </c>
      <c r="H136" s="4" t="s">
        <v>34</v>
      </c>
      <c r="I136" s="4" t="s">
        <v>35</v>
      </c>
      <c r="J136" s="4" t="str">
        <f t="shared" si="4"/>
        <v/>
      </c>
      <c r="K136" s="4" t="s">
        <v>39</v>
      </c>
      <c r="L136" s="4">
        <f>Setup!$C$15</f>
        <v>1500</v>
      </c>
      <c r="M136" s="4" t="s">
        <v>36</v>
      </c>
      <c r="N136" s="4" t="str">
        <f t="shared" si="5"/>
        <v/>
      </c>
      <c r="O136" s="4" t="s">
        <v>40</v>
      </c>
      <c r="P136" s="4">
        <f>Setup!$C$13</f>
        <v>1200</v>
      </c>
      <c r="Q136" s="4" t="s">
        <v>37</v>
      </c>
      <c r="R136" s="4" t="str">
        <f t="shared" si="6"/>
        <v/>
      </c>
      <c r="S136" s="4" t="s">
        <v>41</v>
      </c>
      <c r="T136" s="4">
        <f>Setup!$C$14</f>
        <v>1200</v>
      </c>
      <c r="U136" s="4" t="str">
        <f t="shared" si="7"/>
        <v/>
      </c>
      <c r="V136" s="4"/>
    </row>
    <row r="137" spans="1:22" x14ac:dyDescent="0.25">
      <c r="A137" s="4"/>
      <c r="B137" s="4" t="str">
        <f>IFERROR(IF(A137&lt;&gt;"",VLOOKUP($A137,calculation!$A$10:$V$510,12),""),"")</f>
        <v/>
      </c>
      <c r="C137" s="4" t="str">
        <f>IFERROR(IF(A137&lt;&gt;"",VLOOKUP($A137,calculation!$A$10:$V$510,15),""),"")</f>
        <v/>
      </c>
      <c r="D137" s="4" t="str">
        <f>IFERROR(IF(A137&lt;&gt;"",VLOOKUP($A137,calculation!$A$10:$V$510,22),""),"")</f>
        <v/>
      </c>
      <c r="F137" s="4" t="s">
        <v>27</v>
      </c>
      <c r="G137" s="4">
        <f>MAX($G$9:G136)+1</f>
        <v>109</v>
      </c>
      <c r="H137" s="4" t="s">
        <v>34</v>
      </c>
      <c r="I137" s="4" t="s">
        <v>35</v>
      </c>
      <c r="J137" s="4" t="str">
        <f t="shared" si="4"/>
        <v/>
      </c>
      <c r="K137" s="4" t="s">
        <v>39</v>
      </c>
      <c r="L137" s="4">
        <f>Setup!$C$15</f>
        <v>1500</v>
      </c>
      <c r="M137" s="4" t="s">
        <v>36</v>
      </c>
      <c r="N137" s="4" t="str">
        <f t="shared" si="5"/>
        <v/>
      </c>
      <c r="O137" s="4" t="s">
        <v>40</v>
      </c>
      <c r="P137" s="4">
        <f>Setup!$C$13</f>
        <v>1200</v>
      </c>
      <c r="Q137" s="4" t="s">
        <v>37</v>
      </c>
      <c r="R137" s="4" t="str">
        <f t="shared" si="6"/>
        <v/>
      </c>
      <c r="S137" s="4" t="s">
        <v>41</v>
      </c>
      <c r="T137" s="4">
        <f>Setup!$C$14</f>
        <v>1200</v>
      </c>
      <c r="U137" s="4" t="str">
        <f t="shared" si="7"/>
        <v/>
      </c>
      <c r="V137" s="4"/>
    </row>
    <row r="138" spans="1:22" x14ac:dyDescent="0.25">
      <c r="A138" s="4"/>
      <c r="B138" s="4" t="str">
        <f>IFERROR(IF(A138&lt;&gt;"",VLOOKUP($A138,calculation!$A$10:$V$510,12),""),"")</f>
        <v/>
      </c>
      <c r="C138" s="4" t="str">
        <f>IFERROR(IF(A138&lt;&gt;"",VLOOKUP($A138,calculation!$A$10:$V$510,15),""),"")</f>
        <v/>
      </c>
      <c r="D138" s="4" t="str">
        <f>IFERROR(IF(A138&lt;&gt;"",VLOOKUP($A138,calculation!$A$10:$V$510,22),""),"")</f>
        <v/>
      </c>
      <c r="F138" s="4" t="s">
        <v>27</v>
      </c>
      <c r="G138" s="4">
        <f>MAX($G$9:G137)+1</f>
        <v>110</v>
      </c>
      <c r="H138" s="4" t="s">
        <v>34</v>
      </c>
      <c r="I138" s="4" t="s">
        <v>35</v>
      </c>
      <c r="J138" s="4" t="str">
        <f t="shared" si="4"/>
        <v/>
      </c>
      <c r="K138" s="4" t="s">
        <v>39</v>
      </c>
      <c r="L138" s="4">
        <f>Setup!$C$15</f>
        <v>1500</v>
      </c>
      <c r="M138" s="4" t="s">
        <v>36</v>
      </c>
      <c r="N138" s="4" t="str">
        <f t="shared" si="5"/>
        <v/>
      </c>
      <c r="O138" s="4" t="s">
        <v>40</v>
      </c>
      <c r="P138" s="4">
        <f>Setup!$C$13</f>
        <v>1200</v>
      </c>
      <c r="Q138" s="4" t="s">
        <v>37</v>
      </c>
      <c r="R138" s="4" t="str">
        <f t="shared" si="6"/>
        <v/>
      </c>
      <c r="S138" s="4" t="s">
        <v>41</v>
      </c>
      <c r="T138" s="4">
        <f>Setup!$C$14</f>
        <v>1200</v>
      </c>
      <c r="U138" s="4" t="str">
        <f t="shared" si="7"/>
        <v/>
      </c>
      <c r="V138" s="4"/>
    </row>
    <row r="139" spans="1:22" x14ac:dyDescent="0.25">
      <c r="A139" s="4"/>
      <c r="B139" s="4" t="str">
        <f>IFERROR(IF(A139&lt;&gt;"",VLOOKUP($A139,calculation!$A$10:$V$510,12),""),"")</f>
        <v/>
      </c>
      <c r="C139" s="4" t="str">
        <f>IFERROR(IF(A139&lt;&gt;"",VLOOKUP($A139,calculation!$A$10:$V$510,15),""),"")</f>
        <v/>
      </c>
      <c r="D139" s="4" t="str">
        <f>IFERROR(IF(A139&lt;&gt;"",VLOOKUP($A139,calculation!$A$10:$V$510,22),""),"")</f>
        <v/>
      </c>
      <c r="F139" s="4" t="s">
        <v>27</v>
      </c>
      <c r="G139" s="4">
        <f>MAX($G$9:G138)+1</f>
        <v>111</v>
      </c>
      <c r="H139" s="4" t="s">
        <v>34</v>
      </c>
      <c r="I139" s="4" t="s">
        <v>35</v>
      </c>
      <c r="J139" s="4" t="str">
        <f t="shared" si="4"/>
        <v/>
      </c>
      <c r="K139" s="4" t="s">
        <v>39</v>
      </c>
      <c r="L139" s="4">
        <f>Setup!$C$15</f>
        <v>1500</v>
      </c>
      <c r="M139" s="4" t="s">
        <v>36</v>
      </c>
      <c r="N139" s="4" t="str">
        <f t="shared" si="5"/>
        <v/>
      </c>
      <c r="O139" s="4" t="s">
        <v>40</v>
      </c>
      <c r="P139" s="4">
        <f>Setup!$C$13</f>
        <v>1200</v>
      </c>
      <c r="Q139" s="4" t="s">
        <v>37</v>
      </c>
      <c r="R139" s="4" t="str">
        <f t="shared" si="6"/>
        <v/>
      </c>
      <c r="S139" s="4" t="s">
        <v>41</v>
      </c>
      <c r="T139" s="4">
        <f>Setup!$C$14</f>
        <v>1200</v>
      </c>
      <c r="U139" s="4" t="str">
        <f t="shared" si="7"/>
        <v/>
      </c>
      <c r="V139" s="4"/>
    </row>
    <row r="140" spans="1:22" x14ac:dyDescent="0.25">
      <c r="A140" s="4"/>
      <c r="B140" s="4" t="str">
        <f>IFERROR(IF(A140&lt;&gt;"",VLOOKUP($A140,calculation!$A$10:$V$510,12),""),"")</f>
        <v/>
      </c>
      <c r="C140" s="4" t="str">
        <f>IFERROR(IF(A140&lt;&gt;"",VLOOKUP($A140,calculation!$A$10:$V$510,15),""),"")</f>
        <v/>
      </c>
      <c r="D140" s="4" t="str">
        <f>IFERROR(IF(A140&lt;&gt;"",VLOOKUP($A140,calculation!$A$10:$V$510,22),""),"")</f>
        <v/>
      </c>
      <c r="F140" s="4" t="s">
        <v>27</v>
      </c>
      <c r="G140" s="4">
        <f>MAX($G$9:G139)+1</f>
        <v>112</v>
      </c>
      <c r="H140" s="4" t="s">
        <v>34</v>
      </c>
      <c r="I140" s="4" t="s">
        <v>35</v>
      </c>
      <c r="J140" s="4" t="str">
        <f t="shared" si="4"/>
        <v/>
      </c>
      <c r="K140" s="4" t="s">
        <v>39</v>
      </c>
      <c r="L140" s="4">
        <f>Setup!$C$15</f>
        <v>1500</v>
      </c>
      <c r="M140" s="4" t="s">
        <v>36</v>
      </c>
      <c r="N140" s="4" t="str">
        <f t="shared" si="5"/>
        <v/>
      </c>
      <c r="O140" s="4" t="s">
        <v>40</v>
      </c>
      <c r="P140" s="4">
        <f>Setup!$C$13</f>
        <v>1200</v>
      </c>
      <c r="Q140" s="4" t="s">
        <v>37</v>
      </c>
      <c r="R140" s="4" t="str">
        <f t="shared" si="6"/>
        <v/>
      </c>
      <c r="S140" s="4" t="s">
        <v>41</v>
      </c>
      <c r="T140" s="4">
        <f>Setup!$C$14</f>
        <v>1200</v>
      </c>
      <c r="U140" s="4" t="str">
        <f t="shared" si="7"/>
        <v/>
      </c>
      <c r="V140" s="4"/>
    </row>
    <row r="141" spans="1:22" x14ac:dyDescent="0.25">
      <c r="A141" s="4"/>
      <c r="B141" s="4" t="str">
        <f>IFERROR(IF(A141&lt;&gt;"",VLOOKUP($A141,calculation!$A$10:$V$510,12),""),"")</f>
        <v/>
      </c>
      <c r="C141" s="4" t="str">
        <f>IFERROR(IF(A141&lt;&gt;"",VLOOKUP($A141,calculation!$A$10:$V$510,15),""),"")</f>
        <v/>
      </c>
      <c r="D141" s="4" t="str">
        <f>IFERROR(IF(A141&lt;&gt;"",VLOOKUP($A141,calculation!$A$10:$V$510,22),""),"")</f>
        <v/>
      </c>
      <c r="F141" s="4" t="s">
        <v>27</v>
      </c>
      <c r="G141" s="4">
        <f>MAX($G$9:G140)+1</f>
        <v>113</v>
      </c>
      <c r="H141" s="4" t="s">
        <v>34</v>
      </c>
      <c r="I141" s="4" t="s">
        <v>35</v>
      </c>
      <c r="J141" s="4" t="str">
        <f t="shared" si="4"/>
        <v/>
      </c>
      <c r="K141" s="4" t="s">
        <v>39</v>
      </c>
      <c r="L141" s="4">
        <f>Setup!$C$15</f>
        <v>1500</v>
      </c>
      <c r="M141" s="4" t="s">
        <v>36</v>
      </c>
      <c r="N141" s="4" t="str">
        <f t="shared" si="5"/>
        <v/>
      </c>
      <c r="O141" s="4" t="s">
        <v>40</v>
      </c>
      <c r="P141" s="4">
        <f>Setup!$C$13</f>
        <v>1200</v>
      </c>
      <c r="Q141" s="4" t="s">
        <v>37</v>
      </c>
      <c r="R141" s="4" t="str">
        <f t="shared" si="6"/>
        <v/>
      </c>
      <c r="S141" s="4" t="s">
        <v>41</v>
      </c>
      <c r="T141" s="4">
        <f>Setup!$C$14</f>
        <v>1200</v>
      </c>
      <c r="U141" s="4" t="str">
        <f t="shared" si="7"/>
        <v/>
      </c>
      <c r="V141" s="4"/>
    </row>
    <row r="142" spans="1:22" x14ac:dyDescent="0.25">
      <c r="A142" s="4"/>
      <c r="B142" s="4" t="str">
        <f>IFERROR(IF(A142&lt;&gt;"",VLOOKUP($A142,calculation!$A$10:$V$510,12),""),"")</f>
        <v/>
      </c>
      <c r="C142" s="4" t="str">
        <f>IFERROR(IF(A142&lt;&gt;"",VLOOKUP($A142,calculation!$A$10:$V$510,15),""),"")</f>
        <v/>
      </c>
      <c r="D142" s="4" t="str">
        <f>IFERROR(IF(A142&lt;&gt;"",VLOOKUP($A142,calculation!$A$10:$V$510,22),""),"")</f>
        <v/>
      </c>
      <c r="F142" s="4" t="s">
        <v>27</v>
      </c>
      <c r="G142" s="4">
        <f>MAX($G$9:G141)+1</f>
        <v>114</v>
      </c>
      <c r="H142" s="4" t="s">
        <v>34</v>
      </c>
      <c r="I142" s="4" t="s">
        <v>35</v>
      </c>
      <c r="J142" s="4" t="str">
        <f t="shared" si="4"/>
        <v/>
      </c>
      <c r="K142" s="4" t="s">
        <v>39</v>
      </c>
      <c r="L142" s="4">
        <f>Setup!$C$15</f>
        <v>1500</v>
      </c>
      <c r="M142" s="4" t="s">
        <v>36</v>
      </c>
      <c r="N142" s="4" t="str">
        <f t="shared" si="5"/>
        <v/>
      </c>
      <c r="O142" s="4" t="s">
        <v>40</v>
      </c>
      <c r="P142" s="4">
        <f>Setup!$C$13</f>
        <v>1200</v>
      </c>
      <c r="Q142" s="4" t="s">
        <v>37</v>
      </c>
      <c r="R142" s="4" t="str">
        <f t="shared" si="6"/>
        <v/>
      </c>
      <c r="S142" s="4" t="s">
        <v>41</v>
      </c>
      <c r="T142" s="4">
        <f>Setup!$C$14</f>
        <v>1200</v>
      </c>
      <c r="U142" s="4" t="str">
        <f t="shared" si="7"/>
        <v/>
      </c>
      <c r="V142" s="4"/>
    </row>
    <row r="143" spans="1:22" x14ac:dyDescent="0.25">
      <c r="A143" s="4"/>
      <c r="B143" s="4" t="str">
        <f>IFERROR(IF(A143&lt;&gt;"",VLOOKUP($A143,calculation!$A$10:$V$510,12),""),"")</f>
        <v/>
      </c>
      <c r="C143" s="4" t="str">
        <f>IFERROR(IF(A143&lt;&gt;"",VLOOKUP($A143,calculation!$A$10:$V$510,15),""),"")</f>
        <v/>
      </c>
      <c r="D143" s="4" t="str">
        <f>IFERROR(IF(A143&lt;&gt;"",VLOOKUP($A143,calculation!$A$10:$V$510,22),""),"")</f>
        <v/>
      </c>
      <c r="F143" s="4" t="s">
        <v>27</v>
      </c>
      <c r="G143" s="4">
        <f>MAX($G$9:G142)+1</f>
        <v>115</v>
      </c>
      <c r="H143" s="4" t="s">
        <v>34</v>
      </c>
      <c r="I143" s="4" t="s">
        <v>35</v>
      </c>
      <c r="J143" s="4" t="str">
        <f t="shared" si="4"/>
        <v/>
      </c>
      <c r="K143" s="4" t="s">
        <v>39</v>
      </c>
      <c r="L143" s="4">
        <f>Setup!$C$15</f>
        <v>1500</v>
      </c>
      <c r="M143" s="4" t="s">
        <v>36</v>
      </c>
      <c r="N143" s="4" t="str">
        <f t="shared" si="5"/>
        <v/>
      </c>
      <c r="O143" s="4" t="s">
        <v>40</v>
      </c>
      <c r="P143" s="4">
        <f>Setup!$C$13</f>
        <v>1200</v>
      </c>
      <c r="Q143" s="4" t="s">
        <v>37</v>
      </c>
      <c r="R143" s="4" t="str">
        <f t="shared" si="6"/>
        <v/>
      </c>
      <c r="S143" s="4" t="s">
        <v>41</v>
      </c>
      <c r="T143" s="4">
        <f>Setup!$C$14</f>
        <v>1200</v>
      </c>
      <c r="U143" s="4" t="str">
        <f t="shared" si="7"/>
        <v/>
      </c>
      <c r="V143" s="4"/>
    </row>
    <row r="144" spans="1:22" x14ac:dyDescent="0.25">
      <c r="A144" s="4"/>
      <c r="B144" s="4" t="str">
        <f>IFERROR(IF(A144&lt;&gt;"",VLOOKUP($A144,calculation!$A$10:$V$510,12),""),"")</f>
        <v/>
      </c>
      <c r="C144" s="4" t="str">
        <f>IFERROR(IF(A144&lt;&gt;"",VLOOKUP($A144,calculation!$A$10:$V$510,15),""),"")</f>
        <v/>
      </c>
      <c r="D144" s="4" t="str">
        <f>IFERROR(IF(A144&lt;&gt;"",VLOOKUP($A144,calculation!$A$10:$V$510,22),""),"")</f>
        <v/>
      </c>
      <c r="F144" s="4" t="s">
        <v>27</v>
      </c>
      <c r="G144" s="4">
        <f>MAX($G$9:G143)+1</f>
        <v>116</v>
      </c>
      <c r="H144" s="4" t="s">
        <v>34</v>
      </c>
      <c r="I144" s="4" t="s">
        <v>35</v>
      </c>
      <c r="J144" s="4" t="str">
        <f t="shared" si="4"/>
        <v/>
      </c>
      <c r="K144" s="4" t="s">
        <v>39</v>
      </c>
      <c r="L144" s="4">
        <f>Setup!$C$15</f>
        <v>1500</v>
      </c>
      <c r="M144" s="4" t="s">
        <v>36</v>
      </c>
      <c r="N144" s="4" t="str">
        <f t="shared" si="5"/>
        <v/>
      </c>
      <c r="O144" s="4" t="s">
        <v>40</v>
      </c>
      <c r="P144" s="4">
        <f>Setup!$C$13</f>
        <v>1200</v>
      </c>
      <c r="Q144" s="4" t="s">
        <v>37</v>
      </c>
      <c r="R144" s="4" t="str">
        <f t="shared" si="6"/>
        <v/>
      </c>
      <c r="S144" s="4" t="s">
        <v>41</v>
      </c>
      <c r="T144" s="4">
        <f>Setup!$C$14</f>
        <v>1200</v>
      </c>
      <c r="U144" s="4" t="str">
        <f t="shared" si="7"/>
        <v/>
      </c>
      <c r="V144" s="4"/>
    </row>
    <row r="145" spans="1:22" x14ac:dyDescent="0.25">
      <c r="A145" s="4"/>
      <c r="B145" s="4" t="str">
        <f>IFERROR(IF(A145&lt;&gt;"",VLOOKUP($A145,calculation!$A$10:$V$510,12),""),"")</f>
        <v/>
      </c>
      <c r="C145" s="4" t="str">
        <f>IFERROR(IF(A145&lt;&gt;"",VLOOKUP($A145,calculation!$A$10:$V$510,15),""),"")</f>
        <v/>
      </c>
      <c r="D145" s="4" t="str">
        <f>IFERROR(IF(A145&lt;&gt;"",VLOOKUP($A145,calculation!$A$10:$V$510,22),""),"")</f>
        <v/>
      </c>
      <c r="F145" s="4" t="s">
        <v>27</v>
      </c>
      <c r="G145" s="4">
        <f>MAX($G$9:G144)+1</f>
        <v>117</v>
      </c>
      <c r="H145" s="4" t="s">
        <v>34</v>
      </c>
      <c r="I145" s="4" t="s">
        <v>35</v>
      </c>
      <c r="J145" s="4" t="str">
        <f t="shared" si="4"/>
        <v/>
      </c>
      <c r="K145" s="4" t="s">
        <v>39</v>
      </c>
      <c r="L145" s="4">
        <f>Setup!$C$15</f>
        <v>1500</v>
      </c>
      <c r="M145" s="4" t="s">
        <v>36</v>
      </c>
      <c r="N145" s="4" t="str">
        <f t="shared" si="5"/>
        <v/>
      </c>
      <c r="O145" s="4" t="s">
        <v>40</v>
      </c>
      <c r="P145" s="4">
        <f>Setup!$C$13</f>
        <v>1200</v>
      </c>
      <c r="Q145" s="4" t="s">
        <v>37</v>
      </c>
      <c r="R145" s="4" t="str">
        <f t="shared" si="6"/>
        <v/>
      </c>
      <c r="S145" s="4" t="s">
        <v>41</v>
      </c>
      <c r="T145" s="4">
        <f>Setup!$C$14</f>
        <v>1200</v>
      </c>
      <c r="U145" s="4" t="str">
        <f t="shared" si="7"/>
        <v/>
      </c>
      <c r="V145" s="4"/>
    </row>
    <row r="146" spans="1:22" x14ac:dyDescent="0.25">
      <c r="A146" s="4"/>
      <c r="B146" s="4" t="str">
        <f>IFERROR(IF(A146&lt;&gt;"",VLOOKUP($A146,calculation!$A$10:$V$510,12),""),"")</f>
        <v/>
      </c>
      <c r="C146" s="4" t="str">
        <f>IFERROR(IF(A146&lt;&gt;"",VLOOKUP($A146,calculation!$A$10:$V$510,15),""),"")</f>
        <v/>
      </c>
      <c r="D146" s="4" t="str">
        <f>IFERROR(IF(A146&lt;&gt;"",VLOOKUP($A146,calculation!$A$10:$V$510,22),""),"")</f>
        <v/>
      </c>
      <c r="F146" s="4" t="s">
        <v>27</v>
      </c>
      <c r="G146" s="4">
        <f>MAX($G$9:G145)+1</f>
        <v>118</v>
      </c>
      <c r="H146" s="4" t="s">
        <v>34</v>
      </c>
      <c r="I146" s="4" t="s">
        <v>35</v>
      </c>
      <c r="J146" s="4" t="str">
        <f t="shared" si="4"/>
        <v/>
      </c>
      <c r="K146" s="4" t="s">
        <v>39</v>
      </c>
      <c r="L146" s="4">
        <f>Setup!$C$15</f>
        <v>1500</v>
      </c>
      <c r="M146" s="4" t="s">
        <v>36</v>
      </c>
      <c r="N146" s="4" t="str">
        <f t="shared" si="5"/>
        <v/>
      </c>
      <c r="O146" s="4" t="s">
        <v>40</v>
      </c>
      <c r="P146" s="4">
        <f>Setup!$C$13</f>
        <v>1200</v>
      </c>
      <c r="Q146" s="4" t="s">
        <v>37</v>
      </c>
      <c r="R146" s="4" t="str">
        <f t="shared" si="6"/>
        <v/>
      </c>
      <c r="S146" s="4" t="s">
        <v>41</v>
      </c>
      <c r="T146" s="4">
        <f>Setup!$C$14</f>
        <v>1200</v>
      </c>
      <c r="U146" s="4" t="str">
        <f t="shared" si="7"/>
        <v/>
      </c>
      <c r="V146" s="4"/>
    </row>
    <row r="147" spans="1:22" x14ac:dyDescent="0.25">
      <c r="A147" s="4"/>
      <c r="B147" s="4" t="str">
        <f>IFERROR(IF(A147&lt;&gt;"",VLOOKUP($A147,calculation!$A$10:$V$510,12),""),"")</f>
        <v/>
      </c>
      <c r="C147" s="4" t="str">
        <f>IFERROR(IF(A147&lt;&gt;"",VLOOKUP($A147,calculation!$A$10:$V$510,15),""),"")</f>
        <v/>
      </c>
      <c r="D147" s="4" t="str">
        <f>IFERROR(IF(A147&lt;&gt;"",VLOOKUP($A147,calculation!$A$10:$V$510,22),""),"")</f>
        <v/>
      </c>
      <c r="F147" s="4" t="s">
        <v>27</v>
      </c>
      <c r="G147" s="4">
        <f>MAX($G$9:G146)+1</f>
        <v>119</v>
      </c>
      <c r="H147" s="4" t="s">
        <v>34</v>
      </c>
      <c r="I147" s="4" t="s">
        <v>35</v>
      </c>
      <c r="J147" s="4" t="str">
        <f t="shared" si="4"/>
        <v/>
      </c>
      <c r="K147" s="4" t="s">
        <v>39</v>
      </c>
      <c r="L147" s="4">
        <f>Setup!$C$15</f>
        <v>1500</v>
      </c>
      <c r="M147" s="4" t="s">
        <v>36</v>
      </c>
      <c r="N147" s="4" t="str">
        <f t="shared" si="5"/>
        <v/>
      </c>
      <c r="O147" s="4" t="s">
        <v>40</v>
      </c>
      <c r="P147" s="4">
        <f>Setup!$C$13</f>
        <v>1200</v>
      </c>
      <c r="Q147" s="4" t="s">
        <v>37</v>
      </c>
      <c r="R147" s="4" t="str">
        <f t="shared" si="6"/>
        <v/>
      </c>
      <c r="S147" s="4" t="s">
        <v>41</v>
      </c>
      <c r="T147" s="4">
        <f>Setup!$C$14</f>
        <v>1200</v>
      </c>
      <c r="U147" s="4" t="str">
        <f t="shared" si="7"/>
        <v/>
      </c>
      <c r="V147" s="4"/>
    </row>
    <row r="148" spans="1:22" x14ac:dyDescent="0.25">
      <c r="A148" s="4"/>
      <c r="B148" s="4" t="str">
        <f>IFERROR(IF(A148&lt;&gt;"",VLOOKUP($A148,calculation!$A$10:$V$510,12),""),"")</f>
        <v/>
      </c>
      <c r="C148" s="4" t="str">
        <f>IFERROR(IF(A148&lt;&gt;"",VLOOKUP($A148,calculation!$A$10:$V$510,15),""),"")</f>
        <v/>
      </c>
      <c r="D148" s="4" t="str">
        <f>IFERROR(IF(A148&lt;&gt;"",VLOOKUP($A148,calculation!$A$10:$V$510,22),""),"")</f>
        <v/>
      </c>
      <c r="F148" s="4" t="s">
        <v>27</v>
      </c>
      <c r="G148" s="4">
        <f>MAX($G$9:G147)+1</f>
        <v>120</v>
      </c>
      <c r="H148" s="4" t="s">
        <v>34</v>
      </c>
      <c r="I148" s="4" t="s">
        <v>35</v>
      </c>
      <c r="J148" s="4" t="str">
        <f t="shared" si="4"/>
        <v/>
      </c>
      <c r="K148" s="4" t="s">
        <v>39</v>
      </c>
      <c r="L148" s="4">
        <f>Setup!$C$15</f>
        <v>1500</v>
      </c>
      <c r="M148" s="4" t="s">
        <v>36</v>
      </c>
      <c r="N148" s="4" t="str">
        <f t="shared" si="5"/>
        <v/>
      </c>
      <c r="O148" s="4" t="s">
        <v>40</v>
      </c>
      <c r="P148" s="4">
        <f>Setup!$C$13</f>
        <v>1200</v>
      </c>
      <c r="Q148" s="4" t="s">
        <v>37</v>
      </c>
      <c r="R148" s="4" t="str">
        <f t="shared" si="6"/>
        <v/>
      </c>
      <c r="S148" s="4" t="s">
        <v>41</v>
      </c>
      <c r="T148" s="4">
        <f>Setup!$C$14</f>
        <v>1200</v>
      </c>
      <c r="U148" s="4" t="str">
        <f t="shared" si="7"/>
        <v/>
      </c>
      <c r="V148" s="4"/>
    </row>
    <row r="149" spans="1:22" x14ac:dyDescent="0.25">
      <c r="A149" s="4"/>
      <c r="B149" s="4" t="str">
        <f>IFERROR(IF(A149&lt;&gt;"",VLOOKUP($A149,calculation!$A$10:$V$510,12),""),"")</f>
        <v/>
      </c>
      <c r="C149" s="4" t="str">
        <f>IFERROR(IF(A149&lt;&gt;"",VLOOKUP($A149,calculation!$A$10:$V$510,15),""),"")</f>
        <v/>
      </c>
      <c r="D149" s="4" t="str">
        <f>IFERROR(IF(A149&lt;&gt;"",VLOOKUP($A149,calculation!$A$10:$V$510,22),""),"")</f>
        <v/>
      </c>
      <c r="F149" s="4" t="s">
        <v>27</v>
      </c>
      <c r="G149" s="4">
        <f>MAX($G$9:G148)+1</f>
        <v>121</v>
      </c>
      <c r="H149" s="4" t="s">
        <v>34</v>
      </c>
      <c r="I149" s="4" t="s">
        <v>35</v>
      </c>
      <c r="J149" s="4" t="str">
        <f t="shared" si="4"/>
        <v/>
      </c>
      <c r="K149" s="4" t="s">
        <v>39</v>
      </c>
      <c r="L149" s="4">
        <f>Setup!$C$15</f>
        <v>1500</v>
      </c>
      <c r="M149" s="4" t="s">
        <v>36</v>
      </c>
      <c r="N149" s="4" t="str">
        <f t="shared" si="5"/>
        <v/>
      </c>
      <c r="O149" s="4" t="s">
        <v>40</v>
      </c>
      <c r="P149" s="4">
        <f>Setup!$C$13</f>
        <v>1200</v>
      </c>
      <c r="Q149" s="4" t="s">
        <v>37</v>
      </c>
      <c r="R149" s="4" t="str">
        <f t="shared" si="6"/>
        <v/>
      </c>
      <c r="S149" s="4" t="s">
        <v>41</v>
      </c>
      <c r="T149" s="4">
        <f>Setup!$C$14</f>
        <v>1200</v>
      </c>
      <c r="U149" s="4" t="str">
        <f t="shared" si="7"/>
        <v/>
      </c>
      <c r="V149" s="4"/>
    </row>
    <row r="150" spans="1:22" x14ac:dyDescent="0.25">
      <c r="A150" s="4"/>
      <c r="B150" s="4" t="str">
        <f>IFERROR(IF(A150&lt;&gt;"",VLOOKUP($A150,calculation!$A$10:$V$510,12),""),"")</f>
        <v/>
      </c>
      <c r="C150" s="4" t="str">
        <f>IFERROR(IF(A150&lt;&gt;"",VLOOKUP($A150,calculation!$A$10:$V$510,15),""),"")</f>
        <v/>
      </c>
      <c r="D150" s="4" t="str">
        <f>IFERROR(IF(A150&lt;&gt;"",VLOOKUP($A150,calculation!$A$10:$V$510,22),""),"")</f>
        <v/>
      </c>
      <c r="F150" s="4" t="s">
        <v>27</v>
      </c>
      <c r="G150" s="4">
        <f>MAX($G$9:G149)+1</f>
        <v>122</v>
      </c>
      <c r="H150" s="4" t="s">
        <v>34</v>
      </c>
      <c r="I150" s="4" t="s">
        <v>35</v>
      </c>
      <c r="J150" s="4" t="str">
        <f t="shared" si="4"/>
        <v/>
      </c>
      <c r="K150" s="4" t="s">
        <v>39</v>
      </c>
      <c r="L150" s="4">
        <f>Setup!$C$15</f>
        <v>1500</v>
      </c>
      <c r="M150" s="4" t="s">
        <v>36</v>
      </c>
      <c r="N150" s="4" t="str">
        <f t="shared" si="5"/>
        <v/>
      </c>
      <c r="O150" s="4" t="s">
        <v>40</v>
      </c>
      <c r="P150" s="4">
        <f>Setup!$C$13</f>
        <v>1200</v>
      </c>
      <c r="Q150" s="4" t="s">
        <v>37</v>
      </c>
      <c r="R150" s="4" t="str">
        <f t="shared" si="6"/>
        <v/>
      </c>
      <c r="S150" s="4" t="s">
        <v>41</v>
      </c>
      <c r="T150" s="4">
        <f>Setup!$C$14</f>
        <v>1200</v>
      </c>
      <c r="U150" s="4" t="str">
        <f t="shared" si="7"/>
        <v/>
      </c>
      <c r="V150" s="4"/>
    </row>
    <row r="151" spans="1:22" x14ac:dyDescent="0.25">
      <c r="A151" s="4"/>
      <c r="B151" s="4" t="str">
        <f>IFERROR(IF(A151&lt;&gt;"",VLOOKUP($A151,calculation!$A$10:$V$510,12),""),"")</f>
        <v/>
      </c>
      <c r="C151" s="4" t="str">
        <f>IFERROR(IF(A151&lt;&gt;"",VLOOKUP($A151,calculation!$A$10:$V$510,15),""),"")</f>
        <v/>
      </c>
      <c r="D151" s="4" t="str">
        <f>IFERROR(IF(A151&lt;&gt;"",VLOOKUP($A151,calculation!$A$10:$V$510,22),""),"")</f>
        <v/>
      </c>
      <c r="F151" s="4" t="s">
        <v>27</v>
      </c>
      <c r="G151" s="4">
        <f>MAX($G$9:G150)+1</f>
        <v>123</v>
      </c>
      <c r="H151" s="4" t="s">
        <v>34</v>
      </c>
      <c r="I151" s="4" t="s">
        <v>35</v>
      </c>
      <c r="J151" s="4" t="str">
        <f t="shared" si="4"/>
        <v/>
      </c>
      <c r="K151" s="4" t="s">
        <v>39</v>
      </c>
      <c r="L151" s="4">
        <f>Setup!$C$15</f>
        <v>1500</v>
      </c>
      <c r="M151" s="4" t="s">
        <v>36</v>
      </c>
      <c r="N151" s="4" t="str">
        <f t="shared" si="5"/>
        <v/>
      </c>
      <c r="O151" s="4" t="s">
        <v>40</v>
      </c>
      <c r="P151" s="4">
        <f>Setup!$C$13</f>
        <v>1200</v>
      </c>
      <c r="Q151" s="4" t="s">
        <v>37</v>
      </c>
      <c r="R151" s="4" t="str">
        <f t="shared" si="6"/>
        <v/>
      </c>
      <c r="S151" s="4" t="s">
        <v>41</v>
      </c>
      <c r="T151" s="4">
        <f>Setup!$C$14</f>
        <v>1200</v>
      </c>
      <c r="U151" s="4" t="str">
        <f t="shared" si="7"/>
        <v/>
      </c>
      <c r="V151" s="4"/>
    </row>
    <row r="152" spans="1:22" x14ac:dyDescent="0.25">
      <c r="A152" s="4"/>
      <c r="B152" s="4" t="str">
        <f>IFERROR(IF(A152&lt;&gt;"",VLOOKUP($A152,calculation!$A$10:$V$510,12),""),"")</f>
        <v/>
      </c>
      <c r="C152" s="4" t="str">
        <f>IFERROR(IF(A152&lt;&gt;"",VLOOKUP($A152,calculation!$A$10:$V$510,15),""),"")</f>
        <v/>
      </c>
      <c r="D152" s="4" t="str">
        <f>IFERROR(IF(A152&lt;&gt;"",VLOOKUP($A152,calculation!$A$10:$V$510,22),""),"")</f>
        <v/>
      </c>
      <c r="F152" s="4" t="s">
        <v>27</v>
      </c>
      <c r="G152" s="4">
        <f>MAX($G$9:G151)+1</f>
        <v>124</v>
      </c>
      <c r="H152" s="4" t="s">
        <v>34</v>
      </c>
      <c r="I152" s="4" t="s">
        <v>35</v>
      </c>
      <c r="J152" s="4" t="str">
        <f t="shared" si="4"/>
        <v/>
      </c>
      <c r="K152" s="4" t="s">
        <v>39</v>
      </c>
      <c r="L152" s="4">
        <f>Setup!$C$15</f>
        <v>1500</v>
      </c>
      <c r="M152" s="4" t="s">
        <v>36</v>
      </c>
      <c r="N152" s="4" t="str">
        <f t="shared" si="5"/>
        <v/>
      </c>
      <c r="O152" s="4" t="s">
        <v>40</v>
      </c>
      <c r="P152" s="4">
        <f>Setup!$C$13</f>
        <v>1200</v>
      </c>
      <c r="Q152" s="4" t="s">
        <v>37</v>
      </c>
      <c r="R152" s="4" t="str">
        <f t="shared" si="6"/>
        <v/>
      </c>
      <c r="S152" s="4" t="s">
        <v>41</v>
      </c>
      <c r="T152" s="4">
        <f>Setup!$C$14</f>
        <v>1200</v>
      </c>
      <c r="U152" s="4" t="str">
        <f t="shared" si="7"/>
        <v/>
      </c>
      <c r="V152" s="4"/>
    </row>
    <row r="153" spans="1:22" x14ac:dyDescent="0.25">
      <c r="A153" s="4"/>
      <c r="B153" s="4" t="str">
        <f>IFERROR(IF(A153&lt;&gt;"",VLOOKUP($A153,calculation!$A$10:$V$510,12),""),"")</f>
        <v/>
      </c>
      <c r="C153" s="4" t="str">
        <f>IFERROR(IF(A153&lt;&gt;"",VLOOKUP($A153,calculation!$A$10:$V$510,15),""),"")</f>
        <v/>
      </c>
      <c r="D153" s="4" t="str">
        <f>IFERROR(IF(A153&lt;&gt;"",VLOOKUP($A153,calculation!$A$10:$V$510,22),""),"")</f>
        <v/>
      </c>
      <c r="F153" s="4" t="s">
        <v>27</v>
      </c>
      <c r="G153" s="4">
        <f>MAX($G$9:G152)+1</f>
        <v>125</v>
      </c>
      <c r="H153" s="4" t="s">
        <v>34</v>
      </c>
      <c r="I153" s="4" t="s">
        <v>35</v>
      </c>
      <c r="J153" s="4" t="str">
        <f t="shared" si="4"/>
        <v/>
      </c>
      <c r="K153" s="4" t="s">
        <v>39</v>
      </c>
      <c r="L153" s="4">
        <f>Setup!$C$15</f>
        <v>1500</v>
      </c>
      <c r="M153" s="4" t="s">
        <v>36</v>
      </c>
      <c r="N153" s="4" t="str">
        <f t="shared" si="5"/>
        <v/>
      </c>
      <c r="O153" s="4" t="s">
        <v>40</v>
      </c>
      <c r="P153" s="4">
        <f>Setup!$C$13</f>
        <v>1200</v>
      </c>
      <c r="Q153" s="4" t="s">
        <v>37</v>
      </c>
      <c r="R153" s="4" t="str">
        <f t="shared" si="6"/>
        <v/>
      </c>
      <c r="S153" s="4" t="s">
        <v>41</v>
      </c>
      <c r="T153" s="4">
        <f>Setup!$C$14</f>
        <v>1200</v>
      </c>
      <c r="U153" s="4" t="str">
        <f t="shared" si="7"/>
        <v/>
      </c>
      <c r="V153" s="4"/>
    </row>
    <row r="154" spans="1:22" x14ac:dyDescent="0.25">
      <c r="A154" s="4"/>
      <c r="B154" s="4" t="str">
        <f>IFERROR(IF(A154&lt;&gt;"",VLOOKUP($A154,calculation!$A$10:$V$510,12),""),"")</f>
        <v/>
      </c>
      <c r="C154" s="4" t="str">
        <f>IFERROR(IF(A154&lt;&gt;"",VLOOKUP($A154,calculation!$A$10:$V$510,15),""),"")</f>
        <v/>
      </c>
      <c r="D154" s="4" t="str">
        <f>IFERROR(IF(A154&lt;&gt;"",VLOOKUP($A154,calculation!$A$10:$V$510,22),""),"")</f>
        <v/>
      </c>
      <c r="F154" s="4" t="s">
        <v>27</v>
      </c>
      <c r="G154" s="4">
        <f>MAX($G$9:G153)+1</f>
        <v>126</v>
      </c>
      <c r="H154" s="4" t="s">
        <v>34</v>
      </c>
      <c r="I154" s="4" t="s">
        <v>35</v>
      </c>
      <c r="J154" s="4" t="str">
        <f t="shared" si="4"/>
        <v/>
      </c>
      <c r="K154" s="4" t="s">
        <v>39</v>
      </c>
      <c r="L154" s="4">
        <f>Setup!$C$15</f>
        <v>1500</v>
      </c>
      <c r="M154" s="4" t="s">
        <v>36</v>
      </c>
      <c r="N154" s="4" t="str">
        <f t="shared" si="5"/>
        <v/>
      </c>
      <c r="O154" s="4" t="s">
        <v>40</v>
      </c>
      <c r="P154" s="4">
        <f>Setup!$C$13</f>
        <v>1200</v>
      </c>
      <c r="Q154" s="4" t="s">
        <v>37</v>
      </c>
      <c r="R154" s="4" t="str">
        <f t="shared" si="6"/>
        <v/>
      </c>
      <c r="S154" s="4" t="s">
        <v>41</v>
      </c>
      <c r="T154" s="4">
        <f>Setup!$C$14</f>
        <v>1200</v>
      </c>
      <c r="U154" s="4" t="str">
        <f t="shared" si="7"/>
        <v/>
      </c>
      <c r="V154" s="4"/>
    </row>
    <row r="155" spans="1:22" x14ac:dyDescent="0.25">
      <c r="A155" s="4"/>
      <c r="B155" s="4" t="str">
        <f>IFERROR(IF(A155&lt;&gt;"",VLOOKUP($A155,calculation!$A$10:$V$510,12),""),"")</f>
        <v/>
      </c>
      <c r="C155" s="4" t="str">
        <f>IFERROR(IF(A155&lt;&gt;"",VLOOKUP($A155,calculation!$A$10:$V$510,15),""),"")</f>
        <v/>
      </c>
      <c r="D155" s="4" t="str">
        <f>IFERROR(IF(A155&lt;&gt;"",VLOOKUP($A155,calculation!$A$10:$V$510,22),""),"")</f>
        <v/>
      </c>
      <c r="F155" s="4" t="s">
        <v>27</v>
      </c>
      <c r="G155" s="4">
        <f>MAX($G$9:G154)+1</f>
        <v>127</v>
      </c>
      <c r="H155" s="4" t="s">
        <v>34</v>
      </c>
      <c r="I155" s="4" t="s">
        <v>35</v>
      </c>
      <c r="J155" s="4" t="str">
        <f t="shared" si="4"/>
        <v/>
      </c>
      <c r="K155" s="4" t="s">
        <v>39</v>
      </c>
      <c r="L155" s="4">
        <f>Setup!$C$15</f>
        <v>1500</v>
      </c>
      <c r="M155" s="4" t="s">
        <v>36</v>
      </c>
      <c r="N155" s="4" t="str">
        <f t="shared" si="5"/>
        <v/>
      </c>
      <c r="O155" s="4" t="s">
        <v>40</v>
      </c>
      <c r="P155" s="4">
        <f>Setup!$C$13</f>
        <v>1200</v>
      </c>
      <c r="Q155" s="4" t="s">
        <v>37</v>
      </c>
      <c r="R155" s="4" t="str">
        <f t="shared" si="6"/>
        <v/>
      </c>
      <c r="S155" s="4" t="s">
        <v>41</v>
      </c>
      <c r="T155" s="4">
        <f>Setup!$C$14</f>
        <v>1200</v>
      </c>
      <c r="U155" s="4" t="str">
        <f t="shared" si="7"/>
        <v/>
      </c>
      <c r="V155" s="4"/>
    </row>
    <row r="156" spans="1:22" x14ac:dyDescent="0.25">
      <c r="A156" s="4"/>
      <c r="B156" s="4" t="str">
        <f>IFERROR(IF(A156&lt;&gt;"",VLOOKUP($A156,calculation!$A$10:$V$510,12),""),"")</f>
        <v/>
      </c>
      <c r="C156" s="4" t="str">
        <f>IFERROR(IF(A156&lt;&gt;"",VLOOKUP($A156,calculation!$A$10:$V$510,15),""),"")</f>
        <v/>
      </c>
      <c r="D156" s="4" t="str">
        <f>IFERROR(IF(A156&lt;&gt;"",VLOOKUP($A156,calculation!$A$10:$V$510,22),""),"")</f>
        <v/>
      </c>
      <c r="F156" s="4" t="s">
        <v>27</v>
      </c>
      <c r="G156" s="4">
        <f>MAX($G$9:G155)+1</f>
        <v>128</v>
      </c>
      <c r="H156" s="4" t="s">
        <v>34</v>
      </c>
      <c r="I156" s="4" t="s">
        <v>35</v>
      </c>
      <c r="J156" s="4" t="str">
        <f t="shared" si="4"/>
        <v/>
      </c>
      <c r="K156" s="4" t="s">
        <v>39</v>
      </c>
      <c r="L156" s="4">
        <f>Setup!$C$15</f>
        <v>1500</v>
      </c>
      <c r="M156" s="4" t="s">
        <v>36</v>
      </c>
      <c r="N156" s="4" t="str">
        <f t="shared" si="5"/>
        <v/>
      </c>
      <c r="O156" s="4" t="s">
        <v>40</v>
      </c>
      <c r="P156" s="4">
        <f>Setup!$C$13</f>
        <v>1200</v>
      </c>
      <c r="Q156" s="4" t="s">
        <v>37</v>
      </c>
      <c r="R156" s="4" t="str">
        <f t="shared" si="6"/>
        <v/>
      </c>
      <c r="S156" s="4" t="s">
        <v>41</v>
      </c>
      <c r="T156" s="4">
        <f>Setup!$C$14</f>
        <v>1200</v>
      </c>
      <c r="U156" s="4" t="str">
        <f t="shared" si="7"/>
        <v/>
      </c>
      <c r="V156" s="4"/>
    </row>
    <row r="157" spans="1:22" x14ac:dyDescent="0.25">
      <c r="A157" s="4"/>
      <c r="B157" s="4" t="str">
        <f>IFERROR(IF(A157&lt;&gt;"",VLOOKUP($A157,calculation!$A$10:$V$510,12),""),"")</f>
        <v/>
      </c>
      <c r="C157" s="4" t="str">
        <f>IFERROR(IF(A157&lt;&gt;"",VLOOKUP($A157,calculation!$A$10:$V$510,15),""),"")</f>
        <v/>
      </c>
      <c r="D157" s="4" t="str">
        <f>IFERROR(IF(A157&lt;&gt;"",VLOOKUP($A157,calculation!$A$10:$V$510,22),""),"")</f>
        <v/>
      </c>
      <c r="F157" s="4" t="s">
        <v>27</v>
      </c>
      <c r="G157" s="4">
        <f>MAX($G$9:G156)+1</f>
        <v>129</v>
      </c>
      <c r="H157" s="4" t="s">
        <v>34</v>
      </c>
      <c r="I157" s="4" t="s">
        <v>35</v>
      </c>
      <c r="J157" s="4" t="str">
        <f t="shared" si="4"/>
        <v/>
      </c>
      <c r="K157" s="4" t="s">
        <v>39</v>
      </c>
      <c r="L157" s="4">
        <f>Setup!$C$15</f>
        <v>1500</v>
      </c>
      <c r="M157" s="4" t="s">
        <v>36</v>
      </c>
      <c r="N157" s="4" t="str">
        <f t="shared" si="5"/>
        <v/>
      </c>
      <c r="O157" s="4" t="s">
        <v>40</v>
      </c>
      <c r="P157" s="4">
        <f>Setup!$C$13</f>
        <v>1200</v>
      </c>
      <c r="Q157" s="4" t="s">
        <v>37</v>
      </c>
      <c r="R157" s="4" t="str">
        <f t="shared" si="6"/>
        <v/>
      </c>
      <c r="S157" s="4" t="s">
        <v>41</v>
      </c>
      <c r="T157" s="4">
        <f>Setup!$C$14</f>
        <v>1200</v>
      </c>
      <c r="U157" s="4" t="str">
        <f t="shared" si="7"/>
        <v/>
      </c>
      <c r="V157" s="4"/>
    </row>
    <row r="158" spans="1:22" x14ac:dyDescent="0.25">
      <c r="A158" s="4"/>
      <c r="B158" s="4" t="str">
        <f>IFERROR(IF(A158&lt;&gt;"",VLOOKUP($A158,calculation!$A$10:$V$510,12),""),"")</f>
        <v/>
      </c>
      <c r="C158" s="4" t="str">
        <f>IFERROR(IF(A158&lt;&gt;"",VLOOKUP($A158,calculation!$A$10:$V$510,15),""),"")</f>
        <v/>
      </c>
      <c r="D158" s="4" t="str">
        <f>IFERROR(IF(A158&lt;&gt;"",VLOOKUP($A158,calculation!$A$10:$V$510,22),""),"")</f>
        <v/>
      </c>
      <c r="F158" s="4" t="s">
        <v>27</v>
      </c>
      <c r="G158" s="4">
        <f>MAX($G$9:G157)+1</f>
        <v>130</v>
      </c>
      <c r="H158" s="4" t="s">
        <v>34</v>
      </c>
      <c r="I158" s="4" t="s">
        <v>35</v>
      </c>
      <c r="J158" s="4" t="str">
        <f t="shared" si="4"/>
        <v/>
      </c>
      <c r="K158" s="4" t="s">
        <v>39</v>
      </c>
      <c r="L158" s="4">
        <f>Setup!$C$15</f>
        <v>1500</v>
      </c>
      <c r="M158" s="4" t="s">
        <v>36</v>
      </c>
      <c r="N158" s="4" t="str">
        <f t="shared" si="5"/>
        <v/>
      </c>
      <c r="O158" s="4" t="s">
        <v>40</v>
      </c>
      <c r="P158" s="4">
        <f>Setup!$C$13</f>
        <v>1200</v>
      </c>
      <c r="Q158" s="4" t="s">
        <v>37</v>
      </c>
      <c r="R158" s="4" t="str">
        <f t="shared" si="6"/>
        <v/>
      </c>
      <c r="S158" s="4" t="s">
        <v>41</v>
      </c>
      <c r="T158" s="4">
        <f>Setup!$C$14</f>
        <v>1200</v>
      </c>
      <c r="U158" s="4" t="str">
        <f t="shared" si="7"/>
        <v/>
      </c>
      <c r="V158" s="4"/>
    </row>
    <row r="159" spans="1:22" x14ac:dyDescent="0.25">
      <c r="A159" s="4"/>
      <c r="B159" s="4" t="str">
        <f>IFERROR(IF(A159&lt;&gt;"",VLOOKUP($A159,calculation!$A$10:$V$510,12),""),"")</f>
        <v/>
      </c>
      <c r="C159" s="4" t="str">
        <f>IFERROR(IF(A159&lt;&gt;"",VLOOKUP($A159,calculation!$A$10:$V$510,15),""),"")</f>
        <v/>
      </c>
      <c r="D159" s="4" t="str">
        <f>IFERROR(IF(A159&lt;&gt;"",VLOOKUP($A159,calculation!$A$10:$V$510,22),""),"")</f>
        <v/>
      </c>
      <c r="F159" s="4" t="s">
        <v>27</v>
      </c>
      <c r="G159" s="4">
        <f>MAX($G$9:G158)+1</f>
        <v>131</v>
      </c>
      <c r="H159" s="4" t="s">
        <v>34</v>
      </c>
      <c r="I159" s="4" t="s">
        <v>35</v>
      </c>
      <c r="J159" s="4" t="str">
        <f t="shared" si="4"/>
        <v/>
      </c>
      <c r="K159" s="4" t="s">
        <v>39</v>
      </c>
      <c r="L159" s="4">
        <f>Setup!$C$15</f>
        <v>1500</v>
      </c>
      <c r="M159" s="4" t="s">
        <v>36</v>
      </c>
      <c r="N159" s="4" t="str">
        <f t="shared" si="5"/>
        <v/>
      </c>
      <c r="O159" s="4" t="s">
        <v>40</v>
      </c>
      <c r="P159" s="4">
        <f>Setup!$C$13</f>
        <v>1200</v>
      </c>
      <c r="Q159" s="4" t="s">
        <v>37</v>
      </c>
      <c r="R159" s="4" t="str">
        <f t="shared" si="6"/>
        <v/>
      </c>
      <c r="S159" s="4" t="s">
        <v>41</v>
      </c>
      <c r="T159" s="4">
        <f>Setup!$C$14</f>
        <v>1200</v>
      </c>
      <c r="U159" s="4" t="str">
        <f t="shared" si="7"/>
        <v/>
      </c>
      <c r="V159" s="4"/>
    </row>
    <row r="160" spans="1:22" x14ac:dyDescent="0.25">
      <c r="A160" s="4"/>
      <c r="B160" s="4" t="str">
        <f>IFERROR(IF(A160&lt;&gt;"",VLOOKUP($A160,calculation!$A$10:$V$510,12),""),"")</f>
        <v/>
      </c>
      <c r="C160" s="4" t="str">
        <f>IFERROR(IF(A160&lt;&gt;"",VLOOKUP($A160,calculation!$A$10:$V$510,15),""),"")</f>
        <v/>
      </c>
      <c r="D160" s="4" t="str">
        <f>IFERROR(IF(A160&lt;&gt;"",VLOOKUP($A160,calculation!$A$10:$V$510,22),""),"")</f>
        <v/>
      </c>
      <c r="F160" s="4" t="s">
        <v>27</v>
      </c>
      <c r="G160" s="4">
        <f>MAX($G$9:G159)+1</f>
        <v>132</v>
      </c>
      <c r="H160" s="4" t="s">
        <v>34</v>
      </c>
      <c r="I160" s="4" t="s">
        <v>35</v>
      </c>
      <c r="J160" s="4" t="str">
        <f t="shared" ref="J160:J223" si="8">B160</f>
        <v/>
      </c>
      <c r="K160" s="4" t="s">
        <v>39</v>
      </c>
      <c r="L160" s="4">
        <f>Setup!$C$15</f>
        <v>1500</v>
      </c>
      <c r="M160" s="4" t="s">
        <v>36</v>
      </c>
      <c r="N160" s="4" t="str">
        <f t="shared" ref="N160:N223" si="9">C160</f>
        <v/>
      </c>
      <c r="O160" s="4" t="s">
        <v>40</v>
      </c>
      <c r="P160" s="4">
        <f>Setup!$C$13</f>
        <v>1200</v>
      </c>
      <c r="Q160" s="4" t="s">
        <v>37</v>
      </c>
      <c r="R160" s="4" t="str">
        <f t="shared" ref="R160:R223" si="10">D160</f>
        <v/>
      </c>
      <c r="S160" s="4" t="s">
        <v>41</v>
      </c>
      <c r="T160" s="4">
        <f>Setup!$C$14</f>
        <v>1200</v>
      </c>
      <c r="U160" s="4" t="str">
        <f t="shared" ref="U160:U223" si="11">IF(A160&lt;&gt;"",F160&amp;G160&amp;" "&amp;H160&amp;" "&amp;I160&amp;J160&amp;" "&amp;K160&amp;L160&amp;" "&amp;M160&amp;N160&amp;" "&amp;O160&amp;P160&amp;" "&amp;Q160&amp;R160&amp;" "&amp;S160&amp;T160,"")</f>
        <v/>
      </c>
      <c r="V160" s="4"/>
    </row>
    <row r="161" spans="1:22" x14ac:dyDescent="0.25">
      <c r="A161" s="4"/>
      <c r="B161" s="4" t="str">
        <f>IFERROR(IF(A161&lt;&gt;"",VLOOKUP($A161,calculation!$A$10:$V$510,12),""),"")</f>
        <v/>
      </c>
      <c r="C161" s="4" t="str">
        <f>IFERROR(IF(A161&lt;&gt;"",VLOOKUP($A161,calculation!$A$10:$V$510,15),""),"")</f>
        <v/>
      </c>
      <c r="D161" s="4" t="str">
        <f>IFERROR(IF(A161&lt;&gt;"",VLOOKUP($A161,calculation!$A$10:$V$510,22),""),"")</f>
        <v/>
      </c>
      <c r="F161" s="4" t="s">
        <v>27</v>
      </c>
      <c r="G161" s="4">
        <f>MAX($G$9:G160)+1</f>
        <v>133</v>
      </c>
      <c r="H161" s="4" t="s">
        <v>34</v>
      </c>
      <c r="I161" s="4" t="s">
        <v>35</v>
      </c>
      <c r="J161" s="4" t="str">
        <f t="shared" si="8"/>
        <v/>
      </c>
      <c r="K161" s="4" t="s">
        <v>39</v>
      </c>
      <c r="L161" s="4">
        <f>Setup!$C$15</f>
        <v>1500</v>
      </c>
      <c r="M161" s="4" t="s">
        <v>36</v>
      </c>
      <c r="N161" s="4" t="str">
        <f t="shared" si="9"/>
        <v/>
      </c>
      <c r="O161" s="4" t="s">
        <v>40</v>
      </c>
      <c r="P161" s="4">
        <f>Setup!$C$13</f>
        <v>1200</v>
      </c>
      <c r="Q161" s="4" t="s">
        <v>37</v>
      </c>
      <c r="R161" s="4" t="str">
        <f t="shared" si="10"/>
        <v/>
      </c>
      <c r="S161" s="4" t="s">
        <v>41</v>
      </c>
      <c r="T161" s="4">
        <f>Setup!$C$14</f>
        <v>1200</v>
      </c>
      <c r="U161" s="4" t="str">
        <f t="shared" si="11"/>
        <v/>
      </c>
      <c r="V161" s="4"/>
    </row>
    <row r="162" spans="1:22" x14ac:dyDescent="0.25">
      <c r="A162" s="4"/>
      <c r="B162" s="4" t="str">
        <f>IFERROR(IF(A162&lt;&gt;"",VLOOKUP($A162,calculation!$A$10:$V$510,12),""),"")</f>
        <v/>
      </c>
      <c r="C162" s="4" t="str">
        <f>IFERROR(IF(A162&lt;&gt;"",VLOOKUP($A162,calculation!$A$10:$V$510,15),""),"")</f>
        <v/>
      </c>
      <c r="D162" s="4" t="str">
        <f>IFERROR(IF(A162&lt;&gt;"",VLOOKUP($A162,calculation!$A$10:$V$510,22),""),"")</f>
        <v/>
      </c>
      <c r="F162" s="4" t="s">
        <v>27</v>
      </c>
      <c r="G162" s="4">
        <f>MAX($G$9:G161)+1</f>
        <v>134</v>
      </c>
      <c r="H162" s="4" t="s">
        <v>34</v>
      </c>
      <c r="I162" s="4" t="s">
        <v>35</v>
      </c>
      <c r="J162" s="4" t="str">
        <f t="shared" si="8"/>
        <v/>
      </c>
      <c r="K162" s="4" t="s">
        <v>39</v>
      </c>
      <c r="L162" s="4">
        <f>Setup!$C$15</f>
        <v>1500</v>
      </c>
      <c r="M162" s="4" t="s">
        <v>36</v>
      </c>
      <c r="N162" s="4" t="str">
        <f t="shared" si="9"/>
        <v/>
      </c>
      <c r="O162" s="4" t="s">
        <v>40</v>
      </c>
      <c r="P162" s="4">
        <f>Setup!$C$13</f>
        <v>1200</v>
      </c>
      <c r="Q162" s="4" t="s">
        <v>37</v>
      </c>
      <c r="R162" s="4" t="str">
        <f t="shared" si="10"/>
        <v/>
      </c>
      <c r="S162" s="4" t="s">
        <v>41</v>
      </c>
      <c r="T162" s="4">
        <f>Setup!$C$14</f>
        <v>1200</v>
      </c>
      <c r="U162" s="4" t="str">
        <f t="shared" si="11"/>
        <v/>
      </c>
      <c r="V162" s="4"/>
    </row>
    <row r="163" spans="1:22" x14ac:dyDescent="0.25">
      <c r="A163" s="4"/>
      <c r="B163" s="4" t="str">
        <f>IFERROR(IF(A163&lt;&gt;"",VLOOKUP($A163,calculation!$A$10:$V$510,12),""),"")</f>
        <v/>
      </c>
      <c r="C163" s="4" t="str">
        <f>IFERROR(IF(A163&lt;&gt;"",VLOOKUP($A163,calculation!$A$10:$V$510,15),""),"")</f>
        <v/>
      </c>
      <c r="D163" s="4" t="str">
        <f>IFERROR(IF(A163&lt;&gt;"",VLOOKUP($A163,calculation!$A$10:$V$510,22),""),"")</f>
        <v/>
      </c>
      <c r="F163" s="4" t="s">
        <v>27</v>
      </c>
      <c r="G163" s="4">
        <f>MAX($G$9:G162)+1</f>
        <v>135</v>
      </c>
      <c r="H163" s="4" t="s">
        <v>34</v>
      </c>
      <c r="I163" s="4" t="s">
        <v>35</v>
      </c>
      <c r="J163" s="4" t="str">
        <f t="shared" si="8"/>
        <v/>
      </c>
      <c r="K163" s="4" t="s">
        <v>39</v>
      </c>
      <c r="L163" s="4">
        <f>Setup!$C$15</f>
        <v>1500</v>
      </c>
      <c r="M163" s="4" t="s">
        <v>36</v>
      </c>
      <c r="N163" s="4" t="str">
        <f t="shared" si="9"/>
        <v/>
      </c>
      <c r="O163" s="4" t="s">
        <v>40</v>
      </c>
      <c r="P163" s="4">
        <f>Setup!$C$13</f>
        <v>1200</v>
      </c>
      <c r="Q163" s="4" t="s">
        <v>37</v>
      </c>
      <c r="R163" s="4" t="str">
        <f t="shared" si="10"/>
        <v/>
      </c>
      <c r="S163" s="4" t="s">
        <v>41</v>
      </c>
      <c r="T163" s="4">
        <f>Setup!$C$14</f>
        <v>1200</v>
      </c>
      <c r="U163" s="4" t="str">
        <f t="shared" si="11"/>
        <v/>
      </c>
      <c r="V163" s="4"/>
    </row>
    <row r="164" spans="1:22" x14ac:dyDescent="0.25">
      <c r="A164" s="4"/>
      <c r="B164" s="4" t="str">
        <f>IFERROR(IF(A164&lt;&gt;"",VLOOKUP($A164,calculation!$A$10:$V$510,12),""),"")</f>
        <v/>
      </c>
      <c r="C164" s="4" t="str">
        <f>IFERROR(IF(A164&lt;&gt;"",VLOOKUP($A164,calculation!$A$10:$V$510,15),""),"")</f>
        <v/>
      </c>
      <c r="D164" s="4" t="str">
        <f>IFERROR(IF(A164&lt;&gt;"",VLOOKUP($A164,calculation!$A$10:$V$510,22),""),"")</f>
        <v/>
      </c>
      <c r="F164" s="4" t="s">
        <v>27</v>
      </c>
      <c r="G164" s="4">
        <f>MAX($G$9:G163)+1</f>
        <v>136</v>
      </c>
      <c r="H164" s="4" t="s">
        <v>34</v>
      </c>
      <c r="I164" s="4" t="s">
        <v>35</v>
      </c>
      <c r="J164" s="4" t="str">
        <f t="shared" si="8"/>
        <v/>
      </c>
      <c r="K164" s="4" t="s">
        <v>39</v>
      </c>
      <c r="L164" s="4">
        <f>Setup!$C$15</f>
        <v>1500</v>
      </c>
      <c r="M164" s="4" t="s">
        <v>36</v>
      </c>
      <c r="N164" s="4" t="str">
        <f t="shared" si="9"/>
        <v/>
      </c>
      <c r="O164" s="4" t="s">
        <v>40</v>
      </c>
      <c r="P164" s="4">
        <f>Setup!$C$13</f>
        <v>1200</v>
      </c>
      <c r="Q164" s="4" t="s">
        <v>37</v>
      </c>
      <c r="R164" s="4" t="str">
        <f t="shared" si="10"/>
        <v/>
      </c>
      <c r="S164" s="4" t="s">
        <v>41</v>
      </c>
      <c r="T164" s="4">
        <f>Setup!$C$14</f>
        <v>1200</v>
      </c>
      <c r="U164" s="4" t="str">
        <f t="shared" si="11"/>
        <v/>
      </c>
      <c r="V164" s="4"/>
    </row>
    <row r="165" spans="1:22" x14ac:dyDescent="0.25">
      <c r="A165" s="4"/>
      <c r="B165" s="4" t="str">
        <f>IFERROR(IF(A165&lt;&gt;"",VLOOKUP($A165,calculation!$A$10:$V$510,12),""),"")</f>
        <v/>
      </c>
      <c r="C165" s="4" t="str">
        <f>IFERROR(IF(A165&lt;&gt;"",VLOOKUP($A165,calculation!$A$10:$V$510,15),""),"")</f>
        <v/>
      </c>
      <c r="D165" s="4" t="str">
        <f>IFERROR(IF(A165&lt;&gt;"",VLOOKUP($A165,calculation!$A$10:$V$510,22),""),"")</f>
        <v/>
      </c>
      <c r="F165" s="4" t="s">
        <v>27</v>
      </c>
      <c r="G165" s="4">
        <f>MAX($G$9:G164)+1</f>
        <v>137</v>
      </c>
      <c r="H165" s="4" t="s">
        <v>34</v>
      </c>
      <c r="I165" s="4" t="s">
        <v>35</v>
      </c>
      <c r="J165" s="4" t="str">
        <f t="shared" si="8"/>
        <v/>
      </c>
      <c r="K165" s="4" t="s">
        <v>39</v>
      </c>
      <c r="L165" s="4">
        <f>Setup!$C$15</f>
        <v>1500</v>
      </c>
      <c r="M165" s="4" t="s">
        <v>36</v>
      </c>
      <c r="N165" s="4" t="str">
        <f t="shared" si="9"/>
        <v/>
      </c>
      <c r="O165" s="4" t="s">
        <v>40</v>
      </c>
      <c r="P165" s="4">
        <f>Setup!$C$13</f>
        <v>1200</v>
      </c>
      <c r="Q165" s="4" t="s">
        <v>37</v>
      </c>
      <c r="R165" s="4" t="str">
        <f t="shared" si="10"/>
        <v/>
      </c>
      <c r="S165" s="4" t="s">
        <v>41</v>
      </c>
      <c r="T165" s="4">
        <f>Setup!$C$14</f>
        <v>1200</v>
      </c>
      <c r="U165" s="4" t="str">
        <f t="shared" si="11"/>
        <v/>
      </c>
      <c r="V165" s="4"/>
    </row>
    <row r="166" spans="1:22" x14ac:dyDescent="0.25">
      <c r="A166" s="4"/>
      <c r="B166" s="4" t="str">
        <f>IFERROR(IF(A166&lt;&gt;"",VLOOKUP($A166,calculation!$A$10:$V$510,12),""),"")</f>
        <v/>
      </c>
      <c r="C166" s="4" t="str">
        <f>IFERROR(IF(A166&lt;&gt;"",VLOOKUP($A166,calculation!$A$10:$V$510,15),""),"")</f>
        <v/>
      </c>
      <c r="D166" s="4" t="str">
        <f>IFERROR(IF(A166&lt;&gt;"",VLOOKUP($A166,calculation!$A$10:$V$510,22),""),"")</f>
        <v/>
      </c>
      <c r="F166" s="4" t="s">
        <v>27</v>
      </c>
      <c r="G166" s="4">
        <f>MAX($G$9:G165)+1</f>
        <v>138</v>
      </c>
      <c r="H166" s="4" t="s">
        <v>34</v>
      </c>
      <c r="I166" s="4" t="s">
        <v>35</v>
      </c>
      <c r="J166" s="4" t="str">
        <f t="shared" si="8"/>
        <v/>
      </c>
      <c r="K166" s="4" t="s">
        <v>39</v>
      </c>
      <c r="L166" s="4">
        <f>Setup!$C$15</f>
        <v>1500</v>
      </c>
      <c r="M166" s="4" t="s">
        <v>36</v>
      </c>
      <c r="N166" s="4" t="str">
        <f t="shared" si="9"/>
        <v/>
      </c>
      <c r="O166" s="4" t="s">
        <v>40</v>
      </c>
      <c r="P166" s="4">
        <f>Setup!$C$13</f>
        <v>1200</v>
      </c>
      <c r="Q166" s="4" t="s">
        <v>37</v>
      </c>
      <c r="R166" s="4" t="str">
        <f t="shared" si="10"/>
        <v/>
      </c>
      <c r="S166" s="4" t="s">
        <v>41</v>
      </c>
      <c r="T166" s="4">
        <f>Setup!$C$14</f>
        <v>1200</v>
      </c>
      <c r="U166" s="4" t="str">
        <f t="shared" si="11"/>
        <v/>
      </c>
      <c r="V166" s="4"/>
    </row>
    <row r="167" spans="1:22" x14ac:dyDescent="0.25">
      <c r="A167" s="4"/>
      <c r="B167" s="4" t="str">
        <f>IFERROR(IF(A167&lt;&gt;"",VLOOKUP($A167,calculation!$A$10:$V$510,12),""),"")</f>
        <v/>
      </c>
      <c r="C167" s="4" t="str">
        <f>IFERROR(IF(A167&lt;&gt;"",VLOOKUP($A167,calculation!$A$10:$V$510,15),""),"")</f>
        <v/>
      </c>
      <c r="D167" s="4" t="str">
        <f>IFERROR(IF(A167&lt;&gt;"",VLOOKUP($A167,calculation!$A$10:$V$510,22),""),"")</f>
        <v/>
      </c>
      <c r="F167" s="4" t="s">
        <v>27</v>
      </c>
      <c r="G167" s="4">
        <f>MAX($G$9:G166)+1</f>
        <v>139</v>
      </c>
      <c r="H167" s="4" t="s">
        <v>34</v>
      </c>
      <c r="I167" s="4" t="s">
        <v>35</v>
      </c>
      <c r="J167" s="4" t="str">
        <f t="shared" si="8"/>
        <v/>
      </c>
      <c r="K167" s="4" t="s">
        <v>39</v>
      </c>
      <c r="L167" s="4">
        <f>Setup!$C$15</f>
        <v>1500</v>
      </c>
      <c r="M167" s="4" t="s">
        <v>36</v>
      </c>
      <c r="N167" s="4" t="str">
        <f t="shared" si="9"/>
        <v/>
      </c>
      <c r="O167" s="4" t="s">
        <v>40</v>
      </c>
      <c r="P167" s="4">
        <f>Setup!$C$13</f>
        <v>1200</v>
      </c>
      <c r="Q167" s="4" t="s">
        <v>37</v>
      </c>
      <c r="R167" s="4" t="str">
        <f t="shared" si="10"/>
        <v/>
      </c>
      <c r="S167" s="4" t="s">
        <v>41</v>
      </c>
      <c r="T167" s="4">
        <f>Setup!$C$14</f>
        <v>1200</v>
      </c>
      <c r="U167" s="4" t="str">
        <f t="shared" si="11"/>
        <v/>
      </c>
      <c r="V167" s="4"/>
    </row>
    <row r="168" spans="1:22" x14ac:dyDescent="0.25">
      <c r="A168" s="4"/>
      <c r="B168" s="4" t="str">
        <f>IFERROR(IF(A168&lt;&gt;"",VLOOKUP($A168,calculation!$A$10:$V$510,12),""),"")</f>
        <v/>
      </c>
      <c r="C168" s="4" t="str">
        <f>IFERROR(IF(A168&lt;&gt;"",VLOOKUP($A168,calculation!$A$10:$V$510,15),""),"")</f>
        <v/>
      </c>
      <c r="D168" s="4" t="str">
        <f>IFERROR(IF(A168&lt;&gt;"",VLOOKUP($A168,calculation!$A$10:$V$510,22),""),"")</f>
        <v/>
      </c>
      <c r="F168" s="4" t="s">
        <v>27</v>
      </c>
      <c r="G168" s="4">
        <f>MAX($G$9:G167)+1</f>
        <v>140</v>
      </c>
      <c r="H168" s="4" t="s">
        <v>34</v>
      </c>
      <c r="I168" s="4" t="s">
        <v>35</v>
      </c>
      <c r="J168" s="4" t="str">
        <f t="shared" si="8"/>
        <v/>
      </c>
      <c r="K168" s="4" t="s">
        <v>39</v>
      </c>
      <c r="L168" s="4">
        <f>Setup!$C$15</f>
        <v>1500</v>
      </c>
      <c r="M168" s="4" t="s">
        <v>36</v>
      </c>
      <c r="N168" s="4" t="str">
        <f t="shared" si="9"/>
        <v/>
      </c>
      <c r="O168" s="4" t="s">
        <v>40</v>
      </c>
      <c r="P168" s="4">
        <f>Setup!$C$13</f>
        <v>1200</v>
      </c>
      <c r="Q168" s="4" t="s">
        <v>37</v>
      </c>
      <c r="R168" s="4" t="str">
        <f t="shared" si="10"/>
        <v/>
      </c>
      <c r="S168" s="4" t="s">
        <v>41</v>
      </c>
      <c r="T168" s="4">
        <f>Setup!$C$14</f>
        <v>1200</v>
      </c>
      <c r="U168" s="4" t="str">
        <f t="shared" si="11"/>
        <v/>
      </c>
      <c r="V168" s="4"/>
    </row>
    <row r="169" spans="1:22" x14ac:dyDescent="0.25">
      <c r="A169" s="4"/>
      <c r="B169" s="4" t="str">
        <f>IFERROR(IF(A169&lt;&gt;"",VLOOKUP($A169,calculation!$A$10:$V$510,12),""),"")</f>
        <v/>
      </c>
      <c r="C169" s="4" t="str">
        <f>IFERROR(IF(A169&lt;&gt;"",VLOOKUP($A169,calculation!$A$10:$V$510,15),""),"")</f>
        <v/>
      </c>
      <c r="D169" s="4" t="str">
        <f>IFERROR(IF(A169&lt;&gt;"",VLOOKUP($A169,calculation!$A$10:$V$510,22),""),"")</f>
        <v/>
      </c>
      <c r="F169" s="4" t="s">
        <v>27</v>
      </c>
      <c r="G169" s="4">
        <f>MAX($G$9:G168)+1</f>
        <v>141</v>
      </c>
      <c r="H169" s="4" t="s">
        <v>34</v>
      </c>
      <c r="I169" s="4" t="s">
        <v>35</v>
      </c>
      <c r="J169" s="4" t="str">
        <f t="shared" si="8"/>
        <v/>
      </c>
      <c r="K169" s="4" t="s">
        <v>39</v>
      </c>
      <c r="L169" s="4">
        <f>Setup!$C$15</f>
        <v>1500</v>
      </c>
      <c r="M169" s="4" t="s">
        <v>36</v>
      </c>
      <c r="N169" s="4" t="str">
        <f t="shared" si="9"/>
        <v/>
      </c>
      <c r="O169" s="4" t="s">
        <v>40</v>
      </c>
      <c r="P169" s="4">
        <f>Setup!$C$13</f>
        <v>1200</v>
      </c>
      <c r="Q169" s="4" t="s">
        <v>37</v>
      </c>
      <c r="R169" s="4" t="str">
        <f t="shared" si="10"/>
        <v/>
      </c>
      <c r="S169" s="4" t="s">
        <v>41</v>
      </c>
      <c r="T169" s="4">
        <f>Setup!$C$14</f>
        <v>1200</v>
      </c>
      <c r="U169" s="4" t="str">
        <f t="shared" si="11"/>
        <v/>
      </c>
      <c r="V169" s="4"/>
    </row>
    <row r="170" spans="1:22" x14ac:dyDescent="0.25">
      <c r="A170" s="4"/>
      <c r="B170" s="4" t="str">
        <f>IFERROR(IF(A170&lt;&gt;"",VLOOKUP($A170,calculation!$A$10:$V$510,12),""),"")</f>
        <v/>
      </c>
      <c r="C170" s="4" t="str">
        <f>IFERROR(IF(A170&lt;&gt;"",VLOOKUP($A170,calculation!$A$10:$V$510,15),""),"")</f>
        <v/>
      </c>
      <c r="D170" s="4" t="str">
        <f>IFERROR(IF(A170&lt;&gt;"",VLOOKUP($A170,calculation!$A$10:$V$510,22),""),"")</f>
        <v/>
      </c>
      <c r="F170" s="4" t="s">
        <v>27</v>
      </c>
      <c r="G170" s="4">
        <f>MAX($G$9:G169)+1</f>
        <v>142</v>
      </c>
      <c r="H170" s="4" t="s">
        <v>34</v>
      </c>
      <c r="I170" s="4" t="s">
        <v>35</v>
      </c>
      <c r="J170" s="4" t="str">
        <f t="shared" si="8"/>
        <v/>
      </c>
      <c r="K170" s="4" t="s">
        <v>39</v>
      </c>
      <c r="L170" s="4">
        <f>Setup!$C$15</f>
        <v>1500</v>
      </c>
      <c r="M170" s="4" t="s">
        <v>36</v>
      </c>
      <c r="N170" s="4" t="str">
        <f t="shared" si="9"/>
        <v/>
      </c>
      <c r="O170" s="4" t="s">
        <v>40</v>
      </c>
      <c r="P170" s="4">
        <f>Setup!$C$13</f>
        <v>1200</v>
      </c>
      <c r="Q170" s="4" t="s">
        <v>37</v>
      </c>
      <c r="R170" s="4" t="str">
        <f t="shared" si="10"/>
        <v/>
      </c>
      <c r="S170" s="4" t="s">
        <v>41</v>
      </c>
      <c r="T170" s="4">
        <f>Setup!$C$14</f>
        <v>1200</v>
      </c>
      <c r="U170" s="4" t="str">
        <f t="shared" si="11"/>
        <v/>
      </c>
      <c r="V170" s="4"/>
    </row>
    <row r="171" spans="1:22" x14ac:dyDescent="0.25">
      <c r="A171" s="4"/>
      <c r="B171" s="4" t="str">
        <f>IFERROR(IF(A171&lt;&gt;"",VLOOKUP($A171,calculation!$A$10:$V$510,12),""),"")</f>
        <v/>
      </c>
      <c r="C171" s="4" t="str">
        <f>IFERROR(IF(A171&lt;&gt;"",VLOOKUP($A171,calculation!$A$10:$V$510,15),""),"")</f>
        <v/>
      </c>
      <c r="D171" s="4" t="str">
        <f>IFERROR(IF(A171&lt;&gt;"",VLOOKUP($A171,calculation!$A$10:$V$510,22),""),"")</f>
        <v/>
      </c>
      <c r="F171" s="4" t="s">
        <v>27</v>
      </c>
      <c r="G171" s="4">
        <f>MAX($G$9:G170)+1</f>
        <v>143</v>
      </c>
      <c r="H171" s="4" t="s">
        <v>34</v>
      </c>
      <c r="I171" s="4" t="s">
        <v>35</v>
      </c>
      <c r="J171" s="4" t="str">
        <f t="shared" si="8"/>
        <v/>
      </c>
      <c r="K171" s="4" t="s">
        <v>39</v>
      </c>
      <c r="L171" s="4">
        <f>Setup!$C$15</f>
        <v>1500</v>
      </c>
      <c r="M171" s="4" t="s">
        <v>36</v>
      </c>
      <c r="N171" s="4" t="str">
        <f t="shared" si="9"/>
        <v/>
      </c>
      <c r="O171" s="4" t="s">
        <v>40</v>
      </c>
      <c r="P171" s="4">
        <f>Setup!$C$13</f>
        <v>1200</v>
      </c>
      <c r="Q171" s="4" t="s">
        <v>37</v>
      </c>
      <c r="R171" s="4" t="str">
        <f t="shared" si="10"/>
        <v/>
      </c>
      <c r="S171" s="4" t="s">
        <v>41</v>
      </c>
      <c r="T171" s="4">
        <f>Setup!$C$14</f>
        <v>1200</v>
      </c>
      <c r="U171" s="4" t="str">
        <f t="shared" si="11"/>
        <v/>
      </c>
      <c r="V171" s="4"/>
    </row>
    <row r="172" spans="1:22" x14ac:dyDescent="0.25">
      <c r="A172" s="4"/>
      <c r="B172" s="4" t="str">
        <f>IFERROR(IF(A172&lt;&gt;"",VLOOKUP($A172,calculation!$A$10:$V$510,12),""),"")</f>
        <v/>
      </c>
      <c r="C172" s="4" t="str">
        <f>IFERROR(IF(A172&lt;&gt;"",VLOOKUP($A172,calculation!$A$10:$V$510,15),""),"")</f>
        <v/>
      </c>
      <c r="D172" s="4" t="str">
        <f>IFERROR(IF(A172&lt;&gt;"",VLOOKUP($A172,calculation!$A$10:$V$510,22),""),"")</f>
        <v/>
      </c>
      <c r="F172" s="4" t="s">
        <v>27</v>
      </c>
      <c r="G172" s="4">
        <f>MAX($G$9:G171)+1</f>
        <v>144</v>
      </c>
      <c r="H172" s="4" t="s">
        <v>34</v>
      </c>
      <c r="I172" s="4" t="s">
        <v>35</v>
      </c>
      <c r="J172" s="4" t="str">
        <f t="shared" si="8"/>
        <v/>
      </c>
      <c r="K172" s="4" t="s">
        <v>39</v>
      </c>
      <c r="L172" s="4">
        <f>Setup!$C$15</f>
        <v>1500</v>
      </c>
      <c r="M172" s="4" t="s">
        <v>36</v>
      </c>
      <c r="N172" s="4" t="str">
        <f t="shared" si="9"/>
        <v/>
      </c>
      <c r="O172" s="4" t="s">
        <v>40</v>
      </c>
      <c r="P172" s="4">
        <f>Setup!$C$13</f>
        <v>1200</v>
      </c>
      <c r="Q172" s="4" t="s">
        <v>37</v>
      </c>
      <c r="R172" s="4" t="str">
        <f t="shared" si="10"/>
        <v/>
      </c>
      <c r="S172" s="4" t="s">
        <v>41</v>
      </c>
      <c r="T172" s="4">
        <f>Setup!$C$14</f>
        <v>1200</v>
      </c>
      <c r="U172" s="4" t="str">
        <f t="shared" si="11"/>
        <v/>
      </c>
      <c r="V172" s="4"/>
    </row>
    <row r="173" spans="1:22" x14ac:dyDescent="0.25">
      <c r="A173" s="4"/>
      <c r="B173" s="4" t="str">
        <f>IFERROR(IF(A173&lt;&gt;"",VLOOKUP($A173,calculation!$A$10:$V$510,12),""),"")</f>
        <v/>
      </c>
      <c r="C173" s="4" t="str">
        <f>IFERROR(IF(A173&lt;&gt;"",VLOOKUP($A173,calculation!$A$10:$V$510,15),""),"")</f>
        <v/>
      </c>
      <c r="D173" s="4" t="str">
        <f>IFERROR(IF(A173&lt;&gt;"",VLOOKUP($A173,calculation!$A$10:$V$510,22),""),"")</f>
        <v/>
      </c>
      <c r="F173" s="4" t="s">
        <v>27</v>
      </c>
      <c r="G173" s="4">
        <f>MAX($G$9:G172)+1</f>
        <v>145</v>
      </c>
      <c r="H173" s="4" t="s">
        <v>34</v>
      </c>
      <c r="I173" s="4" t="s">
        <v>35</v>
      </c>
      <c r="J173" s="4" t="str">
        <f t="shared" si="8"/>
        <v/>
      </c>
      <c r="K173" s="4" t="s">
        <v>39</v>
      </c>
      <c r="L173" s="4">
        <f>Setup!$C$15</f>
        <v>1500</v>
      </c>
      <c r="M173" s="4" t="s">
        <v>36</v>
      </c>
      <c r="N173" s="4" t="str">
        <f t="shared" si="9"/>
        <v/>
      </c>
      <c r="O173" s="4" t="s">
        <v>40</v>
      </c>
      <c r="P173" s="4">
        <f>Setup!$C$13</f>
        <v>1200</v>
      </c>
      <c r="Q173" s="4" t="s">
        <v>37</v>
      </c>
      <c r="R173" s="4" t="str">
        <f t="shared" si="10"/>
        <v/>
      </c>
      <c r="S173" s="4" t="s">
        <v>41</v>
      </c>
      <c r="T173" s="4">
        <f>Setup!$C$14</f>
        <v>1200</v>
      </c>
      <c r="U173" s="4" t="str">
        <f t="shared" si="11"/>
        <v/>
      </c>
      <c r="V173" s="4"/>
    </row>
    <row r="174" spans="1:22" x14ac:dyDescent="0.25">
      <c r="A174" s="4"/>
      <c r="B174" s="4" t="str">
        <f>IFERROR(IF(A174&lt;&gt;"",VLOOKUP($A174,calculation!$A$10:$V$510,12),""),"")</f>
        <v/>
      </c>
      <c r="C174" s="4" t="str">
        <f>IFERROR(IF(A174&lt;&gt;"",VLOOKUP($A174,calculation!$A$10:$V$510,15),""),"")</f>
        <v/>
      </c>
      <c r="D174" s="4" t="str">
        <f>IFERROR(IF(A174&lt;&gt;"",VLOOKUP($A174,calculation!$A$10:$V$510,22),""),"")</f>
        <v/>
      </c>
      <c r="F174" s="4" t="s">
        <v>27</v>
      </c>
      <c r="G174" s="4">
        <f>MAX($G$9:G173)+1</f>
        <v>146</v>
      </c>
      <c r="H174" s="4" t="s">
        <v>34</v>
      </c>
      <c r="I174" s="4" t="s">
        <v>35</v>
      </c>
      <c r="J174" s="4" t="str">
        <f t="shared" si="8"/>
        <v/>
      </c>
      <c r="K174" s="4" t="s">
        <v>39</v>
      </c>
      <c r="L174" s="4">
        <f>Setup!$C$15</f>
        <v>1500</v>
      </c>
      <c r="M174" s="4" t="s">
        <v>36</v>
      </c>
      <c r="N174" s="4" t="str">
        <f t="shared" si="9"/>
        <v/>
      </c>
      <c r="O174" s="4" t="s">
        <v>40</v>
      </c>
      <c r="P174" s="4">
        <f>Setup!$C$13</f>
        <v>1200</v>
      </c>
      <c r="Q174" s="4" t="s">
        <v>37</v>
      </c>
      <c r="R174" s="4" t="str">
        <f t="shared" si="10"/>
        <v/>
      </c>
      <c r="S174" s="4" t="s">
        <v>41</v>
      </c>
      <c r="T174" s="4">
        <f>Setup!$C$14</f>
        <v>1200</v>
      </c>
      <c r="U174" s="4" t="str">
        <f t="shared" si="11"/>
        <v/>
      </c>
      <c r="V174" s="4"/>
    </row>
    <row r="175" spans="1:22" x14ac:dyDescent="0.25">
      <c r="A175" s="4"/>
      <c r="B175" s="4" t="str">
        <f>IFERROR(IF(A175&lt;&gt;"",VLOOKUP($A175,calculation!$A$10:$V$510,12),""),"")</f>
        <v/>
      </c>
      <c r="C175" s="4" t="str">
        <f>IFERROR(IF(A175&lt;&gt;"",VLOOKUP($A175,calculation!$A$10:$V$510,15),""),"")</f>
        <v/>
      </c>
      <c r="D175" s="4" t="str">
        <f>IFERROR(IF(A175&lt;&gt;"",VLOOKUP($A175,calculation!$A$10:$V$510,22),""),"")</f>
        <v/>
      </c>
      <c r="F175" s="4" t="s">
        <v>27</v>
      </c>
      <c r="G175" s="4">
        <f>MAX($G$9:G174)+1</f>
        <v>147</v>
      </c>
      <c r="H175" s="4" t="s">
        <v>34</v>
      </c>
      <c r="I175" s="4" t="s">
        <v>35</v>
      </c>
      <c r="J175" s="4" t="str">
        <f t="shared" si="8"/>
        <v/>
      </c>
      <c r="K175" s="4" t="s">
        <v>39</v>
      </c>
      <c r="L175" s="4">
        <f>Setup!$C$15</f>
        <v>1500</v>
      </c>
      <c r="M175" s="4" t="s">
        <v>36</v>
      </c>
      <c r="N175" s="4" t="str">
        <f t="shared" si="9"/>
        <v/>
      </c>
      <c r="O175" s="4" t="s">
        <v>40</v>
      </c>
      <c r="P175" s="4">
        <f>Setup!$C$13</f>
        <v>1200</v>
      </c>
      <c r="Q175" s="4" t="s">
        <v>37</v>
      </c>
      <c r="R175" s="4" t="str">
        <f t="shared" si="10"/>
        <v/>
      </c>
      <c r="S175" s="4" t="s">
        <v>41</v>
      </c>
      <c r="T175" s="4">
        <f>Setup!$C$14</f>
        <v>1200</v>
      </c>
      <c r="U175" s="4" t="str">
        <f t="shared" si="11"/>
        <v/>
      </c>
      <c r="V175" s="4"/>
    </row>
    <row r="176" spans="1:22" x14ac:dyDescent="0.25">
      <c r="A176" s="4"/>
      <c r="B176" s="4" t="str">
        <f>IFERROR(IF(A176&lt;&gt;"",VLOOKUP($A176,calculation!$A$10:$V$510,12),""),"")</f>
        <v/>
      </c>
      <c r="C176" s="4" t="str">
        <f>IFERROR(IF(A176&lt;&gt;"",VLOOKUP($A176,calculation!$A$10:$V$510,15),""),"")</f>
        <v/>
      </c>
      <c r="D176" s="4" t="str">
        <f>IFERROR(IF(A176&lt;&gt;"",VLOOKUP($A176,calculation!$A$10:$V$510,22),""),"")</f>
        <v/>
      </c>
      <c r="F176" s="4" t="s">
        <v>27</v>
      </c>
      <c r="G176" s="4">
        <f>MAX($G$9:G175)+1</f>
        <v>148</v>
      </c>
      <c r="H176" s="4" t="s">
        <v>34</v>
      </c>
      <c r="I176" s="4" t="s">
        <v>35</v>
      </c>
      <c r="J176" s="4" t="str">
        <f t="shared" si="8"/>
        <v/>
      </c>
      <c r="K176" s="4" t="s">
        <v>39</v>
      </c>
      <c r="L176" s="4">
        <f>Setup!$C$15</f>
        <v>1500</v>
      </c>
      <c r="M176" s="4" t="s">
        <v>36</v>
      </c>
      <c r="N176" s="4" t="str">
        <f t="shared" si="9"/>
        <v/>
      </c>
      <c r="O176" s="4" t="s">
        <v>40</v>
      </c>
      <c r="P176" s="4">
        <f>Setup!$C$13</f>
        <v>1200</v>
      </c>
      <c r="Q176" s="4" t="s">
        <v>37</v>
      </c>
      <c r="R176" s="4" t="str">
        <f t="shared" si="10"/>
        <v/>
      </c>
      <c r="S176" s="4" t="s">
        <v>41</v>
      </c>
      <c r="T176" s="4">
        <f>Setup!$C$14</f>
        <v>1200</v>
      </c>
      <c r="U176" s="4" t="str">
        <f t="shared" si="11"/>
        <v/>
      </c>
      <c r="V176" s="4"/>
    </row>
    <row r="177" spans="1:22" x14ac:dyDescent="0.25">
      <c r="A177" s="4"/>
      <c r="B177" s="4" t="str">
        <f>IFERROR(IF(A177&lt;&gt;"",VLOOKUP($A177,calculation!$A$10:$V$510,12),""),"")</f>
        <v/>
      </c>
      <c r="C177" s="4" t="str">
        <f>IFERROR(IF(A177&lt;&gt;"",VLOOKUP($A177,calculation!$A$10:$V$510,15),""),"")</f>
        <v/>
      </c>
      <c r="D177" s="4" t="str">
        <f>IFERROR(IF(A177&lt;&gt;"",VLOOKUP($A177,calculation!$A$10:$V$510,22),""),"")</f>
        <v/>
      </c>
      <c r="F177" s="4" t="s">
        <v>27</v>
      </c>
      <c r="G177" s="4">
        <f>MAX($G$9:G176)+1</f>
        <v>149</v>
      </c>
      <c r="H177" s="4" t="s">
        <v>34</v>
      </c>
      <c r="I177" s="4" t="s">
        <v>35</v>
      </c>
      <c r="J177" s="4" t="str">
        <f t="shared" si="8"/>
        <v/>
      </c>
      <c r="K177" s="4" t="s">
        <v>39</v>
      </c>
      <c r="L177" s="4">
        <f>Setup!$C$15</f>
        <v>1500</v>
      </c>
      <c r="M177" s="4" t="s">
        <v>36</v>
      </c>
      <c r="N177" s="4" t="str">
        <f t="shared" si="9"/>
        <v/>
      </c>
      <c r="O177" s="4" t="s">
        <v>40</v>
      </c>
      <c r="P177" s="4">
        <f>Setup!$C$13</f>
        <v>1200</v>
      </c>
      <c r="Q177" s="4" t="s">
        <v>37</v>
      </c>
      <c r="R177" s="4" t="str">
        <f t="shared" si="10"/>
        <v/>
      </c>
      <c r="S177" s="4" t="s">
        <v>41</v>
      </c>
      <c r="T177" s="4">
        <f>Setup!$C$14</f>
        <v>1200</v>
      </c>
      <c r="U177" s="4" t="str">
        <f t="shared" si="11"/>
        <v/>
      </c>
      <c r="V177" s="4"/>
    </row>
    <row r="178" spans="1:22" x14ac:dyDescent="0.25">
      <c r="A178" s="4"/>
      <c r="B178" s="4" t="str">
        <f>IFERROR(IF(A178&lt;&gt;"",VLOOKUP($A178,calculation!$A$10:$V$510,12),""),"")</f>
        <v/>
      </c>
      <c r="C178" s="4" t="str">
        <f>IFERROR(IF(A178&lt;&gt;"",VLOOKUP($A178,calculation!$A$10:$V$510,15),""),"")</f>
        <v/>
      </c>
      <c r="D178" s="4" t="str">
        <f>IFERROR(IF(A178&lt;&gt;"",VLOOKUP($A178,calculation!$A$10:$V$510,22),""),"")</f>
        <v/>
      </c>
      <c r="F178" s="4" t="s">
        <v>27</v>
      </c>
      <c r="G178" s="4">
        <f>MAX($G$9:G177)+1</f>
        <v>150</v>
      </c>
      <c r="H178" s="4" t="s">
        <v>34</v>
      </c>
      <c r="I178" s="4" t="s">
        <v>35</v>
      </c>
      <c r="J178" s="4" t="str">
        <f t="shared" si="8"/>
        <v/>
      </c>
      <c r="K178" s="4" t="s">
        <v>39</v>
      </c>
      <c r="L178" s="4">
        <f>Setup!$C$15</f>
        <v>1500</v>
      </c>
      <c r="M178" s="4" t="s">
        <v>36</v>
      </c>
      <c r="N178" s="4" t="str">
        <f t="shared" si="9"/>
        <v/>
      </c>
      <c r="O178" s="4" t="s">
        <v>40</v>
      </c>
      <c r="P178" s="4">
        <f>Setup!$C$13</f>
        <v>1200</v>
      </c>
      <c r="Q178" s="4" t="s">
        <v>37</v>
      </c>
      <c r="R178" s="4" t="str">
        <f t="shared" si="10"/>
        <v/>
      </c>
      <c r="S178" s="4" t="s">
        <v>41</v>
      </c>
      <c r="T178" s="4">
        <f>Setup!$C$14</f>
        <v>1200</v>
      </c>
      <c r="U178" s="4" t="str">
        <f t="shared" si="11"/>
        <v/>
      </c>
      <c r="V178" s="4"/>
    </row>
    <row r="179" spans="1:22" x14ac:dyDescent="0.25">
      <c r="A179" s="4"/>
      <c r="B179" s="4" t="str">
        <f>IFERROR(IF(A179&lt;&gt;"",VLOOKUP($A179,calculation!$A$10:$V$510,12),""),"")</f>
        <v/>
      </c>
      <c r="C179" s="4" t="str">
        <f>IFERROR(IF(A179&lt;&gt;"",VLOOKUP($A179,calculation!$A$10:$V$510,15),""),"")</f>
        <v/>
      </c>
      <c r="D179" s="4" t="str">
        <f>IFERROR(IF(A179&lt;&gt;"",VLOOKUP($A179,calculation!$A$10:$V$510,22),""),"")</f>
        <v/>
      </c>
      <c r="F179" s="4" t="s">
        <v>27</v>
      </c>
      <c r="G179" s="4">
        <f>MAX($G$9:G178)+1</f>
        <v>151</v>
      </c>
      <c r="H179" s="4" t="s">
        <v>34</v>
      </c>
      <c r="I179" s="4" t="s">
        <v>35</v>
      </c>
      <c r="J179" s="4" t="str">
        <f t="shared" si="8"/>
        <v/>
      </c>
      <c r="K179" s="4" t="s">
        <v>39</v>
      </c>
      <c r="L179" s="4">
        <f>Setup!$C$15</f>
        <v>1500</v>
      </c>
      <c r="M179" s="4" t="s">
        <v>36</v>
      </c>
      <c r="N179" s="4" t="str">
        <f t="shared" si="9"/>
        <v/>
      </c>
      <c r="O179" s="4" t="s">
        <v>40</v>
      </c>
      <c r="P179" s="4">
        <f>Setup!$C$13</f>
        <v>1200</v>
      </c>
      <c r="Q179" s="4" t="s">
        <v>37</v>
      </c>
      <c r="R179" s="4" t="str">
        <f t="shared" si="10"/>
        <v/>
      </c>
      <c r="S179" s="4" t="s">
        <v>41</v>
      </c>
      <c r="T179" s="4">
        <f>Setup!$C$14</f>
        <v>1200</v>
      </c>
      <c r="U179" s="4" t="str">
        <f t="shared" si="11"/>
        <v/>
      </c>
      <c r="V179" s="4"/>
    </row>
    <row r="180" spans="1:22" x14ac:dyDescent="0.25">
      <c r="A180" s="4"/>
      <c r="B180" s="4" t="str">
        <f>IFERROR(IF(A180&lt;&gt;"",VLOOKUP($A180,calculation!$A$10:$V$510,12),""),"")</f>
        <v/>
      </c>
      <c r="C180" s="4" t="str">
        <f>IFERROR(IF(A180&lt;&gt;"",VLOOKUP($A180,calculation!$A$10:$V$510,15),""),"")</f>
        <v/>
      </c>
      <c r="D180" s="4" t="str">
        <f>IFERROR(IF(A180&lt;&gt;"",VLOOKUP($A180,calculation!$A$10:$V$510,22),""),"")</f>
        <v/>
      </c>
      <c r="F180" s="4" t="s">
        <v>27</v>
      </c>
      <c r="G180" s="4">
        <f>MAX($G$9:G179)+1</f>
        <v>152</v>
      </c>
      <c r="H180" s="4" t="s">
        <v>34</v>
      </c>
      <c r="I180" s="4" t="s">
        <v>35</v>
      </c>
      <c r="J180" s="4" t="str">
        <f t="shared" si="8"/>
        <v/>
      </c>
      <c r="K180" s="4" t="s">
        <v>39</v>
      </c>
      <c r="L180" s="4">
        <f>Setup!$C$15</f>
        <v>1500</v>
      </c>
      <c r="M180" s="4" t="s">
        <v>36</v>
      </c>
      <c r="N180" s="4" t="str">
        <f t="shared" si="9"/>
        <v/>
      </c>
      <c r="O180" s="4" t="s">
        <v>40</v>
      </c>
      <c r="P180" s="4">
        <f>Setup!$C$13</f>
        <v>1200</v>
      </c>
      <c r="Q180" s="4" t="s">
        <v>37</v>
      </c>
      <c r="R180" s="4" t="str">
        <f t="shared" si="10"/>
        <v/>
      </c>
      <c r="S180" s="4" t="s">
        <v>41</v>
      </c>
      <c r="T180" s="4">
        <f>Setup!$C$14</f>
        <v>1200</v>
      </c>
      <c r="U180" s="4" t="str">
        <f t="shared" si="11"/>
        <v/>
      </c>
      <c r="V180" s="4"/>
    </row>
    <row r="181" spans="1:22" x14ac:dyDescent="0.25">
      <c r="A181" s="4"/>
      <c r="B181" s="4" t="str">
        <f>IFERROR(IF(A181&lt;&gt;"",VLOOKUP($A181,calculation!$A$10:$V$510,12),""),"")</f>
        <v/>
      </c>
      <c r="C181" s="4" t="str">
        <f>IFERROR(IF(A181&lt;&gt;"",VLOOKUP($A181,calculation!$A$10:$V$510,15),""),"")</f>
        <v/>
      </c>
      <c r="D181" s="4" t="str">
        <f>IFERROR(IF(A181&lt;&gt;"",VLOOKUP($A181,calculation!$A$10:$V$510,22),""),"")</f>
        <v/>
      </c>
      <c r="F181" s="4" t="s">
        <v>27</v>
      </c>
      <c r="G181" s="4">
        <f>MAX($G$9:G180)+1</f>
        <v>153</v>
      </c>
      <c r="H181" s="4" t="s">
        <v>34</v>
      </c>
      <c r="I181" s="4" t="s">
        <v>35</v>
      </c>
      <c r="J181" s="4" t="str">
        <f t="shared" si="8"/>
        <v/>
      </c>
      <c r="K181" s="4" t="s">
        <v>39</v>
      </c>
      <c r="L181" s="4">
        <f>Setup!$C$15</f>
        <v>1500</v>
      </c>
      <c r="M181" s="4" t="s">
        <v>36</v>
      </c>
      <c r="N181" s="4" t="str">
        <f t="shared" si="9"/>
        <v/>
      </c>
      <c r="O181" s="4" t="s">
        <v>40</v>
      </c>
      <c r="P181" s="4">
        <f>Setup!$C$13</f>
        <v>1200</v>
      </c>
      <c r="Q181" s="4" t="s">
        <v>37</v>
      </c>
      <c r="R181" s="4" t="str">
        <f t="shared" si="10"/>
        <v/>
      </c>
      <c r="S181" s="4" t="s">
        <v>41</v>
      </c>
      <c r="T181" s="4">
        <f>Setup!$C$14</f>
        <v>1200</v>
      </c>
      <c r="U181" s="4" t="str">
        <f t="shared" si="11"/>
        <v/>
      </c>
      <c r="V181" s="4"/>
    </row>
    <row r="182" spans="1:22" x14ac:dyDescent="0.25">
      <c r="A182" s="4"/>
      <c r="B182" s="4" t="str">
        <f>IFERROR(IF(A182&lt;&gt;"",VLOOKUP($A182,calculation!$A$10:$V$510,12),""),"")</f>
        <v/>
      </c>
      <c r="C182" s="4" t="str">
        <f>IFERROR(IF(A182&lt;&gt;"",VLOOKUP($A182,calculation!$A$10:$V$510,15),""),"")</f>
        <v/>
      </c>
      <c r="D182" s="4" t="str">
        <f>IFERROR(IF(A182&lt;&gt;"",VLOOKUP($A182,calculation!$A$10:$V$510,22),""),"")</f>
        <v/>
      </c>
      <c r="F182" s="4" t="s">
        <v>27</v>
      </c>
      <c r="G182" s="4">
        <f>MAX($G$9:G181)+1</f>
        <v>154</v>
      </c>
      <c r="H182" s="4" t="s">
        <v>34</v>
      </c>
      <c r="I182" s="4" t="s">
        <v>35</v>
      </c>
      <c r="J182" s="4" t="str">
        <f t="shared" si="8"/>
        <v/>
      </c>
      <c r="K182" s="4" t="s">
        <v>39</v>
      </c>
      <c r="L182" s="4">
        <f>Setup!$C$15</f>
        <v>1500</v>
      </c>
      <c r="M182" s="4" t="s">
        <v>36</v>
      </c>
      <c r="N182" s="4" t="str">
        <f t="shared" si="9"/>
        <v/>
      </c>
      <c r="O182" s="4" t="s">
        <v>40</v>
      </c>
      <c r="P182" s="4">
        <f>Setup!$C$13</f>
        <v>1200</v>
      </c>
      <c r="Q182" s="4" t="s">
        <v>37</v>
      </c>
      <c r="R182" s="4" t="str">
        <f t="shared" si="10"/>
        <v/>
      </c>
      <c r="S182" s="4" t="s">
        <v>41</v>
      </c>
      <c r="T182" s="4">
        <f>Setup!$C$14</f>
        <v>1200</v>
      </c>
      <c r="U182" s="4" t="str">
        <f t="shared" si="11"/>
        <v/>
      </c>
      <c r="V182" s="4"/>
    </row>
    <row r="183" spans="1:22" x14ac:dyDescent="0.25">
      <c r="A183" s="4"/>
      <c r="B183" s="4" t="str">
        <f>IFERROR(IF(A183&lt;&gt;"",VLOOKUP($A183,calculation!$A$10:$V$510,12),""),"")</f>
        <v/>
      </c>
      <c r="C183" s="4" t="str">
        <f>IFERROR(IF(A183&lt;&gt;"",VLOOKUP($A183,calculation!$A$10:$V$510,15),""),"")</f>
        <v/>
      </c>
      <c r="D183" s="4" t="str">
        <f>IFERROR(IF(A183&lt;&gt;"",VLOOKUP($A183,calculation!$A$10:$V$510,22),""),"")</f>
        <v/>
      </c>
      <c r="F183" s="4" t="s">
        <v>27</v>
      </c>
      <c r="G183" s="4">
        <f>MAX($G$9:G182)+1</f>
        <v>155</v>
      </c>
      <c r="H183" s="4" t="s">
        <v>34</v>
      </c>
      <c r="I183" s="4" t="s">
        <v>35</v>
      </c>
      <c r="J183" s="4" t="str">
        <f t="shared" si="8"/>
        <v/>
      </c>
      <c r="K183" s="4" t="s">
        <v>39</v>
      </c>
      <c r="L183" s="4">
        <f>Setup!$C$15</f>
        <v>1500</v>
      </c>
      <c r="M183" s="4" t="s">
        <v>36</v>
      </c>
      <c r="N183" s="4" t="str">
        <f t="shared" si="9"/>
        <v/>
      </c>
      <c r="O183" s="4" t="s">
        <v>40</v>
      </c>
      <c r="P183" s="4">
        <f>Setup!$C$13</f>
        <v>1200</v>
      </c>
      <c r="Q183" s="4" t="s">
        <v>37</v>
      </c>
      <c r="R183" s="4" t="str">
        <f t="shared" si="10"/>
        <v/>
      </c>
      <c r="S183" s="4" t="s">
        <v>41</v>
      </c>
      <c r="T183" s="4">
        <f>Setup!$C$14</f>
        <v>1200</v>
      </c>
      <c r="U183" s="4" t="str">
        <f t="shared" si="11"/>
        <v/>
      </c>
      <c r="V183" s="4"/>
    </row>
    <row r="184" spans="1:22" x14ac:dyDescent="0.25">
      <c r="A184" s="4"/>
      <c r="B184" s="4" t="str">
        <f>IFERROR(IF(A184&lt;&gt;"",VLOOKUP($A184,calculation!$A$10:$V$510,12),""),"")</f>
        <v/>
      </c>
      <c r="C184" s="4" t="str">
        <f>IFERROR(IF(A184&lt;&gt;"",VLOOKUP($A184,calculation!$A$10:$V$510,15),""),"")</f>
        <v/>
      </c>
      <c r="D184" s="4" t="str">
        <f>IFERROR(IF(A184&lt;&gt;"",VLOOKUP($A184,calculation!$A$10:$V$510,22),""),"")</f>
        <v/>
      </c>
      <c r="F184" s="4" t="s">
        <v>27</v>
      </c>
      <c r="G184" s="4">
        <f>MAX($G$9:G183)+1</f>
        <v>156</v>
      </c>
      <c r="H184" s="4" t="s">
        <v>34</v>
      </c>
      <c r="I184" s="4" t="s">
        <v>35</v>
      </c>
      <c r="J184" s="4" t="str">
        <f t="shared" si="8"/>
        <v/>
      </c>
      <c r="K184" s="4" t="s">
        <v>39</v>
      </c>
      <c r="L184" s="4">
        <f>Setup!$C$15</f>
        <v>1500</v>
      </c>
      <c r="M184" s="4" t="s">
        <v>36</v>
      </c>
      <c r="N184" s="4" t="str">
        <f t="shared" si="9"/>
        <v/>
      </c>
      <c r="O184" s="4" t="s">
        <v>40</v>
      </c>
      <c r="P184" s="4">
        <f>Setup!$C$13</f>
        <v>1200</v>
      </c>
      <c r="Q184" s="4" t="s">
        <v>37</v>
      </c>
      <c r="R184" s="4" t="str">
        <f t="shared" si="10"/>
        <v/>
      </c>
      <c r="S184" s="4" t="s">
        <v>41</v>
      </c>
      <c r="T184" s="4">
        <f>Setup!$C$14</f>
        <v>1200</v>
      </c>
      <c r="U184" s="4" t="str">
        <f t="shared" si="11"/>
        <v/>
      </c>
      <c r="V184" s="4"/>
    </row>
    <row r="185" spans="1:22" x14ac:dyDescent="0.25">
      <c r="A185" s="4"/>
      <c r="B185" s="4" t="str">
        <f>IFERROR(IF(A185&lt;&gt;"",VLOOKUP($A185,calculation!$A$10:$V$510,12),""),"")</f>
        <v/>
      </c>
      <c r="C185" s="4" t="str">
        <f>IFERROR(IF(A185&lt;&gt;"",VLOOKUP($A185,calculation!$A$10:$V$510,15),""),"")</f>
        <v/>
      </c>
      <c r="D185" s="4" t="str">
        <f>IFERROR(IF(A185&lt;&gt;"",VLOOKUP($A185,calculation!$A$10:$V$510,22),""),"")</f>
        <v/>
      </c>
      <c r="F185" s="4" t="s">
        <v>27</v>
      </c>
      <c r="G185" s="4">
        <f>MAX($G$9:G184)+1</f>
        <v>157</v>
      </c>
      <c r="H185" s="4" t="s">
        <v>34</v>
      </c>
      <c r="I185" s="4" t="s">
        <v>35</v>
      </c>
      <c r="J185" s="4" t="str">
        <f t="shared" si="8"/>
        <v/>
      </c>
      <c r="K185" s="4" t="s">
        <v>39</v>
      </c>
      <c r="L185" s="4">
        <f>Setup!$C$15</f>
        <v>1500</v>
      </c>
      <c r="M185" s="4" t="s">
        <v>36</v>
      </c>
      <c r="N185" s="4" t="str">
        <f t="shared" si="9"/>
        <v/>
      </c>
      <c r="O185" s="4" t="s">
        <v>40</v>
      </c>
      <c r="P185" s="4">
        <f>Setup!$C$13</f>
        <v>1200</v>
      </c>
      <c r="Q185" s="4" t="s">
        <v>37</v>
      </c>
      <c r="R185" s="4" t="str">
        <f t="shared" si="10"/>
        <v/>
      </c>
      <c r="S185" s="4" t="s">
        <v>41</v>
      </c>
      <c r="T185" s="4">
        <f>Setup!$C$14</f>
        <v>1200</v>
      </c>
      <c r="U185" s="4" t="str">
        <f t="shared" si="11"/>
        <v/>
      </c>
      <c r="V185" s="4"/>
    </row>
    <row r="186" spans="1:22" x14ac:dyDescent="0.25">
      <c r="A186" s="4"/>
      <c r="B186" s="4" t="str">
        <f>IFERROR(IF(A186&lt;&gt;"",VLOOKUP($A186,calculation!$A$10:$V$510,12),""),"")</f>
        <v/>
      </c>
      <c r="C186" s="4" t="str">
        <f>IFERROR(IF(A186&lt;&gt;"",VLOOKUP($A186,calculation!$A$10:$V$510,15),""),"")</f>
        <v/>
      </c>
      <c r="D186" s="4" t="str">
        <f>IFERROR(IF(A186&lt;&gt;"",VLOOKUP($A186,calculation!$A$10:$V$510,22),""),"")</f>
        <v/>
      </c>
      <c r="F186" s="4" t="s">
        <v>27</v>
      </c>
      <c r="G186" s="4">
        <f>MAX($G$9:G185)+1</f>
        <v>158</v>
      </c>
      <c r="H186" s="4" t="s">
        <v>34</v>
      </c>
      <c r="I186" s="4" t="s">
        <v>35</v>
      </c>
      <c r="J186" s="4" t="str">
        <f t="shared" si="8"/>
        <v/>
      </c>
      <c r="K186" s="4" t="s">
        <v>39</v>
      </c>
      <c r="L186" s="4">
        <f>Setup!$C$15</f>
        <v>1500</v>
      </c>
      <c r="M186" s="4" t="s">
        <v>36</v>
      </c>
      <c r="N186" s="4" t="str">
        <f t="shared" si="9"/>
        <v/>
      </c>
      <c r="O186" s="4" t="s">
        <v>40</v>
      </c>
      <c r="P186" s="4">
        <f>Setup!$C$13</f>
        <v>1200</v>
      </c>
      <c r="Q186" s="4" t="s">
        <v>37</v>
      </c>
      <c r="R186" s="4" t="str">
        <f t="shared" si="10"/>
        <v/>
      </c>
      <c r="S186" s="4" t="s">
        <v>41</v>
      </c>
      <c r="T186" s="4">
        <f>Setup!$C$14</f>
        <v>1200</v>
      </c>
      <c r="U186" s="4" t="str">
        <f t="shared" si="11"/>
        <v/>
      </c>
      <c r="V186" s="4"/>
    </row>
    <row r="187" spans="1:22" x14ac:dyDescent="0.25">
      <c r="A187" s="4"/>
      <c r="B187" s="4" t="str">
        <f>IFERROR(IF(A187&lt;&gt;"",VLOOKUP($A187,calculation!$A$10:$V$510,12),""),"")</f>
        <v/>
      </c>
      <c r="C187" s="4" t="str">
        <f>IFERROR(IF(A187&lt;&gt;"",VLOOKUP($A187,calculation!$A$10:$V$510,15),""),"")</f>
        <v/>
      </c>
      <c r="D187" s="4" t="str">
        <f>IFERROR(IF(A187&lt;&gt;"",VLOOKUP($A187,calculation!$A$10:$V$510,22),""),"")</f>
        <v/>
      </c>
      <c r="F187" s="4" t="s">
        <v>27</v>
      </c>
      <c r="G187" s="4">
        <f>MAX($G$9:G186)+1</f>
        <v>159</v>
      </c>
      <c r="H187" s="4" t="s">
        <v>34</v>
      </c>
      <c r="I187" s="4" t="s">
        <v>35</v>
      </c>
      <c r="J187" s="4" t="str">
        <f t="shared" si="8"/>
        <v/>
      </c>
      <c r="K187" s="4" t="s">
        <v>39</v>
      </c>
      <c r="L187" s="4">
        <f>Setup!$C$15</f>
        <v>1500</v>
      </c>
      <c r="M187" s="4" t="s">
        <v>36</v>
      </c>
      <c r="N187" s="4" t="str">
        <f t="shared" si="9"/>
        <v/>
      </c>
      <c r="O187" s="4" t="s">
        <v>40</v>
      </c>
      <c r="P187" s="4">
        <f>Setup!$C$13</f>
        <v>1200</v>
      </c>
      <c r="Q187" s="4" t="s">
        <v>37</v>
      </c>
      <c r="R187" s="4" t="str">
        <f t="shared" si="10"/>
        <v/>
      </c>
      <c r="S187" s="4" t="s">
        <v>41</v>
      </c>
      <c r="T187" s="4">
        <f>Setup!$C$14</f>
        <v>1200</v>
      </c>
      <c r="U187" s="4" t="str">
        <f t="shared" si="11"/>
        <v/>
      </c>
      <c r="V187" s="4"/>
    </row>
    <row r="188" spans="1:22" x14ac:dyDescent="0.25">
      <c r="A188" s="4"/>
      <c r="B188" s="4" t="str">
        <f>IFERROR(IF(A188&lt;&gt;"",VLOOKUP($A188,calculation!$A$10:$V$510,12),""),"")</f>
        <v/>
      </c>
      <c r="C188" s="4" t="str">
        <f>IFERROR(IF(A188&lt;&gt;"",VLOOKUP($A188,calculation!$A$10:$V$510,15),""),"")</f>
        <v/>
      </c>
      <c r="D188" s="4" t="str">
        <f>IFERROR(IF(A188&lt;&gt;"",VLOOKUP($A188,calculation!$A$10:$V$510,22),""),"")</f>
        <v/>
      </c>
      <c r="F188" s="4" t="s">
        <v>27</v>
      </c>
      <c r="G188" s="4">
        <f>MAX($G$9:G187)+1</f>
        <v>160</v>
      </c>
      <c r="H188" s="4" t="s">
        <v>34</v>
      </c>
      <c r="I188" s="4" t="s">
        <v>35</v>
      </c>
      <c r="J188" s="4" t="str">
        <f t="shared" si="8"/>
        <v/>
      </c>
      <c r="K188" s="4" t="s">
        <v>39</v>
      </c>
      <c r="L188" s="4">
        <f>Setup!$C$15</f>
        <v>1500</v>
      </c>
      <c r="M188" s="4" t="s">
        <v>36</v>
      </c>
      <c r="N188" s="4" t="str">
        <f t="shared" si="9"/>
        <v/>
      </c>
      <c r="O188" s="4" t="s">
        <v>40</v>
      </c>
      <c r="P188" s="4">
        <f>Setup!$C$13</f>
        <v>1200</v>
      </c>
      <c r="Q188" s="4" t="s">
        <v>37</v>
      </c>
      <c r="R188" s="4" t="str">
        <f t="shared" si="10"/>
        <v/>
      </c>
      <c r="S188" s="4" t="s">
        <v>41</v>
      </c>
      <c r="T188" s="4">
        <f>Setup!$C$14</f>
        <v>1200</v>
      </c>
      <c r="U188" s="4" t="str">
        <f t="shared" si="11"/>
        <v/>
      </c>
      <c r="V188" s="4"/>
    </row>
    <row r="189" spans="1:22" x14ac:dyDescent="0.25">
      <c r="A189" s="4"/>
      <c r="B189" s="4" t="str">
        <f>IFERROR(IF(A189&lt;&gt;"",VLOOKUP($A189,calculation!$A$10:$V$510,12),""),"")</f>
        <v/>
      </c>
      <c r="C189" s="4" t="str">
        <f>IFERROR(IF(A189&lt;&gt;"",VLOOKUP($A189,calculation!$A$10:$V$510,15),""),"")</f>
        <v/>
      </c>
      <c r="D189" s="4" t="str">
        <f>IFERROR(IF(A189&lt;&gt;"",VLOOKUP($A189,calculation!$A$10:$V$510,22),""),"")</f>
        <v/>
      </c>
      <c r="F189" s="4" t="s">
        <v>27</v>
      </c>
      <c r="G189" s="4">
        <f>MAX($G$9:G188)+1</f>
        <v>161</v>
      </c>
      <c r="H189" s="4" t="s">
        <v>34</v>
      </c>
      <c r="I189" s="4" t="s">
        <v>35</v>
      </c>
      <c r="J189" s="4" t="str">
        <f t="shared" si="8"/>
        <v/>
      </c>
      <c r="K189" s="4" t="s">
        <v>39</v>
      </c>
      <c r="L189" s="4">
        <f>Setup!$C$15</f>
        <v>1500</v>
      </c>
      <c r="M189" s="4" t="s">
        <v>36</v>
      </c>
      <c r="N189" s="4" t="str">
        <f t="shared" si="9"/>
        <v/>
      </c>
      <c r="O189" s="4" t="s">
        <v>40</v>
      </c>
      <c r="P189" s="4">
        <f>Setup!$C$13</f>
        <v>1200</v>
      </c>
      <c r="Q189" s="4" t="s">
        <v>37</v>
      </c>
      <c r="R189" s="4" t="str">
        <f t="shared" si="10"/>
        <v/>
      </c>
      <c r="S189" s="4" t="s">
        <v>41</v>
      </c>
      <c r="T189" s="4">
        <f>Setup!$C$14</f>
        <v>1200</v>
      </c>
      <c r="U189" s="4" t="str">
        <f t="shared" si="11"/>
        <v/>
      </c>
      <c r="V189" s="4"/>
    </row>
    <row r="190" spans="1:22" x14ac:dyDescent="0.25">
      <c r="A190" s="4"/>
      <c r="B190" s="4" t="str">
        <f>IFERROR(IF(A190&lt;&gt;"",VLOOKUP($A190,calculation!$A$10:$V$510,12),""),"")</f>
        <v/>
      </c>
      <c r="C190" s="4" t="str">
        <f>IFERROR(IF(A190&lt;&gt;"",VLOOKUP($A190,calculation!$A$10:$V$510,15),""),"")</f>
        <v/>
      </c>
      <c r="D190" s="4" t="str">
        <f>IFERROR(IF(A190&lt;&gt;"",VLOOKUP($A190,calculation!$A$10:$V$510,22),""),"")</f>
        <v/>
      </c>
      <c r="F190" s="4" t="s">
        <v>27</v>
      </c>
      <c r="G190" s="4">
        <f>MAX($G$9:G189)+1</f>
        <v>162</v>
      </c>
      <c r="H190" s="4" t="s">
        <v>34</v>
      </c>
      <c r="I190" s="4" t="s">
        <v>35</v>
      </c>
      <c r="J190" s="4" t="str">
        <f t="shared" si="8"/>
        <v/>
      </c>
      <c r="K190" s="4" t="s">
        <v>39</v>
      </c>
      <c r="L190" s="4">
        <f>Setup!$C$15</f>
        <v>1500</v>
      </c>
      <c r="M190" s="4" t="s">
        <v>36</v>
      </c>
      <c r="N190" s="4" t="str">
        <f t="shared" si="9"/>
        <v/>
      </c>
      <c r="O190" s="4" t="s">
        <v>40</v>
      </c>
      <c r="P190" s="4">
        <f>Setup!$C$13</f>
        <v>1200</v>
      </c>
      <c r="Q190" s="4" t="s">
        <v>37</v>
      </c>
      <c r="R190" s="4" t="str">
        <f t="shared" si="10"/>
        <v/>
      </c>
      <c r="S190" s="4" t="s">
        <v>41</v>
      </c>
      <c r="T190" s="4">
        <f>Setup!$C$14</f>
        <v>1200</v>
      </c>
      <c r="U190" s="4" t="str">
        <f t="shared" si="11"/>
        <v/>
      </c>
      <c r="V190" s="4"/>
    </row>
    <row r="191" spans="1:22" x14ac:dyDescent="0.25">
      <c r="A191" s="4"/>
      <c r="B191" s="4" t="str">
        <f>IFERROR(IF(A191&lt;&gt;"",VLOOKUP($A191,calculation!$A$10:$V$510,12),""),"")</f>
        <v/>
      </c>
      <c r="C191" s="4" t="str">
        <f>IFERROR(IF(A191&lt;&gt;"",VLOOKUP($A191,calculation!$A$10:$V$510,15),""),"")</f>
        <v/>
      </c>
      <c r="D191" s="4" t="str">
        <f>IFERROR(IF(A191&lt;&gt;"",VLOOKUP($A191,calculation!$A$10:$V$510,22),""),"")</f>
        <v/>
      </c>
      <c r="F191" s="4" t="s">
        <v>27</v>
      </c>
      <c r="G191" s="4">
        <f>MAX($G$9:G190)+1</f>
        <v>163</v>
      </c>
      <c r="H191" s="4" t="s">
        <v>34</v>
      </c>
      <c r="I191" s="4" t="s">
        <v>35</v>
      </c>
      <c r="J191" s="4" t="str">
        <f t="shared" si="8"/>
        <v/>
      </c>
      <c r="K191" s="4" t="s">
        <v>39</v>
      </c>
      <c r="L191" s="4">
        <f>Setup!$C$15</f>
        <v>1500</v>
      </c>
      <c r="M191" s="4" t="s">
        <v>36</v>
      </c>
      <c r="N191" s="4" t="str">
        <f t="shared" si="9"/>
        <v/>
      </c>
      <c r="O191" s="4" t="s">
        <v>40</v>
      </c>
      <c r="P191" s="4">
        <f>Setup!$C$13</f>
        <v>1200</v>
      </c>
      <c r="Q191" s="4" t="s">
        <v>37</v>
      </c>
      <c r="R191" s="4" t="str">
        <f t="shared" si="10"/>
        <v/>
      </c>
      <c r="S191" s="4" t="s">
        <v>41</v>
      </c>
      <c r="T191" s="4">
        <f>Setup!$C$14</f>
        <v>1200</v>
      </c>
      <c r="U191" s="4" t="str">
        <f t="shared" si="11"/>
        <v/>
      </c>
      <c r="V191" s="4"/>
    </row>
    <row r="192" spans="1:22" x14ac:dyDescent="0.25">
      <c r="A192" s="4"/>
      <c r="B192" s="4" t="str">
        <f>IFERROR(IF(A192&lt;&gt;"",VLOOKUP($A192,calculation!$A$10:$V$510,12),""),"")</f>
        <v/>
      </c>
      <c r="C192" s="4" t="str">
        <f>IFERROR(IF(A192&lt;&gt;"",VLOOKUP($A192,calculation!$A$10:$V$510,15),""),"")</f>
        <v/>
      </c>
      <c r="D192" s="4" t="str">
        <f>IFERROR(IF(A192&lt;&gt;"",VLOOKUP($A192,calculation!$A$10:$V$510,22),""),"")</f>
        <v/>
      </c>
      <c r="F192" s="4" t="s">
        <v>27</v>
      </c>
      <c r="G192" s="4">
        <f>MAX($G$9:G191)+1</f>
        <v>164</v>
      </c>
      <c r="H192" s="4" t="s">
        <v>34</v>
      </c>
      <c r="I192" s="4" t="s">
        <v>35</v>
      </c>
      <c r="J192" s="4" t="str">
        <f t="shared" si="8"/>
        <v/>
      </c>
      <c r="K192" s="4" t="s">
        <v>39</v>
      </c>
      <c r="L192" s="4">
        <f>Setup!$C$15</f>
        <v>1500</v>
      </c>
      <c r="M192" s="4" t="s">
        <v>36</v>
      </c>
      <c r="N192" s="4" t="str">
        <f t="shared" si="9"/>
        <v/>
      </c>
      <c r="O192" s="4" t="s">
        <v>40</v>
      </c>
      <c r="P192" s="4">
        <f>Setup!$C$13</f>
        <v>1200</v>
      </c>
      <c r="Q192" s="4" t="s">
        <v>37</v>
      </c>
      <c r="R192" s="4" t="str">
        <f t="shared" si="10"/>
        <v/>
      </c>
      <c r="S192" s="4" t="s">
        <v>41</v>
      </c>
      <c r="T192" s="4">
        <f>Setup!$C$14</f>
        <v>1200</v>
      </c>
      <c r="U192" s="4" t="str">
        <f t="shared" si="11"/>
        <v/>
      </c>
      <c r="V192" s="4"/>
    </row>
    <row r="193" spans="1:22" x14ac:dyDescent="0.25">
      <c r="A193" s="4"/>
      <c r="B193" s="4" t="str">
        <f>IFERROR(IF(A193&lt;&gt;"",VLOOKUP($A193,calculation!$A$10:$V$510,12),""),"")</f>
        <v/>
      </c>
      <c r="C193" s="4" t="str">
        <f>IFERROR(IF(A193&lt;&gt;"",VLOOKUP($A193,calculation!$A$10:$V$510,15),""),"")</f>
        <v/>
      </c>
      <c r="D193" s="4" t="str">
        <f>IFERROR(IF(A193&lt;&gt;"",VLOOKUP($A193,calculation!$A$10:$V$510,22),""),"")</f>
        <v/>
      </c>
      <c r="F193" s="4" t="s">
        <v>27</v>
      </c>
      <c r="G193" s="4">
        <f>MAX($G$9:G192)+1</f>
        <v>165</v>
      </c>
      <c r="H193" s="4" t="s">
        <v>34</v>
      </c>
      <c r="I193" s="4" t="s">
        <v>35</v>
      </c>
      <c r="J193" s="4" t="str">
        <f t="shared" si="8"/>
        <v/>
      </c>
      <c r="K193" s="4" t="s">
        <v>39</v>
      </c>
      <c r="L193" s="4">
        <f>Setup!$C$15</f>
        <v>1500</v>
      </c>
      <c r="M193" s="4" t="s">
        <v>36</v>
      </c>
      <c r="N193" s="4" t="str">
        <f t="shared" si="9"/>
        <v/>
      </c>
      <c r="O193" s="4" t="s">
        <v>40</v>
      </c>
      <c r="P193" s="4">
        <f>Setup!$C$13</f>
        <v>1200</v>
      </c>
      <c r="Q193" s="4" t="s">
        <v>37</v>
      </c>
      <c r="R193" s="4" t="str">
        <f t="shared" si="10"/>
        <v/>
      </c>
      <c r="S193" s="4" t="s">
        <v>41</v>
      </c>
      <c r="T193" s="4">
        <f>Setup!$C$14</f>
        <v>1200</v>
      </c>
      <c r="U193" s="4" t="str">
        <f t="shared" si="11"/>
        <v/>
      </c>
      <c r="V193" s="4"/>
    </row>
    <row r="194" spans="1:22" x14ac:dyDescent="0.25">
      <c r="A194" s="4"/>
      <c r="B194" s="4" t="str">
        <f>IFERROR(IF(A194&lt;&gt;"",VLOOKUP($A194,calculation!$A$10:$V$510,12),""),"")</f>
        <v/>
      </c>
      <c r="C194" s="4" t="str">
        <f>IFERROR(IF(A194&lt;&gt;"",VLOOKUP($A194,calculation!$A$10:$V$510,15),""),"")</f>
        <v/>
      </c>
      <c r="D194" s="4" t="str">
        <f>IFERROR(IF(A194&lt;&gt;"",VLOOKUP($A194,calculation!$A$10:$V$510,22),""),"")</f>
        <v/>
      </c>
      <c r="F194" s="4" t="s">
        <v>27</v>
      </c>
      <c r="G194" s="4">
        <f>MAX($G$9:G193)+1</f>
        <v>166</v>
      </c>
      <c r="H194" s="4" t="s">
        <v>34</v>
      </c>
      <c r="I194" s="4" t="s">
        <v>35</v>
      </c>
      <c r="J194" s="4" t="str">
        <f t="shared" si="8"/>
        <v/>
      </c>
      <c r="K194" s="4" t="s">
        <v>39</v>
      </c>
      <c r="L194" s="4">
        <f>Setup!$C$15</f>
        <v>1500</v>
      </c>
      <c r="M194" s="4" t="s">
        <v>36</v>
      </c>
      <c r="N194" s="4" t="str">
        <f t="shared" si="9"/>
        <v/>
      </c>
      <c r="O194" s="4" t="s">
        <v>40</v>
      </c>
      <c r="P194" s="4">
        <f>Setup!$C$13</f>
        <v>1200</v>
      </c>
      <c r="Q194" s="4" t="s">
        <v>37</v>
      </c>
      <c r="R194" s="4" t="str">
        <f t="shared" si="10"/>
        <v/>
      </c>
      <c r="S194" s="4" t="s">
        <v>41</v>
      </c>
      <c r="T194" s="4">
        <f>Setup!$C$14</f>
        <v>1200</v>
      </c>
      <c r="U194" s="4" t="str">
        <f t="shared" si="11"/>
        <v/>
      </c>
      <c r="V194" s="4"/>
    </row>
    <row r="195" spans="1:22" x14ac:dyDescent="0.25">
      <c r="A195" s="4"/>
      <c r="B195" s="4" t="str">
        <f>IFERROR(IF(A195&lt;&gt;"",VLOOKUP($A195,calculation!$A$10:$V$510,12),""),"")</f>
        <v/>
      </c>
      <c r="C195" s="4" t="str">
        <f>IFERROR(IF(A195&lt;&gt;"",VLOOKUP($A195,calculation!$A$10:$V$510,15),""),"")</f>
        <v/>
      </c>
      <c r="D195" s="4" t="str">
        <f>IFERROR(IF(A195&lt;&gt;"",VLOOKUP($A195,calculation!$A$10:$V$510,22),""),"")</f>
        <v/>
      </c>
      <c r="F195" s="4" t="s">
        <v>27</v>
      </c>
      <c r="G195" s="4">
        <f>MAX($G$9:G194)+1</f>
        <v>167</v>
      </c>
      <c r="H195" s="4" t="s">
        <v>34</v>
      </c>
      <c r="I195" s="4" t="s">
        <v>35</v>
      </c>
      <c r="J195" s="4" t="str">
        <f t="shared" si="8"/>
        <v/>
      </c>
      <c r="K195" s="4" t="s">
        <v>39</v>
      </c>
      <c r="L195" s="4">
        <f>Setup!$C$15</f>
        <v>1500</v>
      </c>
      <c r="M195" s="4" t="s">
        <v>36</v>
      </c>
      <c r="N195" s="4" t="str">
        <f t="shared" si="9"/>
        <v/>
      </c>
      <c r="O195" s="4" t="s">
        <v>40</v>
      </c>
      <c r="P195" s="4">
        <f>Setup!$C$13</f>
        <v>1200</v>
      </c>
      <c r="Q195" s="4" t="s">
        <v>37</v>
      </c>
      <c r="R195" s="4" t="str">
        <f t="shared" si="10"/>
        <v/>
      </c>
      <c r="S195" s="4" t="s">
        <v>41</v>
      </c>
      <c r="T195" s="4">
        <f>Setup!$C$14</f>
        <v>1200</v>
      </c>
      <c r="U195" s="4" t="str">
        <f t="shared" si="11"/>
        <v/>
      </c>
      <c r="V195" s="4"/>
    </row>
    <row r="196" spans="1:22" x14ac:dyDescent="0.25">
      <c r="A196" s="4"/>
      <c r="B196" s="4" t="str">
        <f>IFERROR(IF(A196&lt;&gt;"",VLOOKUP($A196,calculation!$A$10:$V$510,12),""),"")</f>
        <v/>
      </c>
      <c r="C196" s="4" t="str">
        <f>IFERROR(IF(A196&lt;&gt;"",VLOOKUP($A196,calculation!$A$10:$V$510,15),""),"")</f>
        <v/>
      </c>
      <c r="D196" s="4" t="str">
        <f>IFERROR(IF(A196&lt;&gt;"",VLOOKUP($A196,calculation!$A$10:$V$510,22),""),"")</f>
        <v/>
      </c>
      <c r="F196" s="4" t="s">
        <v>27</v>
      </c>
      <c r="G196" s="4">
        <f>MAX($G$9:G195)+1</f>
        <v>168</v>
      </c>
      <c r="H196" s="4" t="s">
        <v>34</v>
      </c>
      <c r="I196" s="4" t="s">
        <v>35</v>
      </c>
      <c r="J196" s="4" t="str">
        <f t="shared" si="8"/>
        <v/>
      </c>
      <c r="K196" s="4" t="s">
        <v>39</v>
      </c>
      <c r="L196" s="4">
        <f>Setup!$C$15</f>
        <v>1500</v>
      </c>
      <c r="M196" s="4" t="s">
        <v>36</v>
      </c>
      <c r="N196" s="4" t="str">
        <f t="shared" si="9"/>
        <v/>
      </c>
      <c r="O196" s="4" t="s">
        <v>40</v>
      </c>
      <c r="P196" s="4">
        <f>Setup!$C$13</f>
        <v>1200</v>
      </c>
      <c r="Q196" s="4" t="s">
        <v>37</v>
      </c>
      <c r="R196" s="4" t="str">
        <f t="shared" si="10"/>
        <v/>
      </c>
      <c r="S196" s="4" t="s">
        <v>41</v>
      </c>
      <c r="T196" s="4">
        <f>Setup!$C$14</f>
        <v>1200</v>
      </c>
      <c r="U196" s="4" t="str">
        <f t="shared" si="11"/>
        <v/>
      </c>
      <c r="V196" s="4"/>
    </row>
    <row r="197" spans="1:22" x14ac:dyDescent="0.25">
      <c r="A197" s="4"/>
      <c r="B197" s="4" t="str">
        <f>IFERROR(IF(A197&lt;&gt;"",VLOOKUP($A197,calculation!$A$10:$V$510,12),""),"")</f>
        <v/>
      </c>
      <c r="C197" s="4" t="str">
        <f>IFERROR(IF(A197&lt;&gt;"",VLOOKUP($A197,calculation!$A$10:$V$510,15),""),"")</f>
        <v/>
      </c>
      <c r="D197" s="4" t="str">
        <f>IFERROR(IF(A197&lt;&gt;"",VLOOKUP($A197,calculation!$A$10:$V$510,22),""),"")</f>
        <v/>
      </c>
      <c r="F197" s="4" t="s">
        <v>27</v>
      </c>
      <c r="G197" s="4">
        <f>MAX($G$9:G196)+1</f>
        <v>169</v>
      </c>
      <c r="H197" s="4" t="s">
        <v>34</v>
      </c>
      <c r="I197" s="4" t="s">
        <v>35</v>
      </c>
      <c r="J197" s="4" t="str">
        <f t="shared" si="8"/>
        <v/>
      </c>
      <c r="K197" s="4" t="s">
        <v>39</v>
      </c>
      <c r="L197" s="4">
        <f>Setup!$C$15</f>
        <v>1500</v>
      </c>
      <c r="M197" s="4" t="s">
        <v>36</v>
      </c>
      <c r="N197" s="4" t="str">
        <f t="shared" si="9"/>
        <v/>
      </c>
      <c r="O197" s="4" t="s">
        <v>40</v>
      </c>
      <c r="P197" s="4">
        <f>Setup!$C$13</f>
        <v>1200</v>
      </c>
      <c r="Q197" s="4" t="s">
        <v>37</v>
      </c>
      <c r="R197" s="4" t="str">
        <f t="shared" si="10"/>
        <v/>
      </c>
      <c r="S197" s="4" t="s">
        <v>41</v>
      </c>
      <c r="T197" s="4">
        <f>Setup!$C$14</f>
        <v>1200</v>
      </c>
      <c r="U197" s="4" t="str">
        <f t="shared" si="11"/>
        <v/>
      </c>
      <c r="V197" s="4"/>
    </row>
    <row r="198" spans="1:22" x14ac:dyDescent="0.25">
      <c r="A198" s="4"/>
      <c r="B198" s="4" t="str">
        <f>IFERROR(IF(A198&lt;&gt;"",VLOOKUP($A198,calculation!$A$10:$V$510,12),""),"")</f>
        <v/>
      </c>
      <c r="C198" s="4" t="str">
        <f>IFERROR(IF(A198&lt;&gt;"",VLOOKUP($A198,calculation!$A$10:$V$510,15),""),"")</f>
        <v/>
      </c>
      <c r="D198" s="4" t="str">
        <f>IFERROR(IF(A198&lt;&gt;"",VLOOKUP($A198,calculation!$A$10:$V$510,22),""),"")</f>
        <v/>
      </c>
      <c r="F198" s="4" t="s">
        <v>27</v>
      </c>
      <c r="G198" s="4">
        <f>MAX($G$9:G197)+1</f>
        <v>170</v>
      </c>
      <c r="H198" s="4" t="s">
        <v>34</v>
      </c>
      <c r="I198" s="4" t="s">
        <v>35</v>
      </c>
      <c r="J198" s="4" t="str">
        <f t="shared" si="8"/>
        <v/>
      </c>
      <c r="K198" s="4" t="s">
        <v>39</v>
      </c>
      <c r="L198" s="4">
        <f>Setup!$C$15</f>
        <v>1500</v>
      </c>
      <c r="M198" s="4" t="s">
        <v>36</v>
      </c>
      <c r="N198" s="4" t="str">
        <f t="shared" si="9"/>
        <v/>
      </c>
      <c r="O198" s="4" t="s">
        <v>40</v>
      </c>
      <c r="P198" s="4">
        <f>Setup!$C$13</f>
        <v>1200</v>
      </c>
      <c r="Q198" s="4" t="s">
        <v>37</v>
      </c>
      <c r="R198" s="4" t="str">
        <f t="shared" si="10"/>
        <v/>
      </c>
      <c r="S198" s="4" t="s">
        <v>41</v>
      </c>
      <c r="T198" s="4">
        <f>Setup!$C$14</f>
        <v>1200</v>
      </c>
      <c r="U198" s="4" t="str">
        <f t="shared" si="11"/>
        <v/>
      </c>
      <c r="V198" s="4"/>
    </row>
    <row r="199" spans="1:22" x14ac:dyDescent="0.25">
      <c r="A199" s="4"/>
      <c r="B199" s="4" t="str">
        <f>IFERROR(IF(A199&lt;&gt;"",VLOOKUP($A199,calculation!$A$10:$V$510,12),""),"")</f>
        <v/>
      </c>
      <c r="C199" s="4" t="str">
        <f>IFERROR(IF(A199&lt;&gt;"",VLOOKUP($A199,calculation!$A$10:$V$510,15),""),"")</f>
        <v/>
      </c>
      <c r="D199" s="4" t="str">
        <f>IFERROR(IF(A199&lt;&gt;"",VLOOKUP($A199,calculation!$A$10:$V$510,22),""),"")</f>
        <v/>
      </c>
      <c r="F199" s="4" t="s">
        <v>27</v>
      </c>
      <c r="G199" s="4">
        <f>MAX($G$9:G198)+1</f>
        <v>171</v>
      </c>
      <c r="H199" s="4" t="s">
        <v>34</v>
      </c>
      <c r="I199" s="4" t="s">
        <v>35</v>
      </c>
      <c r="J199" s="4" t="str">
        <f t="shared" si="8"/>
        <v/>
      </c>
      <c r="K199" s="4" t="s">
        <v>39</v>
      </c>
      <c r="L199" s="4">
        <f>Setup!$C$15</f>
        <v>1500</v>
      </c>
      <c r="M199" s="4" t="s">
        <v>36</v>
      </c>
      <c r="N199" s="4" t="str">
        <f t="shared" si="9"/>
        <v/>
      </c>
      <c r="O199" s="4" t="s">
        <v>40</v>
      </c>
      <c r="P199" s="4">
        <f>Setup!$C$13</f>
        <v>1200</v>
      </c>
      <c r="Q199" s="4" t="s">
        <v>37</v>
      </c>
      <c r="R199" s="4" t="str">
        <f t="shared" si="10"/>
        <v/>
      </c>
      <c r="S199" s="4" t="s">
        <v>41</v>
      </c>
      <c r="T199" s="4">
        <f>Setup!$C$14</f>
        <v>1200</v>
      </c>
      <c r="U199" s="4" t="str">
        <f t="shared" si="11"/>
        <v/>
      </c>
      <c r="V199" s="4"/>
    </row>
    <row r="200" spans="1:22" x14ac:dyDescent="0.25">
      <c r="A200" s="4"/>
      <c r="B200" s="4" t="str">
        <f>IFERROR(IF(A200&lt;&gt;"",VLOOKUP($A200,calculation!$A$10:$V$510,12),""),"")</f>
        <v/>
      </c>
      <c r="C200" s="4" t="str">
        <f>IFERROR(IF(A200&lt;&gt;"",VLOOKUP($A200,calculation!$A$10:$V$510,15),""),"")</f>
        <v/>
      </c>
      <c r="D200" s="4" t="str">
        <f>IFERROR(IF(A200&lt;&gt;"",VLOOKUP($A200,calculation!$A$10:$V$510,22),""),"")</f>
        <v/>
      </c>
      <c r="F200" s="4" t="s">
        <v>27</v>
      </c>
      <c r="G200" s="4">
        <f>MAX($G$9:G199)+1</f>
        <v>172</v>
      </c>
      <c r="H200" s="4" t="s">
        <v>34</v>
      </c>
      <c r="I200" s="4" t="s">
        <v>35</v>
      </c>
      <c r="J200" s="4" t="str">
        <f t="shared" si="8"/>
        <v/>
      </c>
      <c r="K200" s="4" t="s">
        <v>39</v>
      </c>
      <c r="L200" s="4">
        <f>Setup!$C$15</f>
        <v>1500</v>
      </c>
      <c r="M200" s="4" t="s">
        <v>36</v>
      </c>
      <c r="N200" s="4" t="str">
        <f t="shared" si="9"/>
        <v/>
      </c>
      <c r="O200" s="4" t="s">
        <v>40</v>
      </c>
      <c r="P200" s="4">
        <f>Setup!$C$13</f>
        <v>1200</v>
      </c>
      <c r="Q200" s="4" t="s">
        <v>37</v>
      </c>
      <c r="R200" s="4" t="str">
        <f t="shared" si="10"/>
        <v/>
      </c>
      <c r="S200" s="4" t="s">
        <v>41</v>
      </c>
      <c r="T200" s="4">
        <f>Setup!$C$14</f>
        <v>1200</v>
      </c>
      <c r="U200" s="4" t="str">
        <f t="shared" si="11"/>
        <v/>
      </c>
      <c r="V200" s="4"/>
    </row>
    <row r="201" spans="1:22" x14ac:dyDescent="0.25">
      <c r="A201" s="4"/>
      <c r="B201" s="4" t="str">
        <f>IFERROR(IF(A201&lt;&gt;"",VLOOKUP($A201,calculation!$A$10:$V$510,12),""),"")</f>
        <v/>
      </c>
      <c r="C201" s="4" t="str">
        <f>IFERROR(IF(A201&lt;&gt;"",VLOOKUP($A201,calculation!$A$10:$V$510,15),""),"")</f>
        <v/>
      </c>
      <c r="D201" s="4" t="str">
        <f>IFERROR(IF(A201&lt;&gt;"",VLOOKUP($A201,calculation!$A$10:$V$510,22),""),"")</f>
        <v/>
      </c>
      <c r="F201" s="4" t="s">
        <v>27</v>
      </c>
      <c r="G201" s="4">
        <f>MAX($G$9:G200)+1</f>
        <v>173</v>
      </c>
      <c r="H201" s="4" t="s">
        <v>34</v>
      </c>
      <c r="I201" s="4" t="s">
        <v>35</v>
      </c>
      <c r="J201" s="4" t="str">
        <f t="shared" si="8"/>
        <v/>
      </c>
      <c r="K201" s="4" t="s">
        <v>39</v>
      </c>
      <c r="L201" s="4">
        <f>Setup!$C$15</f>
        <v>1500</v>
      </c>
      <c r="M201" s="4" t="s">
        <v>36</v>
      </c>
      <c r="N201" s="4" t="str">
        <f t="shared" si="9"/>
        <v/>
      </c>
      <c r="O201" s="4" t="s">
        <v>40</v>
      </c>
      <c r="P201" s="4">
        <f>Setup!$C$13</f>
        <v>1200</v>
      </c>
      <c r="Q201" s="4" t="s">
        <v>37</v>
      </c>
      <c r="R201" s="4" t="str">
        <f t="shared" si="10"/>
        <v/>
      </c>
      <c r="S201" s="4" t="s">
        <v>41</v>
      </c>
      <c r="T201" s="4">
        <f>Setup!$C$14</f>
        <v>1200</v>
      </c>
      <c r="U201" s="4" t="str">
        <f t="shared" si="11"/>
        <v/>
      </c>
      <c r="V201" s="4"/>
    </row>
    <row r="202" spans="1:22" x14ac:dyDescent="0.25">
      <c r="A202" s="4"/>
      <c r="B202" s="4" t="str">
        <f>IFERROR(IF(A202&lt;&gt;"",VLOOKUP($A202,calculation!$A$10:$V$510,12),""),"")</f>
        <v/>
      </c>
      <c r="C202" s="4" t="str">
        <f>IFERROR(IF(A202&lt;&gt;"",VLOOKUP($A202,calculation!$A$10:$V$510,15),""),"")</f>
        <v/>
      </c>
      <c r="D202" s="4" t="str">
        <f>IFERROR(IF(A202&lt;&gt;"",VLOOKUP($A202,calculation!$A$10:$V$510,22),""),"")</f>
        <v/>
      </c>
      <c r="F202" s="4" t="s">
        <v>27</v>
      </c>
      <c r="G202" s="4">
        <f>MAX($G$9:G201)+1</f>
        <v>174</v>
      </c>
      <c r="H202" s="4" t="s">
        <v>34</v>
      </c>
      <c r="I202" s="4" t="s">
        <v>35</v>
      </c>
      <c r="J202" s="4" t="str">
        <f t="shared" si="8"/>
        <v/>
      </c>
      <c r="K202" s="4" t="s">
        <v>39</v>
      </c>
      <c r="L202" s="4">
        <f>Setup!$C$15</f>
        <v>1500</v>
      </c>
      <c r="M202" s="4" t="s">
        <v>36</v>
      </c>
      <c r="N202" s="4" t="str">
        <f t="shared" si="9"/>
        <v/>
      </c>
      <c r="O202" s="4" t="s">
        <v>40</v>
      </c>
      <c r="P202" s="4">
        <f>Setup!$C$13</f>
        <v>1200</v>
      </c>
      <c r="Q202" s="4" t="s">
        <v>37</v>
      </c>
      <c r="R202" s="4" t="str">
        <f t="shared" si="10"/>
        <v/>
      </c>
      <c r="S202" s="4" t="s">
        <v>41</v>
      </c>
      <c r="T202" s="4">
        <f>Setup!$C$14</f>
        <v>1200</v>
      </c>
      <c r="U202" s="4" t="str">
        <f t="shared" si="11"/>
        <v/>
      </c>
      <c r="V202" s="4"/>
    </row>
    <row r="203" spans="1:22" x14ac:dyDescent="0.25">
      <c r="A203" s="4"/>
      <c r="B203" s="4" t="str">
        <f>IFERROR(IF(A203&lt;&gt;"",VLOOKUP($A203,calculation!$A$10:$V$510,12),""),"")</f>
        <v/>
      </c>
      <c r="C203" s="4" t="str">
        <f>IFERROR(IF(A203&lt;&gt;"",VLOOKUP($A203,calculation!$A$10:$V$510,15),""),"")</f>
        <v/>
      </c>
      <c r="D203" s="4" t="str">
        <f>IFERROR(IF(A203&lt;&gt;"",VLOOKUP($A203,calculation!$A$10:$V$510,22),""),"")</f>
        <v/>
      </c>
      <c r="F203" s="4" t="s">
        <v>27</v>
      </c>
      <c r="G203" s="4">
        <f>MAX($G$9:G202)+1</f>
        <v>175</v>
      </c>
      <c r="H203" s="4" t="s">
        <v>34</v>
      </c>
      <c r="I203" s="4" t="s">
        <v>35</v>
      </c>
      <c r="J203" s="4" t="str">
        <f t="shared" si="8"/>
        <v/>
      </c>
      <c r="K203" s="4" t="s">
        <v>39</v>
      </c>
      <c r="L203" s="4">
        <f>Setup!$C$15</f>
        <v>1500</v>
      </c>
      <c r="M203" s="4" t="s">
        <v>36</v>
      </c>
      <c r="N203" s="4" t="str">
        <f t="shared" si="9"/>
        <v/>
      </c>
      <c r="O203" s="4" t="s">
        <v>40</v>
      </c>
      <c r="P203" s="4">
        <f>Setup!$C$13</f>
        <v>1200</v>
      </c>
      <c r="Q203" s="4" t="s">
        <v>37</v>
      </c>
      <c r="R203" s="4" t="str">
        <f t="shared" si="10"/>
        <v/>
      </c>
      <c r="S203" s="4" t="s">
        <v>41</v>
      </c>
      <c r="T203" s="4">
        <f>Setup!$C$14</f>
        <v>1200</v>
      </c>
      <c r="U203" s="4" t="str">
        <f t="shared" si="11"/>
        <v/>
      </c>
      <c r="V203" s="4"/>
    </row>
    <row r="204" spans="1:22" x14ac:dyDescent="0.25">
      <c r="A204" s="4"/>
      <c r="B204" s="4" t="str">
        <f>IFERROR(IF(A204&lt;&gt;"",VLOOKUP($A204,calculation!$A$10:$V$510,12),""),"")</f>
        <v/>
      </c>
      <c r="C204" s="4" t="str">
        <f>IFERROR(IF(A204&lt;&gt;"",VLOOKUP($A204,calculation!$A$10:$V$510,15),""),"")</f>
        <v/>
      </c>
      <c r="D204" s="4" t="str">
        <f>IFERROR(IF(A204&lt;&gt;"",VLOOKUP($A204,calculation!$A$10:$V$510,22),""),"")</f>
        <v/>
      </c>
      <c r="F204" s="4" t="s">
        <v>27</v>
      </c>
      <c r="G204" s="4">
        <f>MAX($G$9:G203)+1</f>
        <v>176</v>
      </c>
      <c r="H204" s="4" t="s">
        <v>34</v>
      </c>
      <c r="I204" s="4" t="s">
        <v>35</v>
      </c>
      <c r="J204" s="4" t="str">
        <f t="shared" si="8"/>
        <v/>
      </c>
      <c r="K204" s="4" t="s">
        <v>39</v>
      </c>
      <c r="L204" s="4">
        <f>Setup!$C$15</f>
        <v>1500</v>
      </c>
      <c r="M204" s="4" t="s">
        <v>36</v>
      </c>
      <c r="N204" s="4" t="str">
        <f t="shared" si="9"/>
        <v/>
      </c>
      <c r="O204" s="4" t="s">
        <v>40</v>
      </c>
      <c r="P204" s="4">
        <f>Setup!$C$13</f>
        <v>1200</v>
      </c>
      <c r="Q204" s="4" t="s">
        <v>37</v>
      </c>
      <c r="R204" s="4" t="str">
        <f t="shared" si="10"/>
        <v/>
      </c>
      <c r="S204" s="4" t="s">
        <v>41</v>
      </c>
      <c r="T204" s="4">
        <f>Setup!$C$14</f>
        <v>1200</v>
      </c>
      <c r="U204" s="4" t="str">
        <f t="shared" si="11"/>
        <v/>
      </c>
      <c r="V204" s="4"/>
    </row>
    <row r="205" spans="1:22" x14ac:dyDescent="0.25">
      <c r="A205" s="4"/>
      <c r="B205" s="4" t="str">
        <f>IFERROR(IF(A205&lt;&gt;"",VLOOKUP($A205,calculation!$A$10:$V$510,12),""),"")</f>
        <v/>
      </c>
      <c r="C205" s="4" t="str">
        <f>IFERROR(IF(A205&lt;&gt;"",VLOOKUP($A205,calculation!$A$10:$V$510,15),""),"")</f>
        <v/>
      </c>
      <c r="D205" s="4" t="str">
        <f>IFERROR(IF(A205&lt;&gt;"",VLOOKUP($A205,calculation!$A$10:$V$510,22),""),"")</f>
        <v/>
      </c>
      <c r="F205" s="4" t="s">
        <v>27</v>
      </c>
      <c r="G205" s="4">
        <f>MAX($G$9:G204)+1</f>
        <v>177</v>
      </c>
      <c r="H205" s="4" t="s">
        <v>34</v>
      </c>
      <c r="I205" s="4" t="s">
        <v>35</v>
      </c>
      <c r="J205" s="4" t="str">
        <f t="shared" si="8"/>
        <v/>
      </c>
      <c r="K205" s="4" t="s">
        <v>39</v>
      </c>
      <c r="L205" s="4">
        <f>Setup!$C$15</f>
        <v>1500</v>
      </c>
      <c r="M205" s="4" t="s">
        <v>36</v>
      </c>
      <c r="N205" s="4" t="str">
        <f t="shared" si="9"/>
        <v/>
      </c>
      <c r="O205" s="4" t="s">
        <v>40</v>
      </c>
      <c r="P205" s="4">
        <f>Setup!$C$13</f>
        <v>1200</v>
      </c>
      <c r="Q205" s="4" t="s">
        <v>37</v>
      </c>
      <c r="R205" s="4" t="str">
        <f t="shared" si="10"/>
        <v/>
      </c>
      <c r="S205" s="4" t="s">
        <v>41</v>
      </c>
      <c r="T205" s="4">
        <f>Setup!$C$14</f>
        <v>1200</v>
      </c>
      <c r="U205" s="4" t="str">
        <f t="shared" si="11"/>
        <v/>
      </c>
      <c r="V205" s="4"/>
    </row>
    <row r="206" spans="1:22" x14ac:dyDescent="0.25">
      <c r="A206" s="4"/>
      <c r="B206" s="4" t="str">
        <f>IFERROR(IF(A206&lt;&gt;"",VLOOKUP($A206,calculation!$A$10:$V$510,12),""),"")</f>
        <v/>
      </c>
      <c r="C206" s="4" t="str">
        <f>IFERROR(IF(A206&lt;&gt;"",VLOOKUP($A206,calculation!$A$10:$V$510,15),""),"")</f>
        <v/>
      </c>
      <c r="D206" s="4" t="str">
        <f>IFERROR(IF(A206&lt;&gt;"",VLOOKUP($A206,calculation!$A$10:$V$510,22),""),"")</f>
        <v/>
      </c>
      <c r="F206" s="4" t="s">
        <v>27</v>
      </c>
      <c r="G206" s="4">
        <f>MAX($G$9:G205)+1</f>
        <v>178</v>
      </c>
      <c r="H206" s="4" t="s">
        <v>34</v>
      </c>
      <c r="I206" s="4" t="s">
        <v>35</v>
      </c>
      <c r="J206" s="4" t="str">
        <f t="shared" si="8"/>
        <v/>
      </c>
      <c r="K206" s="4" t="s">
        <v>39</v>
      </c>
      <c r="L206" s="4">
        <f>Setup!$C$15</f>
        <v>1500</v>
      </c>
      <c r="M206" s="4" t="s">
        <v>36</v>
      </c>
      <c r="N206" s="4" t="str">
        <f t="shared" si="9"/>
        <v/>
      </c>
      <c r="O206" s="4" t="s">
        <v>40</v>
      </c>
      <c r="P206" s="4">
        <f>Setup!$C$13</f>
        <v>1200</v>
      </c>
      <c r="Q206" s="4" t="s">
        <v>37</v>
      </c>
      <c r="R206" s="4" t="str">
        <f t="shared" si="10"/>
        <v/>
      </c>
      <c r="S206" s="4" t="s">
        <v>41</v>
      </c>
      <c r="T206" s="4">
        <f>Setup!$C$14</f>
        <v>1200</v>
      </c>
      <c r="U206" s="4" t="str">
        <f t="shared" si="11"/>
        <v/>
      </c>
      <c r="V206" s="4"/>
    </row>
    <row r="207" spans="1:22" x14ac:dyDescent="0.25">
      <c r="A207" s="4"/>
      <c r="B207" s="4" t="str">
        <f>IFERROR(IF(A207&lt;&gt;"",VLOOKUP($A207,calculation!$A$10:$V$510,12),""),"")</f>
        <v/>
      </c>
      <c r="C207" s="4" t="str">
        <f>IFERROR(IF(A207&lt;&gt;"",VLOOKUP($A207,calculation!$A$10:$V$510,15),""),"")</f>
        <v/>
      </c>
      <c r="D207" s="4" t="str">
        <f>IFERROR(IF(A207&lt;&gt;"",VLOOKUP($A207,calculation!$A$10:$V$510,22),""),"")</f>
        <v/>
      </c>
      <c r="F207" s="4" t="s">
        <v>27</v>
      </c>
      <c r="G207" s="4">
        <f>MAX($G$9:G206)+1</f>
        <v>179</v>
      </c>
      <c r="H207" s="4" t="s">
        <v>34</v>
      </c>
      <c r="I207" s="4" t="s">
        <v>35</v>
      </c>
      <c r="J207" s="4" t="str">
        <f t="shared" si="8"/>
        <v/>
      </c>
      <c r="K207" s="4" t="s">
        <v>39</v>
      </c>
      <c r="L207" s="4">
        <f>Setup!$C$15</f>
        <v>1500</v>
      </c>
      <c r="M207" s="4" t="s">
        <v>36</v>
      </c>
      <c r="N207" s="4" t="str">
        <f t="shared" si="9"/>
        <v/>
      </c>
      <c r="O207" s="4" t="s">
        <v>40</v>
      </c>
      <c r="P207" s="4">
        <f>Setup!$C$13</f>
        <v>1200</v>
      </c>
      <c r="Q207" s="4" t="s">
        <v>37</v>
      </c>
      <c r="R207" s="4" t="str">
        <f t="shared" si="10"/>
        <v/>
      </c>
      <c r="S207" s="4" t="s">
        <v>41</v>
      </c>
      <c r="T207" s="4">
        <f>Setup!$C$14</f>
        <v>1200</v>
      </c>
      <c r="U207" s="4" t="str">
        <f t="shared" si="11"/>
        <v/>
      </c>
      <c r="V207" s="4"/>
    </row>
    <row r="208" spans="1:22" x14ac:dyDescent="0.25">
      <c r="A208" s="4"/>
      <c r="B208" s="4" t="str">
        <f>IFERROR(IF(A208&lt;&gt;"",VLOOKUP($A208,calculation!$A$10:$V$510,12),""),"")</f>
        <v/>
      </c>
      <c r="C208" s="4" t="str">
        <f>IFERROR(IF(A208&lt;&gt;"",VLOOKUP($A208,calculation!$A$10:$V$510,15),""),"")</f>
        <v/>
      </c>
      <c r="D208" s="4" t="str">
        <f>IFERROR(IF(A208&lt;&gt;"",VLOOKUP($A208,calculation!$A$10:$V$510,22),""),"")</f>
        <v/>
      </c>
      <c r="F208" s="4" t="s">
        <v>27</v>
      </c>
      <c r="G208" s="4">
        <f>MAX($G$9:G207)+1</f>
        <v>180</v>
      </c>
      <c r="H208" s="4" t="s">
        <v>34</v>
      </c>
      <c r="I208" s="4" t="s">
        <v>35</v>
      </c>
      <c r="J208" s="4" t="str">
        <f t="shared" si="8"/>
        <v/>
      </c>
      <c r="K208" s="4" t="s">
        <v>39</v>
      </c>
      <c r="L208" s="4">
        <f>Setup!$C$15</f>
        <v>1500</v>
      </c>
      <c r="M208" s="4" t="s">
        <v>36</v>
      </c>
      <c r="N208" s="4" t="str">
        <f t="shared" si="9"/>
        <v/>
      </c>
      <c r="O208" s="4" t="s">
        <v>40</v>
      </c>
      <c r="P208" s="4">
        <f>Setup!$C$13</f>
        <v>1200</v>
      </c>
      <c r="Q208" s="4" t="s">
        <v>37</v>
      </c>
      <c r="R208" s="4" t="str">
        <f t="shared" si="10"/>
        <v/>
      </c>
      <c r="S208" s="4" t="s">
        <v>41</v>
      </c>
      <c r="T208" s="4">
        <f>Setup!$C$14</f>
        <v>1200</v>
      </c>
      <c r="U208" s="4" t="str">
        <f t="shared" si="11"/>
        <v/>
      </c>
      <c r="V208" s="4"/>
    </row>
    <row r="209" spans="1:22" x14ac:dyDescent="0.25">
      <c r="A209" s="4"/>
      <c r="B209" s="4" t="str">
        <f>IFERROR(IF(A209&lt;&gt;"",VLOOKUP($A209,calculation!$A$10:$V$510,12),""),"")</f>
        <v/>
      </c>
      <c r="C209" s="4" t="str">
        <f>IFERROR(IF(A209&lt;&gt;"",VLOOKUP($A209,calculation!$A$10:$V$510,15),""),"")</f>
        <v/>
      </c>
      <c r="D209" s="4" t="str">
        <f>IFERROR(IF(A209&lt;&gt;"",VLOOKUP($A209,calculation!$A$10:$V$510,22),""),"")</f>
        <v/>
      </c>
      <c r="F209" s="4" t="s">
        <v>27</v>
      </c>
      <c r="G209" s="4">
        <f>MAX($G$9:G208)+1</f>
        <v>181</v>
      </c>
      <c r="H209" s="4" t="s">
        <v>34</v>
      </c>
      <c r="I209" s="4" t="s">
        <v>35</v>
      </c>
      <c r="J209" s="4" t="str">
        <f t="shared" si="8"/>
        <v/>
      </c>
      <c r="K209" s="4" t="s">
        <v>39</v>
      </c>
      <c r="L209" s="4">
        <f>Setup!$C$15</f>
        <v>1500</v>
      </c>
      <c r="M209" s="4" t="s">
        <v>36</v>
      </c>
      <c r="N209" s="4" t="str">
        <f t="shared" si="9"/>
        <v/>
      </c>
      <c r="O209" s="4" t="s">
        <v>40</v>
      </c>
      <c r="P209" s="4">
        <f>Setup!$C$13</f>
        <v>1200</v>
      </c>
      <c r="Q209" s="4" t="s">
        <v>37</v>
      </c>
      <c r="R209" s="4" t="str">
        <f t="shared" si="10"/>
        <v/>
      </c>
      <c r="S209" s="4" t="s">
        <v>41</v>
      </c>
      <c r="T209" s="4">
        <f>Setup!$C$14</f>
        <v>1200</v>
      </c>
      <c r="U209" s="4" t="str">
        <f t="shared" si="11"/>
        <v/>
      </c>
      <c r="V209" s="4"/>
    </row>
    <row r="210" spans="1:22" x14ac:dyDescent="0.25">
      <c r="A210" s="4"/>
      <c r="B210" s="4" t="str">
        <f>IFERROR(IF(A210&lt;&gt;"",VLOOKUP($A210,calculation!$A$10:$V$510,12),""),"")</f>
        <v/>
      </c>
      <c r="C210" s="4" t="str">
        <f>IFERROR(IF(A210&lt;&gt;"",VLOOKUP($A210,calculation!$A$10:$V$510,15),""),"")</f>
        <v/>
      </c>
      <c r="D210" s="4" t="str">
        <f>IFERROR(IF(A210&lt;&gt;"",VLOOKUP($A210,calculation!$A$10:$V$510,22),""),"")</f>
        <v/>
      </c>
      <c r="F210" s="4" t="s">
        <v>27</v>
      </c>
      <c r="G210" s="4">
        <f>MAX($G$9:G209)+1</f>
        <v>182</v>
      </c>
      <c r="H210" s="4" t="s">
        <v>34</v>
      </c>
      <c r="I210" s="4" t="s">
        <v>35</v>
      </c>
      <c r="J210" s="4" t="str">
        <f t="shared" si="8"/>
        <v/>
      </c>
      <c r="K210" s="4" t="s">
        <v>39</v>
      </c>
      <c r="L210" s="4">
        <f>Setup!$C$15</f>
        <v>1500</v>
      </c>
      <c r="M210" s="4" t="s">
        <v>36</v>
      </c>
      <c r="N210" s="4" t="str">
        <f t="shared" si="9"/>
        <v/>
      </c>
      <c r="O210" s="4" t="s">
        <v>40</v>
      </c>
      <c r="P210" s="4">
        <f>Setup!$C$13</f>
        <v>1200</v>
      </c>
      <c r="Q210" s="4" t="s">
        <v>37</v>
      </c>
      <c r="R210" s="4" t="str">
        <f t="shared" si="10"/>
        <v/>
      </c>
      <c r="S210" s="4" t="s">
        <v>41</v>
      </c>
      <c r="T210" s="4">
        <f>Setup!$C$14</f>
        <v>1200</v>
      </c>
      <c r="U210" s="4" t="str">
        <f t="shared" si="11"/>
        <v/>
      </c>
      <c r="V210" s="4"/>
    </row>
    <row r="211" spans="1:22" x14ac:dyDescent="0.25">
      <c r="A211" s="4"/>
      <c r="B211" s="4" t="str">
        <f>IFERROR(IF(A211&lt;&gt;"",VLOOKUP($A211,calculation!$A$10:$V$510,12),""),"")</f>
        <v/>
      </c>
      <c r="C211" s="4" t="str">
        <f>IFERROR(IF(A211&lt;&gt;"",VLOOKUP($A211,calculation!$A$10:$V$510,15),""),"")</f>
        <v/>
      </c>
      <c r="D211" s="4" t="str">
        <f>IFERROR(IF(A211&lt;&gt;"",VLOOKUP($A211,calculation!$A$10:$V$510,22),""),"")</f>
        <v/>
      </c>
      <c r="F211" s="4" t="s">
        <v>27</v>
      </c>
      <c r="G211" s="4">
        <f>MAX($G$9:G210)+1</f>
        <v>183</v>
      </c>
      <c r="H211" s="4" t="s">
        <v>34</v>
      </c>
      <c r="I211" s="4" t="s">
        <v>35</v>
      </c>
      <c r="J211" s="4" t="str">
        <f t="shared" si="8"/>
        <v/>
      </c>
      <c r="K211" s="4" t="s">
        <v>39</v>
      </c>
      <c r="L211" s="4">
        <f>Setup!$C$15</f>
        <v>1500</v>
      </c>
      <c r="M211" s="4" t="s">
        <v>36</v>
      </c>
      <c r="N211" s="4" t="str">
        <f t="shared" si="9"/>
        <v/>
      </c>
      <c r="O211" s="4" t="s">
        <v>40</v>
      </c>
      <c r="P211" s="4">
        <f>Setup!$C$13</f>
        <v>1200</v>
      </c>
      <c r="Q211" s="4" t="s">
        <v>37</v>
      </c>
      <c r="R211" s="4" t="str">
        <f t="shared" si="10"/>
        <v/>
      </c>
      <c r="S211" s="4" t="s">
        <v>41</v>
      </c>
      <c r="T211" s="4">
        <f>Setup!$C$14</f>
        <v>1200</v>
      </c>
      <c r="U211" s="4" t="str">
        <f t="shared" si="11"/>
        <v/>
      </c>
      <c r="V211" s="4"/>
    </row>
    <row r="212" spans="1:22" x14ac:dyDescent="0.25">
      <c r="A212" s="4"/>
      <c r="B212" s="4" t="str">
        <f>IFERROR(IF(A212&lt;&gt;"",VLOOKUP($A212,calculation!$A$10:$V$510,12),""),"")</f>
        <v/>
      </c>
      <c r="C212" s="4" t="str">
        <f>IFERROR(IF(A212&lt;&gt;"",VLOOKUP($A212,calculation!$A$10:$V$510,15),""),"")</f>
        <v/>
      </c>
      <c r="D212" s="4" t="str">
        <f>IFERROR(IF(A212&lt;&gt;"",VLOOKUP($A212,calculation!$A$10:$V$510,22),""),"")</f>
        <v/>
      </c>
      <c r="F212" s="4" t="s">
        <v>27</v>
      </c>
      <c r="G212" s="4">
        <f>MAX($G$9:G211)+1</f>
        <v>184</v>
      </c>
      <c r="H212" s="4" t="s">
        <v>34</v>
      </c>
      <c r="I212" s="4" t="s">
        <v>35</v>
      </c>
      <c r="J212" s="4" t="str">
        <f t="shared" si="8"/>
        <v/>
      </c>
      <c r="K212" s="4" t="s">
        <v>39</v>
      </c>
      <c r="L212" s="4">
        <f>Setup!$C$15</f>
        <v>1500</v>
      </c>
      <c r="M212" s="4" t="s">
        <v>36</v>
      </c>
      <c r="N212" s="4" t="str">
        <f t="shared" si="9"/>
        <v/>
      </c>
      <c r="O212" s="4" t="s">
        <v>40</v>
      </c>
      <c r="P212" s="4">
        <f>Setup!$C$13</f>
        <v>1200</v>
      </c>
      <c r="Q212" s="4" t="s">
        <v>37</v>
      </c>
      <c r="R212" s="4" t="str">
        <f t="shared" si="10"/>
        <v/>
      </c>
      <c r="S212" s="4" t="s">
        <v>41</v>
      </c>
      <c r="T212" s="4">
        <f>Setup!$C$14</f>
        <v>1200</v>
      </c>
      <c r="U212" s="4" t="str">
        <f t="shared" si="11"/>
        <v/>
      </c>
      <c r="V212" s="4"/>
    </row>
    <row r="213" spans="1:22" x14ac:dyDescent="0.25">
      <c r="A213" s="4"/>
      <c r="B213" s="4" t="str">
        <f>IFERROR(IF(A213&lt;&gt;"",VLOOKUP($A213,calculation!$A$10:$V$510,12),""),"")</f>
        <v/>
      </c>
      <c r="C213" s="4" t="str">
        <f>IFERROR(IF(A213&lt;&gt;"",VLOOKUP($A213,calculation!$A$10:$V$510,15),""),"")</f>
        <v/>
      </c>
      <c r="D213" s="4" t="str">
        <f>IFERROR(IF(A213&lt;&gt;"",VLOOKUP($A213,calculation!$A$10:$V$510,22),""),"")</f>
        <v/>
      </c>
      <c r="F213" s="4" t="s">
        <v>27</v>
      </c>
      <c r="G213" s="4">
        <f>MAX($G$9:G212)+1</f>
        <v>185</v>
      </c>
      <c r="H213" s="4" t="s">
        <v>34</v>
      </c>
      <c r="I213" s="4" t="s">
        <v>35</v>
      </c>
      <c r="J213" s="4" t="str">
        <f t="shared" si="8"/>
        <v/>
      </c>
      <c r="K213" s="4" t="s">
        <v>39</v>
      </c>
      <c r="L213" s="4">
        <f>Setup!$C$15</f>
        <v>1500</v>
      </c>
      <c r="M213" s="4" t="s">
        <v>36</v>
      </c>
      <c r="N213" s="4" t="str">
        <f t="shared" si="9"/>
        <v/>
      </c>
      <c r="O213" s="4" t="s">
        <v>40</v>
      </c>
      <c r="P213" s="4">
        <f>Setup!$C$13</f>
        <v>1200</v>
      </c>
      <c r="Q213" s="4" t="s">
        <v>37</v>
      </c>
      <c r="R213" s="4" t="str">
        <f t="shared" si="10"/>
        <v/>
      </c>
      <c r="S213" s="4" t="s">
        <v>41</v>
      </c>
      <c r="T213" s="4">
        <f>Setup!$C$14</f>
        <v>1200</v>
      </c>
      <c r="U213" s="4" t="str">
        <f t="shared" si="11"/>
        <v/>
      </c>
      <c r="V213" s="4"/>
    </row>
    <row r="214" spans="1:22" x14ac:dyDescent="0.25">
      <c r="A214" s="4"/>
      <c r="B214" s="4" t="str">
        <f>IFERROR(IF(A214&lt;&gt;"",VLOOKUP($A214,calculation!$A$10:$V$510,12),""),"")</f>
        <v/>
      </c>
      <c r="C214" s="4" t="str">
        <f>IFERROR(IF(A214&lt;&gt;"",VLOOKUP($A214,calculation!$A$10:$V$510,15),""),"")</f>
        <v/>
      </c>
      <c r="D214" s="4" t="str">
        <f>IFERROR(IF(A214&lt;&gt;"",VLOOKUP($A214,calculation!$A$10:$V$510,22),""),"")</f>
        <v/>
      </c>
      <c r="F214" s="4" t="s">
        <v>27</v>
      </c>
      <c r="G214" s="4">
        <f>MAX($G$9:G213)+1</f>
        <v>186</v>
      </c>
      <c r="H214" s="4" t="s">
        <v>34</v>
      </c>
      <c r="I214" s="4" t="s">
        <v>35</v>
      </c>
      <c r="J214" s="4" t="str">
        <f t="shared" si="8"/>
        <v/>
      </c>
      <c r="K214" s="4" t="s">
        <v>39</v>
      </c>
      <c r="L214" s="4">
        <f>Setup!$C$15</f>
        <v>1500</v>
      </c>
      <c r="M214" s="4" t="s">
        <v>36</v>
      </c>
      <c r="N214" s="4" t="str">
        <f t="shared" si="9"/>
        <v/>
      </c>
      <c r="O214" s="4" t="s">
        <v>40</v>
      </c>
      <c r="P214" s="4">
        <f>Setup!$C$13</f>
        <v>1200</v>
      </c>
      <c r="Q214" s="4" t="s">
        <v>37</v>
      </c>
      <c r="R214" s="4" t="str">
        <f t="shared" si="10"/>
        <v/>
      </c>
      <c r="S214" s="4" t="s">
        <v>41</v>
      </c>
      <c r="T214" s="4">
        <f>Setup!$C$14</f>
        <v>1200</v>
      </c>
      <c r="U214" s="4" t="str">
        <f t="shared" si="11"/>
        <v/>
      </c>
      <c r="V214" s="4"/>
    </row>
    <row r="215" spans="1:22" x14ac:dyDescent="0.25">
      <c r="A215" s="4"/>
      <c r="B215" s="4" t="str">
        <f>IFERROR(IF(A215&lt;&gt;"",VLOOKUP($A215,calculation!$A$10:$V$510,12),""),"")</f>
        <v/>
      </c>
      <c r="C215" s="4" t="str">
        <f>IFERROR(IF(A215&lt;&gt;"",VLOOKUP($A215,calculation!$A$10:$V$510,15),""),"")</f>
        <v/>
      </c>
      <c r="D215" s="4" t="str">
        <f>IFERROR(IF(A215&lt;&gt;"",VLOOKUP($A215,calculation!$A$10:$V$510,22),""),"")</f>
        <v/>
      </c>
      <c r="F215" s="4" t="s">
        <v>27</v>
      </c>
      <c r="G215" s="4">
        <f>MAX($G$9:G214)+1</f>
        <v>187</v>
      </c>
      <c r="H215" s="4" t="s">
        <v>34</v>
      </c>
      <c r="I215" s="4" t="s">
        <v>35</v>
      </c>
      <c r="J215" s="4" t="str">
        <f t="shared" si="8"/>
        <v/>
      </c>
      <c r="K215" s="4" t="s">
        <v>39</v>
      </c>
      <c r="L215" s="4">
        <f>Setup!$C$15</f>
        <v>1500</v>
      </c>
      <c r="M215" s="4" t="s">
        <v>36</v>
      </c>
      <c r="N215" s="4" t="str">
        <f t="shared" si="9"/>
        <v/>
      </c>
      <c r="O215" s="4" t="s">
        <v>40</v>
      </c>
      <c r="P215" s="4">
        <f>Setup!$C$13</f>
        <v>1200</v>
      </c>
      <c r="Q215" s="4" t="s">
        <v>37</v>
      </c>
      <c r="R215" s="4" t="str">
        <f t="shared" si="10"/>
        <v/>
      </c>
      <c r="S215" s="4" t="s">
        <v>41</v>
      </c>
      <c r="T215" s="4">
        <f>Setup!$C$14</f>
        <v>1200</v>
      </c>
      <c r="U215" s="4" t="str">
        <f t="shared" si="11"/>
        <v/>
      </c>
      <c r="V215" s="4"/>
    </row>
    <row r="216" spans="1:22" x14ac:dyDescent="0.25">
      <c r="A216" s="4"/>
      <c r="B216" s="4" t="str">
        <f>IFERROR(IF(A216&lt;&gt;"",VLOOKUP($A216,calculation!$A$10:$V$510,12),""),"")</f>
        <v/>
      </c>
      <c r="C216" s="4" t="str">
        <f>IFERROR(IF(A216&lt;&gt;"",VLOOKUP($A216,calculation!$A$10:$V$510,15),""),"")</f>
        <v/>
      </c>
      <c r="D216" s="4" t="str">
        <f>IFERROR(IF(A216&lt;&gt;"",VLOOKUP($A216,calculation!$A$10:$V$510,22),""),"")</f>
        <v/>
      </c>
      <c r="F216" s="4" t="s">
        <v>27</v>
      </c>
      <c r="G216" s="4">
        <f>MAX($G$9:G215)+1</f>
        <v>188</v>
      </c>
      <c r="H216" s="4" t="s">
        <v>34</v>
      </c>
      <c r="I216" s="4" t="s">
        <v>35</v>
      </c>
      <c r="J216" s="4" t="str">
        <f t="shared" si="8"/>
        <v/>
      </c>
      <c r="K216" s="4" t="s">
        <v>39</v>
      </c>
      <c r="L216" s="4">
        <f>Setup!$C$15</f>
        <v>1500</v>
      </c>
      <c r="M216" s="4" t="s">
        <v>36</v>
      </c>
      <c r="N216" s="4" t="str">
        <f t="shared" si="9"/>
        <v/>
      </c>
      <c r="O216" s="4" t="s">
        <v>40</v>
      </c>
      <c r="P216" s="4">
        <f>Setup!$C$13</f>
        <v>1200</v>
      </c>
      <c r="Q216" s="4" t="s">
        <v>37</v>
      </c>
      <c r="R216" s="4" t="str">
        <f t="shared" si="10"/>
        <v/>
      </c>
      <c r="S216" s="4" t="s">
        <v>41</v>
      </c>
      <c r="T216" s="4">
        <f>Setup!$C$14</f>
        <v>1200</v>
      </c>
      <c r="U216" s="4" t="str">
        <f t="shared" si="11"/>
        <v/>
      </c>
      <c r="V216" s="4"/>
    </row>
    <row r="217" spans="1:22" x14ac:dyDescent="0.25">
      <c r="A217" s="4"/>
      <c r="B217" s="4" t="str">
        <f>IFERROR(IF(A217&lt;&gt;"",VLOOKUP($A217,calculation!$A$10:$V$510,12),""),"")</f>
        <v/>
      </c>
      <c r="C217" s="4" t="str">
        <f>IFERROR(IF(A217&lt;&gt;"",VLOOKUP($A217,calculation!$A$10:$V$510,15),""),"")</f>
        <v/>
      </c>
      <c r="D217" s="4" t="str">
        <f>IFERROR(IF(A217&lt;&gt;"",VLOOKUP($A217,calculation!$A$10:$V$510,22),""),"")</f>
        <v/>
      </c>
      <c r="F217" s="4" t="s">
        <v>27</v>
      </c>
      <c r="G217" s="4">
        <f>MAX($G$9:G216)+1</f>
        <v>189</v>
      </c>
      <c r="H217" s="4" t="s">
        <v>34</v>
      </c>
      <c r="I217" s="4" t="s">
        <v>35</v>
      </c>
      <c r="J217" s="4" t="str">
        <f t="shared" si="8"/>
        <v/>
      </c>
      <c r="K217" s="4" t="s">
        <v>39</v>
      </c>
      <c r="L217" s="4">
        <f>Setup!$C$15</f>
        <v>1500</v>
      </c>
      <c r="M217" s="4" t="s">
        <v>36</v>
      </c>
      <c r="N217" s="4" t="str">
        <f t="shared" si="9"/>
        <v/>
      </c>
      <c r="O217" s="4" t="s">
        <v>40</v>
      </c>
      <c r="P217" s="4">
        <f>Setup!$C$13</f>
        <v>1200</v>
      </c>
      <c r="Q217" s="4" t="s">
        <v>37</v>
      </c>
      <c r="R217" s="4" t="str">
        <f t="shared" si="10"/>
        <v/>
      </c>
      <c r="S217" s="4" t="s">
        <v>41</v>
      </c>
      <c r="T217" s="4">
        <f>Setup!$C$14</f>
        <v>1200</v>
      </c>
      <c r="U217" s="4" t="str">
        <f t="shared" si="11"/>
        <v/>
      </c>
      <c r="V217" s="4"/>
    </row>
    <row r="218" spans="1:22" x14ac:dyDescent="0.25">
      <c r="A218" s="4"/>
      <c r="B218" s="4" t="str">
        <f>IFERROR(IF(A218&lt;&gt;"",VLOOKUP($A218,calculation!$A$10:$V$510,12),""),"")</f>
        <v/>
      </c>
      <c r="C218" s="4" t="str">
        <f>IFERROR(IF(A218&lt;&gt;"",VLOOKUP($A218,calculation!$A$10:$V$510,15),""),"")</f>
        <v/>
      </c>
      <c r="D218" s="4" t="str">
        <f>IFERROR(IF(A218&lt;&gt;"",VLOOKUP($A218,calculation!$A$10:$V$510,22),""),"")</f>
        <v/>
      </c>
      <c r="F218" s="4" t="s">
        <v>27</v>
      </c>
      <c r="G218" s="4">
        <f>MAX($G$9:G217)+1</f>
        <v>190</v>
      </c>
      <c r="H218" s="4" t="s">
        <v>34</v>
      </c>
      <c r="I218" s="4" t="s">
        <v>35</v>
      </c>
      <c r="J218" s="4" t="str">
        <f t="shared" si="8"/>
        <v/>
      </c>
      <c r="K218" s="4" t="s">
        <v>39</v>
      </c>
      <c r="L218" s="4">
        <f>Setup!$C$15</f>
        <v>1500</v>
      </c>
      <c r="M218" s="4" t="s">
        <v>36</v>
      </c>
      <c r="N218" s="4" t="str">
        <f t="shared" si="9"/>
        <v/>
      </c>
      <c r="O218" s="4" t="s">
        <v>40</v>
      </c>
      <c r="P218" s="4">
        <f>Setup!$C$13</f>
        <v>1200</v>
      </c>
      <c r="Q218" s="4" t="s">
        <v>37</v>
      </c>
      <c r="R218" s="4" t="str">
        <f t="shared" si="10"/>
        <v/>
      </c>
      <c r="S218" s="4" t="s">
        <v>41</v>
      </c>
      <c r="T218" s="4">
        <f>Setup!$C$14</f>
        <v>1200</v>
      </c>
      <c r="U218" s="4" t="str">
        <f t="shared" si="11"/>
        <v/>
      </c>
      <c r="V218" s="4"/>
    </row>
    <row r="219" spans="1:22" x14ac:dyDescent="0.25">
      <c r="A219" s="4"/>
      <c r="B219" s="4" t="str">
        <f>IFERROR(IF(A219&lt;&gt;"",VLOOKUP($A219,calculation!$A$10:$V$510,12),""),"")</f>
        <v/>
      </c>
      <c r="C219" s="4" t="str">
        <f>IFERROR(IF(A219&lt;&gt;"",VLOOKUP($A219,calculation!$A$10:$V$510,15),""),"")</f>
        <v/>
      </c>
      <c r="D219" s="4" t="str">
        <f>IFERROR(IF(A219&lt;&gt;"",VLOOKUP($A219,calculation!$A$10:$V$510,22),""),"")</f>
        <v/>
      </c>
      <c r="F219" s="4" t="s">
        <v>27</v>
      </c>
      <c r="G219" s="4">
        <f>MAX($G$9:G218)+1</f>
        <v>191</v>
      </c>
      <c r="H219" s="4" t="s">
        <v>34</v>
      </c>
      <c r="I219" s="4" t="s">
        <v>35</v>
      </c>
      <c r="J219" s="4" t="str">
        <f t="shared" si="8"/>
        <v/>
      </c>
      <c r="K219" s="4" t="s">
        <v>39</v>
      </c>
      <c r="L219" s="4">
        <f>Setup!$C$15</f>
        <v>1500</v>
      </c>
      <c r="M219" s="4" t="s">
        <v>36</v>
      </c>
      <c r="N219" s="4" t="str">
        <f t="shared" si="9"/>
        <v/>
      </c>
      <c r="O219" s="4" t="s">
        <v>40</v>
      </c>
      <c r="P219" s="4">
        <f>Setup!$C$13</f>
        <v>1200</v>
      </c>
      <c r="Q219" s="4" t="s">
        <v>37</v>
      </c>
      <c r="R219" s="4" t="str">
        <f t="shared" si="10"/>
        <v/>
      </c>
      <c r="S219" s="4" t="s">
        <v>41</v>
      </c>
      <c r="T219" s="4">
        <f>Setup!$C$14</f>
        <v>1200</v>
      </c>
      <c r="U219" s="4" t="str">
        <f t="shared" si="11"/>
        <v/>
      </c>
      <c r="V219" s="4"/>
    </row>
    <row r="220" spans="1:22" x14ac:dyDescent="0.25">
      <c r="A220" s="4"/>
      <c r="B220" s="4" t="str">
        <f>IFERROR(IF(A220&lt;&gt;"",VLOOKUP($A220,calculation!$A$10:$V$510,12),""),"")</f>
        <v/>
      </c>
      <c r="C220" s="4" t="str">
        <f>IFERROR(IF(A220&lt;&gt;"",VLOOKUP($A220,calculation!$A$10:$V$510,15),""),"")</f>
        <v/>
      </c>
      <c r="D220" s="4" t="str">
        <f>IFERROR(IF(A220&lt;&gt;"",VLOOKUP($A220,calculation!$A$10:$V$510,22),""),"")</f>
        <v/>
      </c>
      <c r="F220" s="4" t="s">
        <v>27</v>
      </c>
      <c r="G220" s="4">
        <f>MAX($G$9:G219)+1</f>
        <v>192</v>
      </c>
      <c r="H220" s="4" t="s">
        <v>34</v>
      </c>
      <c r="I220" s="4" t="s">
        <v>35</v>
      </c>
      <c r="J220" s="4" t="str">
        <f t="shared" si="8"/>
        <v/>
      </c>
      <c r="K220" s="4" t="s">
        <v>39</v>
      </c>
      <c r="L220" s="4">
        <f>Setup!$C$15</f>
        <v>1500</v>
      </c>
      <c r="M220" s="4" t="s">
        <v>36</v>
      </c>
      <c r="N220" s="4" t="str">
        <f t="shared" si="9"/>
        <v/>
      </c>
      <c r="O220" s="4" t="s">
        <v>40</v>
      </c>
      <c r="P220" s="4">
        <f>Setup!$C$13</f>
        <v>1200</v>
      </c>
      <c r="Q220" s="4" t="s">
        <v>37</v>
      </c>
      <c r="R220" s="4" t="str">
        <f t="shared" si="10"/>
        <v/>
      </c>
      <c r="S220" s="4" t="s">
        <v>41</v>
      </c>
      <c r="T220" s="4">
        <f>Setup!$C$14</f>
        <v>1200</v>
      </c>
      <c r="U220" s="4" t="str">
        <f t="shared" si="11"/>
        <v/>
      </c>
      <c r="V220" s="4"/>
    </row>
    <row r="221" spans="1:22" x14ac:dyDescent="0.25">
      <c r="A221" s="4"/>
      <c r="B221" s="4" t="str">
        <f>IFERROR(IF(A221&lt;&gt;"",VLOOKUP($A221,calculation!$A$10:$V$510,12),""),"")</f>
        <v/>
      </c>
      <c r="C221" s="4" t="str">
        <f>IFERROR(IF(A221&lt;&gt;"",VLOOKUP($A221,calculation!$A$10:$V$510,15),""),"")</f>
        <v/>
      </c>
      <c r="D221" s="4" t="str">
        <f>IFERROR(IF(A221&lt;&gt;"",VLOOKUP($A221,calculation!$A$10:$V$510,22),""),"")</f>
        <v/>
      </c>
      <c r="F221" s="4" t="s">
        <v>27</v>
      </c>
      <c r="G221" s="4">
        <f>MAX($G$9:G220)+1</f>
        <v>193</v>
      </c>
      <c r="H221" s="4" t="s">
        <v>34</v>
      </c>
      <c r="I221" s="4" t="s">
        <v>35</v>
      </c>
      <c r="J221" s="4" t="str">
        <f t="shared" si="8"/>
        <v/>
      </c>
      <c r="K221" s="4" t="s">
        <v>39</v>
      </c>
      <c r="L221" s="4">
        <f>Setup!$C$15</f>
        <v>1500</v>
      </c>
      <c r="M221" s="4" t="s">
        <v>36</v>
      </c>
      <c r="N221" s="4" t="str">
        <f t="shared" si="9"/>
        <v/>
      </c>
      <c r="O221" s="4" t="s">
        <v>40</v>
      </c>
      <c r="P221" s="4">
        <f>Setup!$C$13</f>
        <v>1200</v>
      </c>
      <c r="Q221" s="4" t="s">
        <v>37</v>
      </c>
      <c r="R221" s="4" t="str">
        <f t="shared" si="10"/>
        <v/>
      </c>
      <c r="S221" s="4" t="s">
        <v>41</v>
      </c>
      <c r="T221" s="4">
        <f>Setup!$C$14</f>
        <v>1200</v>
      </c>
      <c r="U221" s="4" t="str">
        <f t="shared" si="11"/>
        <v/>
      </c>
      <c r="V221" s="4"/>
    </row>
    <row r="222" spans="1:22" x14ac:dyDescent="0.25">
      <c r="A222" s="4"/>
      <c r="B222" s="4" t="str">
        <f>IFERROR(IF(A222&lt;&gt;"",VLOOKUP($A222,calculation!$A$10:$V$510,12),""),"")</f>
        <v/>
      </c>
      <c r="C222" s="4" t="str">
        <f>IFERROR(IF(A222&lt;&gt;"",VLOOKUP($A222,calculation!$A$10:$V$510,15),""),"")</f>
        <v/>
      </c>
      <c r="D222" s="4" t="str">
        <f>IFERROR(IF(A222&lt;&gt;"",VLOOKUP($A222,calculation!$A$10:$V$510,22),""),"")</f>
        <v/>
      </c>
      <c r="F222" s="4" t="s">
        <v>27</v>
      </c>
      <c r="G222" s="4">
        <f>MAX($G$9:G221)+1</f>
        <v>194</v>
      </c>
      <c r="H222" s="4" t="s">
        <v>34</v>
      </c>
      <c r="I222" s="4" t="s">
        <v>35</v>
      </c>
      <c r="J222" s="4" t="str">
        <f t="shared" si="8"/>
        <v/>
      </c>
      <c r="K222" s="4" t="s">
        <v>39</v>
      </c>
      <c r="L222" s="4">
        <f>Setup!$C$15</f>
        <v>1500</v>
      </c>
      <c r="M222" s="4" t="s">
        <v>36</v>
      </c>
      <c r="N222" s="4" t="str">
        <f t="shared" si="9"/>
        <v/>
      </c>
      <c r="O222" s="4" t="s">
        <v>40</v>
      </c>
      <c r="P222" s="4">
        <f>Setup!$C$13</f>
        <v>1200</v>
      </c>
      <c r="Q222" s="4" t="s">
        <v>37</v>
      </c>
      <c r="R222" s="4" t="str">
        <f t="shared" si="10"/>
        <v/>
      </c>
      <c r="S222" s="4" t="s">
        <v>41</v>
      </c>
      <c r="T222" s="4">
        <f>Setup!$C$14</f>
        <v>1200</v>
      </c>
      <c r="U222" s="4" t="str">
        <f t="shared" si="11"/>
        <v/>
      </c>
      <c r="V222" s="4"/>
    </row>
    <row r="223" spans="1:22" x14ac:dyDescent="0.25">
      <c r="A223" s="4"/>
      <c r="B223" s="4" t="str">
        <f>IFERROR(IF(A223&lt;&gt;"",VLOOKUP($A223,calculation!$A$10:$V$510,12),""),"")</f>
        <v/>
      </c>
      <c r="C223" s="4" t="str">
        <f>IFERROR(IF(A223&lt;&gt;"",VLOOKUP($A223,calculation!$A$10:$V$510,15),""),"")</f>
        <v/>
      </c>
      <c r="D223" s="4" t="str">
        <f>IFERROR(IF(A223&lt;&gt;"",VLOOKUP($A223,calculation!$A$10:$V$510,22),""),"")</f>
        <v/>
      </c>
      <c r="F223" s="4" t="s">
        <v>27</v>
      </c>
      <c r="G223" s="4">
        <f>MAX($G$9:G222)+1</f>
        <v>195</v>
      </c>
      <c r="H223" s="4" t="s">
        <v>34</v>
      </c>
      <c r="I223" s="4" t="s">
        <v>35</v>
      </c>
      <c r="J223" s="4" t="str">
        <f t="shared" si="8"/>
        <v/>
      </c>
      <c r="K223" s="4" t="s">
        <v>39</v>
      </c>
      <c r="L223" s="4">
        <f>Setup!$C$15</f>
        <v>1500</v>
      </c>
      <c r="M223" s="4" t="s">
        <v>36</v>
      </c>
      <c r="N223" s="4" t="str">
        <f t="shared" si="9"/>
        <v/>
      </c>
      <c r="O223" s="4" t="s">
        <v>40</v>
      </c>
      <c r="P223" s="4">
        <f>Setup!$C$13</f>
        <v>1200</v>
      </c>
      <c r="Q223" s="4" t="s">
        <v>37</v>
      </c>
      <c r="R223" s="4" t="str">
        <f t="shared" si="10"/>
        <v/>
      </c>
      <c r="S223" s="4" t="s">
        <v>41</v>
      </c>
      <c r="T223" s="4">
        <f>Setup!$C$14</f>
        <v>1200</v>
      </c>
      <c r="U223" s="4" t="str">
        <f t="shared" si="11"/>
        <v/>
      </c>
      <c r="V223" s="4"/>
    </row>
    <row r="224" spans="1:22" x14ac:dyDescent="0.25">
      <c r="A224" s="4"/>
      <c r="B224" s="4" t="str">
        <f>IFERROR(IF(A224&lt;&gt;"",VLOOKUP($A224,calculation!$A$10:$V$510,12),""),"")</f>
        <v/>
      </c>
      <c r="C224" s="4" t="str">
        <f>IFERROR(IF(A224&lt;&gt;"",VLOOKUP($A224,calculation!$A$10:$V$510,15),""),"")</f>
        <v/>
      </c>
      <c r="D224" s="4" t="str">
        <f>IFERROR(IF(A224&lt;&gt;"",VLOOKUP($A224,calculation!$A$10:$V$510,22),""),"")</f>
        <v/>
      </c>
      <c r="F224" s="4" t="s">
        <v>27</v>
      </c>
      <c r="G224" s="4">
        <f>MAX($G$9:G223)+1</f>
        <v>196</v>
      </c>
      <c r="H224" s="4" t="s">
        <v>34</v>
      </c>
      <c r="I224" s="4" t="s">
        <v>35</v>
      </c>
      <c r="J224" s="4" t="str">
        <f t="shared" ref="J224:J287" si="12">B224</f>
        <v/>
      </c>
      <c r="K224" s="4" t="s">
        <v>39</v>
      </c>
      <c r="L224" s="4">
        <f>Setup!$C$15</f>
        <v>1500</v>
      </c>
      <c r="M224" s="4" t="s">
        <v>36</v>
      </c>
      <c r="N224" s="4" t="str">
        <f t="shared" ref="N224:N287" si="13">C224</f>
        <v/>
      </c>
      <c r="O224" s="4" t="s">
        <v>40</v>
      </c>
      <c r="P224" s="4">
        <f>Setup!$C$13</f>
        <v>1200</v>
      </c>
      <c r="Q224" s="4" t="s">
        <v>37</v>
      </c>
      <c r="R224" s="4" t="str">
        <f t="shared" ref="R224:R287" si="14">D224</f>
        <v/>
      </c>
      <c r="S224" s="4" t="s">
        <v>41</v>
      </c>
      <c r="T224" s="4">
        <f>Setup!$C$14</f>
        <v>1200</v>
      </c>
      <c r="U224" s="4" t="str">
        <f t="shared" ref="U224:U287" si="15">IF(A224&lt;&gt;"",F224&amp;G224&amp;" "&amp;H224&amp;" "&amp;I224&amp;J224&amp;" "&amp;K224&amp;L224&amp;" "&amp;M224&amp;N224&amp;" "&amp;O224&amp;P224&amp;" "&amp;Q224&amp;R224&amp;" "&amp;S224&amp;T224,"")</f>
        <v/>
      </c>
      <c r="V224" s="4"/>
    </row>
    <row r="225" spans="1:22" x14ac:dyDescent="0.25">
      <c r="A225" s="4"/>
      <c r="B225" s="4" t="str">
        <f>IFERROR(IF(A225&lt;&gt;"",VLOOKUP($A225,calculation!$A$10:$V$510,12),""),"")</f>
        <v/>
      </c>
      <c r="C225" s="4" t="str">
        <f>IFERROR(IF(A225&lt;&gt;"",VLOOKUP($A225,calculation!$A$10:$V$510,15),""),"")</f>
        <v/>
      </c>
      <c r="D225" s="4" t="str">
        <f>IFERROR(IF(A225&lt;&gt;"",VLOOKUP($A225,calculation!$A$10:$V$510,22),""),"")</f>
        <v/>
      </c>
      <c r="F225" s="4" t="s">
        <v>27</v>
      </c>
      <c r="G225" s="4">
        <f>MAX($G$9:G224)+1</f>
        <v>197</v>
      </c>
      <c r="H225" s="4" t="s">
        <v>34</v>
      </c>
      <c r="I225" s="4" t="s">
        <v>35</v>
      </c>
      <c r="J225" s="4" t="str">
        <f t="shared" si="12"/>
        <v/>
      </c>
      <c r="K225" s="4" t="s">
        <v>39</v>
      </c>
      <c r="L225" s="4">
        <f>Setup!$C$15</f>
        <v>1500</v>
      </c>
      <c r="M225" s="4" t="s">
        <v>36</v>
      </c>
      <c r="N225" s="4" t="str">
        <f t="shared" si="13"/>
        <v/>
      </c>
      <c r="O225" s="4" t="s">
        <v>40</v>
      </c>
      <c r="P225" s="4">
        <f>Setup!$C$13</f>
        <v>1200</v>
      </c>
      <c r="Q225" s="4" t="s">
        <v>37</v>
      </c>
      <c r="R225" s="4" t="str">
        <f t="shared" si="14"/>
        <v/>
      </c>
      <c r="S225" s="4" t="s">
        <v>41</v>
      </c>
      <c r="T225" s="4">
        <f>Setup!$C$14</f>
        <v>1200</v>
      </c>
      <c r="U225" s="4" t="str">
        <f t="shared" si="15"/>
        <v/>
      </c>
      <c r="V225" s="4"/>
    </row>
    <row r="226" spans="1:22" x14ac:dyDescent="0.25">
      <c r="A226" s="4"/>
      <c r="B226" s="4" t="str">
        <f>IFERROR(IF(A226&lt;&gt;"",VLOOKUP($A226,calculation!$A$10:$V$510,12),""),"")</f>
        <v/>
      </c>
      <c r="C226" s="4" t="str">
        <f>IFERROR(IF(A226&lt;&gt;"",VLOOKUP($A226,calculation!$A$10:$V$510,15),""),"")</f>
        <v/>
      </c>
      <c r="D226" s="4" t="str">
        <f>IFERROR(IF(A226&lt;&gt;"",VLOOKUP($A226,calculation!$A$10:$V$510,22),""),"")</f>
        <v/>
      </c>
      <c r="F226" s="4" t="s">
        <v>27</v>
      </c>
      <c r="G226" s="4">
        <f>MAX($G$9:G225)+1</f>
        <v>198</v>
      </c>
      <c r="H226" s="4" t="s">
        <v>34</v>
      </c>
      <c r="I226" s="4" t="s">
        <v>35</v>
      </c>
      <c r="J226" s="4" t="str">
        <f t="shared" si="12"/>
        <v/>
      </c>
      <c r="K226" s="4" t="s">
        <v>39</v>
      </c>
      <c r="L226" s="4">
        <f>Setup!$C$15</f>
        <v>1500</v>
      </c>
      <c r="M226" s="4" t="s">
        <v>36</v>
      </c>
      <c r="N226" s="4" t="str">
        <f t="shared" si="13"/>
        <v/>
      </c>
      <c r="O226" s="4" t="s">
        <v>40</v>
      </c>
      <c r="P226" s="4">
        <f>Setup!$C$13</f>
        <v>1200</v>
      </c>
      <c r="Q226" s="4" t="s">
        <v>37</v>
      </c>
      <c r="R226" s="4" t="str">
        <f t="shared" si="14"/>
        <v/>
      </c>
      <c r="S226" s="4" t="s">
        <v>41</v>
      </c>
      <c r="T226" s="4">
        <f>Setup!$C$14</f>
        <v>1200</v>
      </c>
      <c r="U226" s="4" t="str">
        <f t="shared" si="15"/>
        <v/>
      </c>
      <c r="V226" s="4"/>
    </row>
    <row r="227" spans="1:22" x14ac:dyDescent="0.25">
      <c r="A227" s="4"/>
      <c r="B227" s="4" t="str">
        <f>IFERROR(IF(A227&lt;&gt;"",VLOOKUP($A227,calculation!$A$10:$V$510,12),""),"")</f>
        <v/>
      </c>
      <c r="C227" s="4" t="str">
        <f>IFERROR(IF(A227&lt;&gt;"",VLOOKUP($A227,calculation!$A$10:$V$510,15),""),"")</f>
        <v/>
      </c>
      <c r="D227" s="4" t="str">
        <f>IFERROR(IF(A227&lt;&gt;"",VLOOKUP($A227,calculation!$A$10:$V$510,22),""),"")</f>
        <v/>
      </c>
      <c r="F227" s="4" t="s">
        <v>27</v>
      </c>
      <c r="G227" s="4">
        <f>MAX($G$9:G226)+1</f>
        <v>199</v>
      </c>
      <c r="H227" s="4" t="s">
        <v>34</v>
      </c>
      <c r="I227" s="4" t="s">
        <v>35</v>
      </c>
      <c r="J227" s="4" t="str">
        <f t="shared" si="12"/>
        <v/>
      </c>
      <c r="K227" s="4" t="s">
        <v>39</v>
      </c>
      <c r="L227" s="4">
        <f>Setup!$C$15</f>
        <v>1500</v>
      </c>
      <c r="M227" s="4" t="s">
        <v>36</v>
      </c>
      <c r="N227" s="4" t="str">
        <f t="shared" si="13"/>
        <v/>
      </c>
      <c r="O227" s="4" t="s">
        <v>40</v>
      </c>
      <c r="P227" s="4">
        <f>Setup!$C$13</f>
        <v>1200</v>
      </c>
      <c r="Q227" s="4" t="s">
        <v>37</v>
      </c>
      <c r="R227" s="4" t="str">
        <f t="shared" si="14"/>
        <v/>
      </c>
      <c r="S227" s="4" t="s">
        <v>41</v>
      </c>
      <c r="T227" s="4">
        <f>Setup!$C$14</f>
        <v>1200</v>
      </c>
      <c r="U227" s="4" t="str">
        <f t="shared" si="15"/>
        <v/>
      </c>
      <c r="V227" s="4"/>
    </row>
    <row r="228" spans="1:22" x14ac:dyDescent="0.25">
      <c r="A228" s="4"/>
      <c r="B228" s="4" t="str">
        <f>IFERROR(IF(A228&lt;&gt;"",VLOOKUP($A228,calculation!$A$10:$V$510,12),""),"")</f>
        <v/>
      </c>
      <c r="C228" s="4" t="str">
        <f>IFERROR(IF(A228&lt;&gt;"",VLOOKUP($A228,calculation!$A$10:$V$510,15),""),"")</f>
        <v/>
      </c>
      <c r="D228" s="4" t="str">
        <f>IFERROR(IF(A228&lt;&gt;"",VLOOKUP($A228,calculation!$A$10:$V$510,22),""),"")</f>
        <v/>
      </c>
      <c r="F228" s="4" t="s">
        <v>27</v>
      </c>
      <c r="G228" s="4">
        <f>MAX($G$9:G227)+1</f>
        <v>200</v>
      </c>
      <c r="H228" s="4" t="s">
        <v>34</v>
      </c>
      <c r="I228" s="4" t="s">
        <v>35</v>
      </c>
      <c r="J228" s="4" t="str">
        <f t="shared" si="12"/>
        <v/>
      </c>
      <c r="K228" s="4" t="s">
        <v>39</v>
      </c>
      <c r="L228" s="4">
        <f>Setup!$C$15</f>
        <v>1500</v>
      </c>
      <c r="M228" s="4" t="s">
        <v>36</v>
      </c>
      <c r="N228" s="4" t="str">
        <f t="shared" si="13"/>
        <v/>
      </c>
      <c r="O228" s="4" t="s">
        <v>40</v>
      </c>
      <c r="P228" s="4">
        <f>Setup!$C$13</f>
        <v>1200</v>
      </c>
      <c r="Q228" s="4" t="s">
        <v>37</v>
      </c>
      <c r="R228" s="4" t="str">
        <f t="shared" si="14"/>
        <v/>
      </c>
      <c r="S228" s="4" t="s">
        <v>41</v>
      </c>
      <c r="T228" s="4">
        <f>Setup!$C$14</f>
        <v>1200</v>
      </c>
      <c r="U228" s="4" t="str">
        <f t="shared" si="15"/>
        <v/>
      </c>
      <c r="V228" s="4"/>
    </row>
    <row r="229" spans="1:22" x14ac:dyDescent="0.25">
      <c r="A229" s="4"/>
      <c r="B229" s="4" t="str">
        <f>IFERROR(IF(A229&lt;&gt;"",VLOOKUP($A229,calculation!$A$10:$V$510,12),""),"")</f>
        <v/>
      </c>
      <c r="C229" s="4" t="str">
        <f>IFERROR(IF(A229&lt;&gt;"",VLOOKUP($A229,calculation!$A$10:$V$510,15),""),"")</f>
        <v/>
      </c>
      <c r="D229" s="4" t="str">
        <f>IFERROR(IF(A229&lt;&gt;"",VLOOKUP($A229,calculation!$A$10:$V$510,22),""),"")</f>
        <v/>
      </c>
      <c r="F229" s="4" t="s">
        <v>27</v>
      </c>
      <c r="G229" s="4">
        <f>MAX($G$9:G228)+1</f>
        <v>201</v>
      </c>
      <c r="H229" s="4" t="s">
        <v>34</v>
      </c>
      <c r="I229" s="4" t="s">
        <v>35</v>
      </c>
      <c r="J229" s="4" t="str">
        <f t="shared" si="12"/>
        <v/>
      </c>
      <c r="K229" s="4" t="s">
        <v>39</v>
      </c>
      <c r="L229" s="4">
        <f>Setup!$C$15</f>
        <v>1500</v>
      </c>
      <c r="M229" s="4" t="s">
        <v>36</v>
      </c>
      <c r="N229" s="4" t="str">
        <f t="shared" si="13"/>
        <v/>
      </c>
      <c r="O229" s="4" t="s">
        <v>40</v>
      </c>
      <c r="P229" s="4">
        <f>Setup!$C$13</f>
        <v>1200</v>
      </c>
      <c r="Q229" s="4" t="s">
        <v>37</v>
      </c>
      <c r="R229" s="4" t="str">
        <f t="shared" si="14"/>
        <v/>
      </c>
      <c r="S229" s="4" t="s">
        <v>41</v>
      </c>
      <c r="T229" s="4">
        <f>Setup!$C$14</f>
        <v>1200</v>
      </c>
      <c r="U229" s="4" t="str">
        <f t="shared" si="15"/>
        <v/>
      </c>
      <c r="V229" s="4"/>
    </row>
    <row r="230" spans="1:22" x14ac:dyDescent="0.25">
      <c r="A230" s="4"/>
      <c r="B230" s="4" t="str">
        <f>IFERROR(IF(A230&lt;&gt;"",VLOOKUP($A230,calculation!$A$10:$V$510,12),""),"")</f>
        <v/>
      </c>
      <c r="C230" s="4" t="str">
        <f>IFERROR(IF(A230&lt;&gt;"",VLOOKUP($A230,calculation!$A$10:$V$510,15),""),"")</f>
        <v/>
      </c>
      <c r="D230" s="4" t="str">
        <f>IFERROR(IF(A230&lt;&gt;"",VLOOKUP($A230,calculation!$A$10:$V$510,22),""),"")</f>
        <v/>
      </c>
      <c r="F230" s="4" t="s">
        <v>27</v>
      </c>
      <c r="G230" s="4">
        <f>MAX($G$9:G229)+1</f>
        <v>202</v>
      </c>
      <c r="H230" s="4" t="s">
        <v>34</v>
      </c>
      <c r="I230" s="4" t="s">
        <v>35</v>
      </c>
      <c r="J230" s="4" t="str">
        <f t="shared" si="12"/>
        <v/>
      </c>
      <c r="K230" s="4" t="s">
        <v>39</v>
      </c>
      <c r="L230" s="4">
        <f>Setup!$C$15</f>
        <v>1500</v>
      </c>
      <c r="M230" s="4" t="s">
        <v>36</v>
      </c>
      <c r="N230" s="4" t="str">
        <f t="shared" si="13"/>
        <v/>
      </c>
      <c r="O230" s="4" t="s">
        <v>40</v>
      </c>
      <c r="P230" s="4">
        <f>Setup!$C$13</f>
        <v>1200</v>
      </c>
      <c r="Q230" s="4" t="s">
        <v>37</v>
      </c>
      <c r="R230" s="4" t="str">
        <f t="shared" si="14"/>
        <v/>
      </c>
      <c r="S230" s="4" t="s">
        <v>41</v>
      </c>
      <c r="T230" s="4">
        <f>Setup!$C$14</f>
        <v>1200</v>
      </c>
      <c r="U230" s="4" t="str">
        <f t="shared" si="15"/>
        <v/>
      </c>
      <c r="V230" s="4"/>
    </row>
    <row r="231" spans="1:22" x14ac:dyDescent="0.25">
      <c r="A231" s="4"/>
      <c r="B231" s="4" t="str">
        <f>IFERROR(IF(A231&lt;&gt;"",VLOOKUP($A231,calculation!$A$10:$V$510,12),""),"")</f>
        <v/>
      </c>
      <c r="C231" s="4" t="str">
        <f>IFERROR(IF(A231&lt;&gt;"",VLOOKUP($A231,calculation!$A$10:$V$510,15),""),"")</f>
        <v/>
      </c>
      <c r="D231" s="4" t="str">
        <f>IFERROR(IF(A231&lt;&gt;"",VLOOKUP($A231,calculation!$A$10:$V$510,22),""),"")</f>
        <v/>
      </c>
      <c r="F231" s="4" t="s">
        <v>27</v>
      </c>
      <c r="G231" s="4">
        <f>MAX($G$9:G230)+1</f>
        <v>203</v>
      </c>
      <c r="H231" s="4" t="s">
        <v>34</v>
      </c>
      <c r="I231" s="4" t="s">
        <v>35</v>
      </c>
      <c r="J231" s="4" t="str">
        <f t="shared" si="12"/>
        <v/>
      </c>
      <c r="K231" s="4" t="s">
        <v>39</v>
      </c>
      <c r="L231" s="4">
        <f>Setup!$C$15</f>
        <v>1500</v>
      </c>
      <c r="M231" s="4" t="s">
        <v>36</v>
      </c>
      <c r="N231" s="4" t="str">
        <f t="shared" si="13"/>
        <v/>
      </c>
      <c r="O231" s="4" t="s">
        <v>40</v>
      </c>
      <c r="P231" s="4">
        <f>Setup!$C$13</f>
        <v>1200</v>
      </c>
      <c r="Q231" s="4" t="s">
        <v>37</v>
      </c>
      <c r="R231" s="4" t="str">
        <f t="shared" si="14"/>
        <v/>
      </c>
      <c r="S231" s="4" t="s">
        <v>41</v>
      </c>
      <c r="T231" s="4">
        <f>Setup!$C$14</f>
        <v>1200</v>
      </c>
      <c r="U231" s="4" t="str">
        <f t="shared" si="15"/>
        <v/>
      </c>
      <c r="V231" s="4"/>
    </row>
    <row r="232" spans="1:22" x14ac:dyDescent="0.25">
      <c r="A232" s="4"/>
      <c r="B232" s="4" t="str">
        <f>IFERROR(IF(A232&lt;&gt;"",VLOOKUP($A232,calculation!$A$10:$V$510,12),""),"")</f>
        <v/>
      </c>
      <c r="C232" s="4" t="str">
        <f>IFERROR(IF(A232&lt;&gt;"",VLOOKUP($A232,calculation!$A$10:$V$510,15),""),"")</f>
        <v/>
      </c>
      <c r="D232" s="4" t="str">
        <f>IFERROR(IF(A232&lt;&gt;"",VLOOKUP($A232,calculation!$A$10:$V$510,22),""),"")</f>
        <v/>
      </c>
      <c r="F232" s="4" t="s">
        <v>27</v>
      </c>
      <c r="G232" s="4">
        <f>MAX($G$9:G231)+1</f>
        <v>204</v>
      </c>
      <c r="H232" s="4" t="s">
        <v>34</v>
      </c>
      <c r="I232" s="4" t="s">
        <v>35</v>
      </c>
      <c r="J232" s="4" t="str">
        <f t="shared" si="12"/>
        <v/>
      </c>
      <c r="K232" s="4" t="s">
        <v>39</v>
      </c>
      <c r="L232" s="4">
        <f>Setup!$C$15</f>
        <v>1500</v>
      </c>
      <c r="M232" s="4" t="s">
        <v>36</v>
      </c>
      <c r="N232" s="4" t="str">
        <f t="shared" si="13"/>
        <v/>
      </c>
      <c r="O232" s="4" t="s">
        <v>40</v>
      </c>
      <c r="P232" s="4">
        <f>Setup!$C$13</f>
        <v>1200</v>
      </c>
      <c r="Q232" s="4" t="s">
        <v>37</v>
      </c>
      <c r="R232" s="4" t="str">
        <f t="shared" si="14"/>
        <v/>
      </c>
      <c r="S232" s="4" t="s">
        <v>41</v>
      </c>
      <c r="T232" s="4">
        <f>Setup!$C$14</f>
        <v>1200</v>
      </c>
      <c r="U232" s="4" t="str">
        <f t="shared" si="15"/>
        <v/>
      </c>
      <c r="V232" s="4"/>
    </row>
    <row r="233" spans="1:22" x14ac:dyDescent="0.25">
      <c r="A233" s="4"/>
      <c r="B233" s="4" t="str">
        <f>IFERROR(IF(A233&lt;&gt;"",VLOOKUP($A233,calculation!$A$10:$V$510,12),""),"")</f>
        <v/>
      </c>
      <c r="C233" s="4" t="str">
        <f>IFERROR(IF(A233&lt;&gt;"",VLOOKUP($A233,calculation!$A$10:$V$510,15),""),"")</f>
        <v/>
      </c>
      <c r="D233" s="4" t="str">
        <f>IFERROR(IF(A233&lt;&gt;"",VLOOKUP($A233,calculation!$A$10:$V$510,22),""),"")</f>
        <v/>
      </c>
      <c r="F233" s="4" t="s">
        <v>27</v>
      </c>
      <c r="G233" s="4">
        <f>MAX($G$9:G232)+1</f>
        <v>205</v>
      </c>
      <c r="H233" s="4" t="s">
        <v>34</v>
      </c>
      <c r="I233" s="4" t="s">
        <v>35</v>
      </c>
      <c r="J233" s="4" t="str">
        <f t="shared" si="12"/>
        <v/>
      </c>
      <c r="K233" s="4" t="s">
        <v>39</v>
      </c>
      <c r="L233" s="4">
        <f>Setup!$C$15</f>
        <v>1500</v>
      </c>
      <c r="M233" s="4" t="s">
        <v>36</v>
      </c>
      <c r="N233" s="4" t="str">
        <f t="shared" si="13"/>
        <v/>
      </c>
      <c r="O233" s="4" t="s">
        <v>40</v>
      </c>
      <c r="P233" s="4">
        <f>Setup!$C$13</f>
        <v>1200</v>
      </c>
      <c r="Q233" s="4" t="s">
        <v>37</v>
      </c>
      <c r="R233" s="4" t="str">
        <f t="shared" si="14"/>
        <v/>
      </c>
      <c r="S233" s="4" t="s">
        <v>41</v>
      </c>
      <c r="T233" s="4">
        <f>Setup!$C$14</f>
        <v>1200</v>
      </c>
      <c r="U233" s="4" t="str">
        <f t="shared" si="15"/>
        <v/>
      </c>
      <c r="V233" s="4"/>
    </row>
    <row r="234" spans="1:22" x14ac:dyDescent="0.25">
      <c r="A234" s="4"/>
      <c r="B234" s="4" t="str">
        <f>IFERROR(IF(A234&lt;&gt;"",VLOOKUP($A234,calculation!$A$10:$V$510,12),""),"")</f>
        <v/>
      </c>
      <c r="C234" s="4" t="str">
        <f>IFERROR(IF(A234&lt;&gt;"",VLOOKUP($A234,calculation!$A$10:$V$510,15),""),"")</f>
        <v/>
      </c>
      <c r="D234" s="4" t="str">
        <f>IFERROR(IF(A234&lt;&gt;"",VLOOKUP($A234,calculation!$A$10:$V$510,22),""),"")</f>
        <v/>
      </c>
      <c r="F234" s="4" t="s">
        <v>27</v>
      </c>
      <c r="G234" s="4">
        <f>MAX($G$9:G233)+1</f>
        <v>206</v>
      </c>
      <c r="H234" s="4" t="s">
        <v>34</v>
      </c>
      <c r="I234" s="4" t="s">
        <v>35</v>
      </c>
      <c r="J234" s="4" t="str">
        <f t="shared" si="12"/>
        <v/>
      </c>
      <c r="K234" s="4" t="s">
        <v>39</v>
      </c>
      <c r="L234" s="4">
        <f>Setup!$C$15</f>
        <v>1500</v>
      </c>
      <c r="M234" s="4" t="s">
        <v>36</v>
      </c>
      <c r="N234" s="4" t="str">
        <f t="shared" si="13"/>
        <v/>
      </c>
      <c r="O234" s="4" t="s">
        <v>40</v>
      </c>
      <c r="P234" s="4">
        <f>Setup!$C$13</f>
        <v>1200</v>
      </c>
      <c r="Q234" s="4" t="s">
        <v>37</v>
      </c>
      <c r="R234" s="4" t="str">
        <f t="shared" si="14"/>
        <v/>
      </c>
      <c r="S234" s="4" t="s">
        <v>41</v>
      </c>
      <c r="T234" s="4">
        <f>Setup!$C$14</f>
        <v>1200</v>
      </c>
      <c r="U234" s="4" t="str">
        <f t="shared" si="15"/>
        <v/>
      </c>
      <c r="V234" s="4"/>
    </row>
    <row r="235" spans="1:22" x14ac:dyDescent="0.25">
      <c r="A235" s="4"/>
      <c r="B235" s="4" t="str">
        <f>IFERROR(IF(A235&lt;&gt;"",VLOOKUP($A235,calculation!$A$10:$V$510,12),""),"")</f>
        <v/>
      </c>
      <c r="C235" s="4" t="str">
        <f>IFERROR(IF(A235&lt;&gt;"",VLOOKUP($A235,calculation!$A$10:$V$510,15),""),"")</f>
        <v/>
      </c>
      <c r="D235" s="4" t="str">
        <f>IFERROR(IF(A235&lt;&gt;"",VLOOKUP($A235,calculation!$A$10:$V$510,22),""),"")</f>
        <v/>
      </c>
      <c r="F235" s="4" t="s">
        <v>27</v>
      </c>
      <c r="G235" s="4">
        <f>MAX($G$9:G234)+1</f>
        <v>207</v>
      </c>
      <c r="H235" s="4" t="s">
        <v>34</v>
      </c>
      <c r="I235" s="4" t="s">
        <v>35</v>
      </c>
      <c r="J235" s="4" t="str">
        <f t="shared" si="12"/>
        <v/>
      </c>
      <c r="K235" s="4" t="s">
        <v>39</v>
      </c>
      <c r="L235" s="4">
        <f>Setup!$C$15</f>
        <v>1500</v>
      </c>
      <c r="M235" s="4" t="s">
        <v>36</v>
      </c>
      <c r="N235" s="4" t="str">
        <f t="shared" si="13"/>
        <v/>
      </c>
      <c r="O235" s="4" t="s">
        <v>40</v>
      </c>
      <c r="P235" s="4">
        <f>Setup!$C$13</f>
        <v>1200</v>
      </c>
      <c r="Q235" s="4" t="s">
        <v>37</v>
      </c>
      <c r="R235" s="4" t="str">
        <f t="shared" si="14"/>
        <v/>
      </c>
      <c r="S235" s="4" t="s">
        <v>41</v>
      </c>
      <c r="T235" s="4">
        <f>Setup!$C$14</f>
        <v>1200</v>
      </c>
      <c r="U235" s="4" t="str">
        <f t="shared" si="15"/>
        <v/>
      </c>
      <c r="V235" s="4"/>
    </row>
    <row r="236" spans="1:22" x14ac:dyDescent="0.25">
      <c r="A236" s="4"/>
      <c r="B236" s="4" t="str">
        <f>IFERROR(IF(A236&lt;&gt;"",VLOOKUP($A236,calculation!$A$10:$V$510,12),""),"")</f>
        <v/>
      </c>
      <c r="C236" s="4" t="str">
        <f>IFERROR(IF(A236&lt;&gt;"",VLOOKUP($A236,calculation!$A$10:$V$510,15),""),"")</f>
        <v/>
      </c>
      <c r="D236" s="4" t="str">
        <f>IFERROR(IF(A236&lt;&gt;"",VLOOKUP($A236,calculation!$A$10:$V$510,22),""),"")</f>
        <v/>
      </c>
      <c r="F236" s="4" t="s">
        <v>27</v>
      </c>
      <c r="G236" s="4">
        <f>MAX($G$9:G235)+1</f>
        <v>208</v>
      </c>
      <c r="H236" s="4" t="s">
        <v>34</v>
      </c>
      <c r="I236" s="4" t="s">
        <v>35</v>
      </c>
      <c r="J236" s="4" t="str">
        <f t="shared" si="12"/>
        <v/>
      </c>
      <c r="K236" s="4" t="s">
        <v>39</v>
      </c>
      <c r="L236" s="4">
        <f>Setup!$C$15</f>
        <v>1500</v>
      </c>
      <c r="M236" s="4" t="s">
        <v>36</v>
      </c>
      <c r="N236" s="4" t="str">
        <f t="shared" si="13"/>
        <v/>
      </c>
      <c r="O236" s="4" t="s">
        <v>40</v>
      </c>
      <c r="P236" s="4">
        <f>Setup!$C$13</f>
        <v>1200</v>
      </c>
      <c r="Q236" s="4" t="s">
        <v>37</v>
      </c>
      <c r="R236" s="4" t="str">
        <f t="shared" si="14"/>
        <v/>
      </c>
      <c r="S236" s="4" t="s">
        <v>41</v>
      </c>
      <c r="T236" s="4">
        <f>Setup!$C$14</f>
        <v>1200</v>
      </c>
      <c r="U236" s="4" t="str">
        <f t="shared" si="15"/>
        <v/>
      </c>
      <c r="V236" s="4"/>
    </row>
    <row r="237" spans="1:22" x14ac:dyDescent="0.25">
      <c r="A237" s="4"/>
      <c r="B237" s="4" t="str">
        <f>IFERROR(IF(A237&lt;&gt;"",VLOOKUP($A237,calculation!$A$10:$V$510,12),""),"")</f>
        <v/>
      </c>
      <c r="C237" s="4" t="str">
        <f>IFERROR(IF(A237&lt;&gt;"",VLOOKUP($A237,calculation!$A$10:$V$510,15),""),"")</f>
        <v/>
      </c>
      <c r="D237" s="4" t="str">
        <f>IFERROR(IF(A237&lt;&gt;"",VLOOKUP($A237,calculation!$A$10:$V$510,22),""),"")</f>
        <v/>
      </c>
      <c r="F237" s="4" t="s">
        <v>27</v>
      </c>
      <c r="G237" s="4">
        <f>MAX($G$9:G236)+1</f>
        <v>209</v>
      </c>
      <c r="H237" s="4" t="s">
        <v>34</v>
      </c>
      <c r="I237" s="4" t="s">
        <v>35</v>
      </c>
      <c r="J237" s="4" t="str">
        <f t="shared" si="12"/>
        <v/>
      </c>
      <c r="K237" s="4" t="s">
        <v>39</v>
      </c>
      <c r="L237" s="4">
        <f>Setup!$C$15</f>
        <v>1500</v>
      </c>
      <c r="M237" s="4" t="s">
        <v>36</v>
      </c>
      <c r="N237" s="4" t="str">
        <f t="shared" si="13"/>
        <v/>
      </c>
      <c r="O237" s="4" t="s">
        <v>40</v>
      </c>
      <c r="P237" s="4">
        <f>Setup!$C$13</f>
        <v>1200</v>
      </c>
      <c r="Q237" s="4" t="s">
        <v>37</v>
      </c>
      <c r="R237" s="4" t="str">
        <f t="shared" si="14"/>
        <v/>
      </c>
      <c r="S237" s="4" t="s">
        <v>41</v>
      </c>
      <c r="T237" s="4">
        <f>Setup!$C$14</f>
        <v>1200</v>
      </c>
      <c r="U237" s="4" t="str">
        <f t="shared" si="15"/>
        <v/>
      </c>
      <c r="V237" s="4"/>
    </row>
    <row r="238" spans="1:22" x14ac:dyDescent="0.25">
      <c r="A238" s="4"/>
      <c r="B238" s="4" t="str">
        <f>IFERROR(IF(A238&lt;&gt;"",VLOOKUP($A238,calculation!$A$10:$V$510,12),""),"")</f>
        <v/>
      </c>
      <c r="C238" s="4" t="str">
        <f>IFERROR(IF(A238&lt;&gt;"",VLOOKUP($A238,calculation!$A$10:$V$510,15),""),"")</f>
        <v/>
      </c>
      <c r="D238" s="4" t="str">
        <f>IFERROR(IF(A238&lt;&gt;"",VLOOKUP($A238,calculation!$A$10:$V$510,22),""),"")</f>
        <v/>
      </c>
      <c r="F238" s="4" t="s">
        <v>27</v>
      </c>
      <c r="G238" s="4">
        <f>MAX($G$9:G237)+1</f>
        <v>210</v>
      </c>
      <c r="H238" s="4" t="s">
        <v>34</v>
      </c>
      <c r="I238" s="4" t="s">
        <v>35</v>
      </c>
      <c r="J238" s="4" t="str">
        <f t="shared" si="12"/>
        <v/>
      </c>
      <c r="K238" s="4" t="s">
        <v>39</v>
      </c>
      <c r="L238" s="4">
        <f>Setup!$C$15</f>
        <v>1500</v>
      </c>
      <c r="M238" s="4" t="s">
        <v>36</v>
      </c>
      <c r="N238" s="4" t="str">
        <f t="shared" si="13"/>
        <v/>
      </c>
      <c r="O238" s="4" t="s">
        <v>40</v>
      </c>
      <c r="P238" s="4">
        <f>Setup!$C$13</f>
        <v>1200</v>
      </c>
      <c r="Q238" s="4" t="s">
        <v>37</v>
      </c>
      <c r="R238" s="4" t="str">
        <f t="shared" si="14"/>
        <v/>
      </c>
      <c r="S238" s="4" t="s">
        <v>41</v>
      </c>
      <c r="T238" s="4">
        <f>Setup!$C$14</f>
        <v>1200</v>
      </c>
      <c r="U238" s="4" t="str">
        <f t="shared" si="15"/>
        <v/>
      </c>
      <c r="V238" s="4"/>
    </row>
    <row r="239" spans="1:22" x14ac:dyDescent="0.25">
      <c r="A239" s="4"/>
      <c r="B239" s="4" t="str">
        <f>IFERROR(IF(A239&lt;&gt;"",VLOOKUP($A239,calculation!$A$10:$V$510,12),""),"")</f>
        <v/>
      </c>
      <c r="C239" s="4" t="str">
        <f>IFERROR(IF(A239&lt;&gt;"",VLOOKUP($A239,calculation!$A$10:$V$510,15),""),"")</f>
        <v/>
      </c>
      <c r="D239" s="4" t="str">
        <f>IFERROR(IF(A239&lt;&gt;"",VLOOKUP($A239,calculation!$A$10:$V$510,22),""),"")</f>
        <v/>
      </c>
      <c r="F239" s="4" t="s">
        <v>27</v>
      </c>
      <c r="G239" s="4">
        <f>MAX($G$9:G238)+1</f>
        <v>211</v>
      </c>
      <c r="H239" s="4" t="s">
        <v>34</v>
      </c>
      <c r="I239" s="4" t="s">
        <v>35</v>
      </c>
      <c r="J239" s="4" t="str">
        <f t="shared" si="12"/>
        <v/>
      </c>
      <c r="K239" s="4" t="s">
        <v>39</v>
      </c>
      <c r="L239" s="4">
        <f>Setup!$C$15</f>
        <v>1500</v>
      </c>
      <c r="M239" s="4" t="s">
        <v>36</v>
      </c>
      <c r="N239" s="4" t="str">
        <f t="shared" si="13"/>
        <v/>
      </c>
      <c r="O239" s="4" t="s">
        <v>40</v>
      </c>
      <c r="P239" s="4">
        <f>Setup!$C$13</f>
        <v>1200</v>
      </c>
      <c r="Q239" s="4" t="s">
        <v>37</v>
      </c>
      <c r="R239" s="4" t="str">
        <f t="shared" si="14"/>
        <v/>
      </c>
      <c r="S239" s="4" t="s">
        <v>41</v>
      </c>
      <c r="T239" s="4">
        <f>Setup!$C$14</f>
        <v>1200</v>
      </c>
      <c r="U239" s="4" t="str">
        <f t="shared" si="15"/>
        <v/>
      </c>
      <c r="V239" s="4"/>
    </row>
    <row r="240" spans="1:22" x14ac:dyDescent="0.25">
      <c r="A240" s="4"/>
      <c r="B240" s="4" t="str">
        <f>IFERROR(IF(A240&lt;&gt;"",VLOOKUP($A240,calculation!$A$10:$V$510,12),""),"")</f>
        <v/>
      </c>
      <c r="C240" s="4" t="str">
        <f>IFERROR(IF(A240&lt;&gt;"",VLOOKUP($A240,calculation!$A$10:$V$510,15),""),"")</f>
        <v/>
      </c>
      <c r="D240" s="4" t="str">
        <f>IFERROR(IF(A240&lt;&gt;"",VLOOKUP($A240,calculation!$A$10:$V$510,22),""),"")</f>
        <v/>
      </c>
      <c r="F240" s="4" t="s">
        <v>27</v>
      </c>
      <c r="G240" s="4">
        <f>MAX($G$9:G239)+1</f>
        <v>212</v>
      </c>
      <c r="H240" s="4" t="s">
        <v>34</v>
      </c>
      <c r="I240" s="4" t="s">
        <v>35</v>
      </c>
      <c r="J240" s="4" t="str">
        <f t="shared" si="12"/>
        <v/>
      </c>
      <c r="K240" s="4" t="s">
        <v>39</v>
      </c>
      <c r="L240" s="4">
        <f>Setup!$C$15</f>
        <v>1500</v>
      </c>
      <c r="M240" s="4" t="s">
        <v>36</v>
      </c>
      <c r="N240" s="4" t="str">
        <f t="shared" si="13"/>
        <v/>
      </c>
      <c r="O240" s="4" t="s">
        <v>40</v>
      </c>
      <c r="P240" s="4">
        <f>Setup!$C$13</f>
        <v>1200</v>
      </c>
      <c r="Q240" s="4" t="s">
        <v>37</v>
      </c>
      <c r="R240" s="4" t="str">
        <f t="shared" si="14"/>
        <v/>
      </c>
      <c r="S240" s="4" t="s">
        <v>41</v>
      </c>
      <c r="T240" s="4">
        <f>Setup!$C$14</f>
        <v>1200</v>
      </c>
      <c r="U240" s="4" t="str">
        <f t="shared" si="15"/>
        <v/>
      </c>
      <c r="V240" s="4"/>
    </row>
    <row r="241" spans="1:22" x14ac:dyDescent="0.25">
      <c r="A241" s="4"/>
      <c r="B241" s="4" t="str">
        <f>IFERROR(IF(A241&lt;&gt;"",VLOOKUP($A241,calculation!$A$10:$V$510,12),""),"")</f>
        <v/>
      </c>
      <c r="C241" s="4" t="str">
        <f>IFERROR(IF(A241&lt;&gt;"",VLOOKUP($A241,calculation!$A$10:$V$510,15),""),"")</f>
        <v/>
      </c>
      <c r="D241" s="4" t="str">
        <f>IFERROR(IF(A241&lt;&gt;"",VLOOKUP($A241,calculation!$A$10:$V$510,22),""),"")</f>
        <v/>
      </c>
      <c r="F241" s="4" t="s">
        <v>27</v>
      </c>
      <c r="G241" s="4">
        <f>MAX($G$9:G240)+1</f>
        <v>213</v>
      </c>
      <c r="H241" s="4" t="s">
        <v>34</v>
      </c>
      <c r="I241" s="4" t="s">
        <v>35</v>
      </c>
      <c r="J241" s="4" t="str">
        <f t="shared" si="12"/>
        <v/>
      </c>
      <c r="K241" s="4" t="s">
        <v>39</v>
      </c>
      <c r="L241" s="4">
        <f>Setup!$C$15</f>
        <v>1500</v>
      </c>
      <c r="M241" s="4" t="s">
        <v>36</v>
      </c>
      <c r="N241" s="4" t="str">
        <f t="shared" si="13"/>
        <v/>
      </c>
      <c r="O241" s="4" t="s">
        <v>40</v>
      </c>
      <c r="P241" s="4">
        <f>Setup!$C$13</f>
        <v>1200</v>
      </c>
      <c r="Q241" s="4" t="s">
        <v>37</v>
      </c>
      <c r="R241" s="4" t="str">
        <f t="shared" si="14"/>
        <v/>
      </c>
      <c r="S241" s="4" t="s">
        <v>41</v>
      </c>
      <c r="T241" s="4">
        <f>Setup!$C$14</f>
        <v>1200</v>
      </c>
      <c r="U241" s="4" t="str">
        <f t="shared" si="15"/>
        <v/>
      </c>
      <c r="V241" s="4"/>
    </row>
    <row r="242" spans="1:22" x14ac:dyDescent="0.25">
      <c r="A242" s="4"/>
      <c r="B242" s="4" t="str">
        <f>IFERROR(IF(A242&lt;&gt;"",VLOOKUP($A242,calculation!$A$10:$V$510,12),""),"")</f>
        <v/>
      </c>
      <c r="C242" s="4" t="str">
        <f>IFERROR(IF(A242&lt;&gt;"",VLOOKUP($A242,calculation!$A$10:$V$510,15),""),"")</f>
        <v/>
      </c>
      <c r="D242" s="4" t="str">
        <f>IFERROR(IF(A242&lt;&gt;"",VLOOKUP($A242,calculation!$A$10:$V$510,22),""),"")</f>
        <v/>
      </c>
      <c r="F242" s="4" t="s">
        <v>27</v>
      </c>
      <c r="G242" s="4">
        <f>MAX($G$9:G241)+1</f>
        <v>214</v>
      </c>
      <c r="H242" s="4" t="s">
        <v>34</v>
      </c>
      <c r="I242" s="4" t="s">
        <v>35</v>
      </c>
      <c r="J242" s="4" t="str">
        <f t="shared" si="12"/>
        <v/>
      </c>
      <c r="K242" s="4" t="s">
        <v>39</v>
      </c>
      <c r="L242" s="4">
        <f>Setup!$C$15</f>
        <v>1500</v>
      </c>
      <c r="M242" s="4" t="s">
        <v>36</v>
      </c>
      <c r="N242" s="4" t="str">
        <f t="shared" si="13"/>
        <v/>
      </c>
      <c r="O242" s="4" t="s">
        <v>40</v>
      </c>
      <c r="P242" s="4">
        <f>Setup!$C$13</f>
        <v>1200</v>
      </c>
      <c r="Q242" s="4" t="s">
        <v>37</v>
      </c>
      <c r="R242" s="4" t="str">
        <f t="shared" si="14"/>
        <v/>
      </c>
      <c r="S242" s="4" t="s">
        <v>41</v>
      </c>
      <c r="T242" s="4">
        <f>Setup!$C$14</f>
        <v>1200</v>
      </c>
      <c r="U242" s="4" t="str">
        <f t="shared" si="15"/>
        <v/>
      </c>
      <c r="V242" s="4"/>
    </row>
    <row r="243" spans="1:22" x14ac:dyDescent="0.25">
      <c r="A243" s="4"/>
      <c r="B243" s="4" t="str">
        <f>IFERROR(IF(A243&lt;&gt;"",VLOOKUP($A243,calculation!$A$10:$V$510,12),""),"")</f>
        <v/>
      </c>
      <c r="C243" s="4" t="str">
        <f>IFERROR(IF(A243&lt;&gt;"",VLOOKUP($A243,calculation!$A$10:$V$510,15),""),"")</f>
        <v/>
      </c>
      <c r="D243" s="4" t="str">
        <f>IFERROR(IF(A243&lt;&gt;"",VLOOKUP($A243,calculation!$A$10:$V$510,22),""),"")</f>
        <v/>
      </c>
      <c r="F243" s="4" t="s">
        <v>27</v>
      </c>
      <c r="G243" s="4">
        <f>MAX($G$9:G242)+1</f>
        <v>215</v>
      </c>
      <c r="H243" s="4" t="s">
        <v>34</v>
      </c>
      <c r="I243" s="4" t="s">
        <v>35</v>
      </c>
      <c r="J243" s="4" t="str">
        <f t="shared" si="12"/>
        <v/>
      </c>
      <c r="K243" s="4" t="s">
        <v>39</v>
      </c>
      <c r="L243" s="4">
        <f>Setup!$C$15</f>
        <v>1500</v>
      </c>
      <c r="M243" s="4" t="s">
        <v>36</v>
      </c>
      <c r="N243" s="4" t="str">
        <f t="shared" si="13"/>
        <v/>
      </c>
      <c r="O243" s="4" t="s">
        <v>40</v>
      </c>
      <c r="P243" s="4">
        <f>Setup!$C$13</f>
        <v>1200</v>
      </c>
      <c r="Q243" s="4" t="s">
        <v>37</v>
      </c>
      <c r="R243" s="4" t="str">
        <f t="shared" si="14"/>
        <v/>
      </c>
      <c r="S243" s="4" t="s">
        <v>41</v>
      </c>
      <c r="T243" s="4">
        <f>Setup!$C$14</f>
        <v>1200</v>
      </c>
      <c r="U243" s="4" t="str">
        <f t="shared" si="15"/>
        <v/>
      </c>
      <c r="V243" s="4"/>
    </row>
    <row r="244" spans="1:22" x14ac:dyDescent="0.25">
      <c r="A244" s="4"/>
      <c r="B244" s="4" t="str">
        <f>IFERROR(IF(A244&lt;&gt;"",VLOOKUP($A244,calculation!$A$10:$V$510,12),""),"")</f>
        <v/>
      </c>
      <c r="C244" s="4" t="str">
        <f>IFERROR(IF(A244&lt;&gt;"",VLOOKUP($A244,calculation!$A$10:$V$510,15),""),"")</f>
        <v/>
      </c>
      <c r="D244" s="4" t="str">
        <f>IFERROR(IF(A244&lt;&gt;"",VLOOKUP($A244,calculation!$A$10:$V$510,22),""),"")</f>
        <v/>
      </c>
      <c r="F244" s="4" t="s">
        <v>27</v>
      </c>
      <c r="G244" s="4">
        <f>MAX($G$9:G243)+1</f>
        <v>216</v>
      </c>
      <c r="H244" s="4" t="s">
        <v>34</v>
      </c>
      <c r="I244" s="4" t="s">
        <v>35</v>
      </c>
      <c r="J244" s="4" t="str">
        <f t="shared" si="12"/>
        <v/>
      </c>
      <c r="K244" s="4" t="s">
        <v>39</v>
      </c>
      <c r="L244" s="4">
        <f>Setup!$C$15</f>
        <v>1500</v>
      </c>
      <c r="M244" s="4" t="s">
        <v>36</v>
      </c>
      <c r="N244" s="4" t="str">
        <f t="shared" si="13"/>
        <v/>
      </c>
      <c r="O244" s="4" t="s">
        <v>40</v>
      </c>
      <c r="P244" s="4">
        <f>Setup!$C$13</f>
        <v>1200</v>
      </c>
      <c r="Q244" s="4" t="s">
        <v>37</v>
      </c>
      <c r="R244" s="4" t="str">
        <f t="shared" si="14"/>
        <v/>
      </c>
      <c r="S244" s="4" t="s">
        <v>41</v>
      </c>
      <c r="T244" s="4">
        <f>Setup!$C$14</f>
        <v>1200</v>
      </c>
      <c r="U244" s="4" t="str">
        <f t="shared" si="15"/>
        <v/>
      </c>
      <c r="V244" s="4"/>
    </row>
    <row r="245" spans="1:22" x14ac:dyDescent="0.25">
      <c r="A245" s="4"/>
      <c r="B245" s="4" t="str">
        <f>IFERROR(IF(A245&lt;&gt;"",VLOOKUP($A245,calculation!$A$10:$V$510,12),""),"")</f>
        <v/>
      </c>
      <c r="C245" s="4" t="str">
        <f>IFERROR(IF(A245&lt;&gt;"",VLOOKUP($A245,calculation!$A$10:$V$510,15),""),"")</f>
        <v/>
      </c>
      <c r="D245" s="4" t="str">
        <f>IFERROR(IF(A245&lt;&gt;"",VLOOKUP($A245,calculation!$A$10:$V$510,22),""),"")</f>
        <v/>
      </c>
      <c r="F245" s="4" t="s">
        <v>27</v>
      </c>
      <c r="G245" s="4">
        <f>MAX($G$9:G244)+1</f>
        <v>217</v>
      </c>
      <c r="H245" s="4" t="s">
        <v>34</v>
      </c>
      <c r="I245" s="4" t="s">
        <v>35</v>
      </c>
      <c r="J245" s="4" t="str">
        <f t="shared" si="12"/>
        <v/>
      </c>
      <c r="K245" s="4" t="s">
        <v>39</v>
      </c>
      <c r="L245" s="4">
        <f>Setup!$C$15</f>
        <v>1500</v>
      </c>
      <c r="M245" s="4" t="s">
        <v>36</v>
      </c>
      <c r="N245" s="4" t="str">
        <f t="shared" si="13"/>
        <v/>
      </c>
      <c r="O245" s="4" t="s">
        <v>40</v>
      </c>
      <c r="P245" s="4">
        <f>Setup!$C$13</f>
        <v>1200</v>
      </c>
      <c r="Q245" s="4" t="s">
        <v>37</v>
      </c>
      <c r="R245" s="4" t="str">
        <f t="shared" si="14"/>
        <v/>
      </c>
      <c r="S245" s="4" t="s">
        <v>41</v>
      </c>
      <c r="T245" s="4">
        <f>Setup!$C$14</f>
        <v>1200</v>
      </c>
      <c r="U245" s="4" t="str">
        <f t="shared" si="15"/>
        <v/>
      </c>
      <c r="V245" s="4"/>
    </row>
    <row r="246" spans="1:22" x14ac:dyDescent="0.25">
      <c r="A246" s="4"/>
      <c r="B246" s="4" t="str">
        <f>IFERROR(IF(A246&lt;&gt;"",VLOOKUP($A246,calculation!$A$10:$V$510,12),""),"")</f>
        <v/>
      </c>
      <c r="C246" s="4" t="str">
        <f>IFERROR(IF(A246&lt;&gt;"",VLOOKUP($A246,calculation!$A$10:$V$510,15),""),"")</f>
        <v/>
      </c>
      <c r="D246" s="4" t="str">
        <f>IFERROR(IF(A246&lt;&gt;"",VLOOKUP($A246,calculation!$A$10:$V$510,22),""),"")</f>
        <v/>
      </c>
      <c r="F246" s="4" t="s">
        <v>27</v>
      </c>
      <c r="G246" s="4">
        <f>MAX($G$9:G245)+1</f>
        <v>218</v>
      </c>
      <c r="H246" s="4" t="s">
        <v>34</v>
      </c>
      <c r="I246" s="4" t="s">
        <v>35</v>
      </c>
      <c r="J246" s="4" t="str">
        <f t="shared" si="12"/>
        <v/>
      </c>
      <c r="K246" s="4" t="s">
        <v>39</v>
      </c>
      <c r="L246" s="4">
        <f>Setup!$C$15</f>
        <v>1500</v>
      </c>
      <c r="M246" s="4" t="s">
        <v>36</v>
      </c>
      <c r="N246" s="4" t="str">
        <f t="shared" si="13"/>
        <v/>
      </c>
      <c r="O246" s="4" t="s">
        <v>40</v>
      </c>
      <c r="P246" s="4">
        <f>Setup!$C$13</f>
        <v>1200</v>
      </c>
      <c r="Q246" s="4" t="s">
        <v>37</v>
      </c>
      <c r="R246" s="4" t="str">
        <f t="shared" si="14"/>
        <v/>
      </c>
      <c r="S246" s="4" t="s">
        <v>41</v>
      </c>
      <c r="T246" s="4">
        <f>Setup!$C$14</f>
        <v>1200</v>
      </c>
      <c r="U246" s="4" t="str">
        <f t="shared" si="15"/>
        <v/>
      </c>
      <c r="V246" s="4"/>
    </row>
    <row r="247" spans="1:22" x14ac:dyDescent="0.25">
      <c r="A247" s="4"/>
      <c r="B247" s="4" t="str">
        <f>IFERROR(IF(A247&lt;&gt;"",VLOOKUP($A247,calculation!$A$10:$V$510,12),""),"")</f>
        <v/>
      </c>
      <c r="C247" s="4" t="str">
        <f>IFERROR(IF(A247&lt;&gt;"",VLOOKUP($A247,calculation!$A$10:$V$510,15),""),"")</f>
        <v/>
      </c>
      <c r="D247" s="4" t="str">
        <f>IFERROR(IF(A247&lt;&gt;"",VLOOKUP($A247,calculation!$A$10:$V$510,22),""),"")</f>
        <v/>
      </c>
      <c r="F247" s="4" t="s">
        <v>27</v>
      </c>
      <c r="G247" s="4">
        <f>MAX($G$9:G246)+1</f>
        <v>219</v>
      </c>
      <c r="H247" s="4" t="s">
        <v>34</v>
      </c>
      <c r="I247" s="4" t="s">
        <v>35</v>
      </c>
      <c r="J247" s="4" t="str">
        <f t="shared" si="12"/>
        <v/>
      </c>
      <c r="K247" s="4" t="s">
        <v>39</v>
      </c>
      <c r="L247" s="4">
        <f>Setup!$C$15</f>
        <v>1500</v>
      </c>
      <c r="M247" s="4" t="s">
        <v>36</v>
      </c>
      <c r="N247" s="4" t="str">
        <f t="shared" si="13"/>
        <v/>
      </c>
      <c r="O247" s="4" t="s">
        <v>40</v>
      </c>
      <c r="P247" s="4">
        <f>Setup!$C$13</f>
        <v>1200</v>
      </c>
      <c r="Q247" s="4" t="s">
        <v>37</v>
      </c>
      <c r="R247" s="4" t="str">
        <f t="shared" si="14"/>
        <v/>
      </c>
      <c r="S247" s="4" t="s">
        <v>41</v>
      </c>
      <c r="T247" s="4">
        <f>Setup!$C$14</f>
        <v>1200</v>
      </c>
      <c r="U247" s="4" t="str">
        <f t="shared" si="15"/>
        <v/>
      </c>
      <c r="V247" s="4"/>
    </row>
    <row r="248" spans="1:22" x14ac:dyDescent="0.25">
      <c r="A248" s="4"/>
      <c r="B248" s="4" t="str">
        <f>IFERROR(IF(A248&lt;&gt;"",VLOOKUP($A248,calculation!$A$10:$V$510,12),""),"")</f>
        <v/>
      </c>
      <c r="C248" s="4" t="str">
        <f>IFERROR(IF(A248&lt;&gt;"",VLOOKUP($A248,calculation!$A$10:$V$510,15),""),"")</f>
        <v/>
      </c>
      <c r="D248" s="4" t="str">
        <f>IFERROR(IF(A248&lt;&gt;"",VLOOKUP($A248,calculation!$A$10:$V$510,22),""),"")</f>
        <v/>
      </c>
      <c r="F248" s="4" t="s">
        <v>27</v>
      </c>
      <c r="G248" s="4">
        <f>MAX($G$9:G247)+1</f>
        <v>220</v>
      </c>
      <c r="H248" s="4" t="s">
        <v>34</v>
      </c>
      <c r="I248" s="4" t="s">
        <v>35</v>
      </c>
      <c r="J248" s="4" t="str">
        <f t="shared" si="12"/>
        <v/>
      </c>
      <c r="K248" s="4" t="s">
        <v>39</v>
      </c>
      <c r="L248" s="4">
        <f>Setup!$C$15</f>
        <v>1500</v>
      </c>
      <c r="M248" s="4" t="s">
        <v>36</v>
      </c>
      <c r="N248" s="4" t="str">
        <f t="shared" si="13"/>
        <v/>
      </c>
      <c r="O248" s="4" t="s">
        <v>40</v>
      </c>
      <c r="P248" s="4">
        <f>Setup!$C$13</f>
        <v>1200</v>
      </c>
      <c r="Q248" s="4" t="s">
        <v>37</v>
      </c>
      <c r="R248" s="4" t="str">
        <f t="shared" si="14"/>
        <v/>
      </c>
      <c r="S248" s="4" t="s">
        <v>41</v>
      </c>
      <c r="T248" s="4">
        <f>Setup!$C$14</f>
        <v>1200</v>
      </c>
      <c r="U248" s="4" t="str">
        <f t="shared" si="15"/>
        <v/>
      </c>
      <c r="V248" s="4"/>
    </row>
    <row r="249" spans="1:22" x14ac:dyDescent="0.25">
      <c r="A249" s="4"/>
      <c r="B249" s="4" t="str">
        <f>IFERROR(IF(A249&lt;&gt;"",VLOOKUP($A249,calculation!$A$10:$V$510,12),""),"")</f>
        <v/>
      </c>
      <c r="C249" s="4" t="str">
        <f>IFERROR(IF(A249&lt;&gt;"",VLOOKUP($A249,calculation!$A$10:$V$510,15),""),"")</f>
        <v/>
      </c>
      <c r="D249" s="4" t="str">
        <f>IFERROR(IF(A249&lt;&gt;"",VLOOKUP($A249,calculation!$A$10:$V$510,22),""),"")</f>
        <v/>
      </c>
      <c r="F249" s="4" t="s">
        <v>27</v>
      </c>
      <c r="G249" s="4">
        <f>MAX($G$9:G248)+1</f>
        <v>221</v>
      </c>
      <c r="H249" s="4" t="s">
        <v>34</v>
      </c>
      <c r="I249" s="4" t="s">
        <v>35</v>
      </c>
      <c r="J249" s="4" t="str">
        <f t="shared" si="12"/>
        <v/>
      </c>
      <c r="K249" s="4" t="s">
        <v>39</v>
      </c>
      <c r="L249" s="4">
        <f>Setup!$C$15</f>
        <v>1500</v>
      </c>
      <c r="M249" s="4" t="s">
        <v>36</v>
      </c>
      <c r="N249" s="4" t="str">
        <f t="shared" si="13"/>
        <v/>
      </c>
      <c r="O249" s="4" t="s">
        <v>40</v>
      </c>
      <c r="P249" s="4">
        <f>Setup!$C$13</f>
        <v>1200</v>
      </c>
      <c r="Q249" s="4" t="s">
        <v>37</v>
      </c>
      <c r="R249" s="4" t="str">
        <f t="shared" si="14"/>
        <v/>
      </c>
      <c r="S249" s="4" t="s">
        <v>41</v>
      </c>
      <c r="T249" s="4">
        <f>Setup!$C$14</f>
        <v>1200</v>
      </c>
      <c r="U249" s="4" t="str">
        <f t="shared" si="15"/>
        <v/>
      </c>
      <c r="V249" s="4"/>
    </row>
    <row r="250" spans="1:22" x14ac:dyDescent="0.25">
      <c r="A250" s="4"/>
      <c r="B250" s="4" t="str">
        <f>IFERROR(IF(A250&lt;&gt;"",VLOOKUP($A250,calculation!$A$10:$V$510,12),""),"")</f>
        <v/>
      </c>
      <c r="C250" s="4" t="str">
        <f>IFERROR(IF(A250&lt;&gt;"",VLOOKUP($A250,calculation!$A$10:$V$510,15),""),"")</f>
        <v/>
      </c>
      <c r="D250" s="4" t="str">
        <f>IFERROR(IF(A250&lt;&gt;"",VLOOKUP($A250,calculation!$A$10:$V$510,22),""),"")</f>
        <v/>
      </c>
      <c r="F250" s="4" t="s">
        <v>27</v>
      </c>
      <c r="G250" s="4">
        <f>MAX($G$9:G249)+1</f>
        <v>222</v>
      </c>
      <c r="H250" s="4" t="s">
        <v>34</v>
      </c>
      <c r="I250" s="4" t="s">
        <v>35</v>
      </c>
      <c r="J250" s="4" t="str">
        <f t="shared" si="12"/>
        <v/>
      </c>
      <c r="K250" s="4" t="s">
        <v>39</v>
      </c>
      <c r="L250" s="4">
        <f>Setup!$C$15</f>
        <v>1500</v>
      </c>
      <c r="M250" s="4" t="s">
        <v>36</v>
      </c>
      <c r="N250" s="4" t="str">
        <f t="shared" si="13"/>
        <v/>
      </c>
      <c r="O250" s="4" t="s">
        <v>40</v>
      </c>
      <c r="P250" s="4">
        <f>Setup!$C$13</f>
        <v>1200</v>
      </c>
      <c r="Q250" s="4" t="s">
        <v>37</v>
      </c>
      <c r="R250" s="4" t="str">
        <f t="shared" si="14"/>
        <v/>
      </c>
      <c r="S250" s="4" t="s">
        <v>41</v>
      </c>
      <c r="T250" s="4">
        <f>Setup!$C$14</f>
        <v>1200</v>
      </c>
      <c r="U250" s="4" t="str">
        <f t="shared" si="15"/>
        <v/>
      </c>
      <c r="V250" s="4"/>
    </row>
    <row r="251" spans="1:22" x14ac:dyDescent="0.25">
      <c r="A251" s="4"/>
      <c r="B251" s="4" t="str">
        <f>IFERROR(IF(A251&lt;&gt;"",VLOOKUP($A251,calculation!$A$10:$V$510,12),""),"")</f>
        <v/>
      </c>
      <c r="C251" s="4" t="str">
        <f>IFERROR(IF(A251&lt;&gt;"",VLOOKUP($A251,calculation!$A$10:$V$510,15),""),"")</f>
        <v/>
      </c>
      <c r="D251" s="4" t="str">
        <f>IFERROR(IF(A251&lt;&gt;"",VLOOKUP($A251,calculation!$A$10:$V$510,22),""),"")</f>
        <v/>
      </c>
      <c r="F251" s="4" t="s">
        <v>27</v>
      </c>
      <c r="G251" s="4">
        <f>MAX($G$9:G250)+1</f>
        <v>223</v>
      </c>
      <c r="H251" s="4" t="s">
        <v>34</v>
      </c>
      <c r="I251" s="4" t="s">
        <v>35</v>
      </c>
      <c r="J251" s="4" t="str">
        <f t="shared" si="12"/>
        <v/>
      </c>
      <c r="K251" s="4" t="s">
        <v>39</v>
      </c>
      <c r="L251" s="4">
        <f>Setup!$C$15</f>
        <v>1500</v>
      </c>
      <c r="M251" s="4" t="s">
        <v>36</v>
      </c>
      <c r="N251" s="4" t="str">
        <f t="shared" si="13"/>
        <v/>
      </c>
      <c r="O251" s="4" t="s">
        <v>40</v>
      </c>
      <c r="P251" s="4">
        <f>Setup!$C$13</f>
        <v>1200</v>
      </c>
      <c r="Q251" s="4" t="s">
        <v>37</v>
      </c>
      <c r="R251" s="4" t="str">
        <f t="shared" si="14"/>
        <v/>
      </c>
      <c r="S251" s="4" t="s">
        <v>41</v>
      </c>
      <c r="T251" s="4">
        <f>Setup!$C$14</f>
        <v>1200</v>
      </c>
      <c r="U251" s="4" t="str">
        <f t="shared" si="15"/>
        <v/>
      </c>
      <c r="V251" s="4"/>
    </row>
    <row r="252" spans="1:22" x14ac:dyDescent="0.25">
      <c r="A252" s="4"/>
      <c r="B252" s="4" t="str">
        <f>IFERROR(IF(A252&lt;&gt;"",VLOOKUP($A252,calculation!$A$10:$V$510,12),""),"")</f>
        <v/>
      </c>
      <c r="C252" s="4" t="str">
        <f>IFERROR(IF(A252&lt;&gt;"",VLOOKUP($A252,calculation!$A$10:$V$510,15),""),"")</f>
        <v/>
      </c>
      <c r="D252" s="4" t="str">
        <f>IFERROR(IF(A252&lt;&gt;"",VLOOKUP($A252,calculation!$A$10:$V$510,22),""),"")</f>
        <v/>
      </c>
      <c r="F252" s="4" t="s">
        <v>27</v>
      </c>
      <c r="G252" s="4">
        <f>MAX($G$9:G251)+1</f>
        <v>224</v>
      </c>
      <c r="H252" s="4" t="s">
        <v>34</v>
      </c>
      <c r="I252" s="4" t="s">
        <v>35</v>
      </c>
      <c r="J252" s="4" t="str">
        <f t="shared" si="12"/>
        <v/>
      </c>
      <c r="K252" s="4" t="s">
        <v>39</v>
      </c>
      <c r="L252" s="4">
        <f>Setup!$C$15</f>
        <v>1500</v>
      </c>
      <c r="M252" s="4" t="s">
        <v>36</v>
      </c>
      <c r="N252" s="4" t="str">
        <f t="shared" si="13"/>
        <v/>
      </c>
      <c r="O252" s="4" t="s">
        <v>40</v>
      </c>
      <c r="P252" s="4">
        <f>Setup!$C$13</f>
        <v>1200</v>
      </c>
      <c r="Q252" s="4" t="s">
        <v>37</v>
      </c>
      <c r="R252" s="4" t="str">
        <f t="shared" si="14"/>
        <v/>
      </c>
      <c r="S252" s="4" t="s">
        <v>41</v>
      </c>
      <c r="T252" s="4">
        <f>Setup!$C$14</f>
        <v>1200</v>
      </c>
      <c r="U252" s="4" t="str">
        <f t="shared" si="15"/>
        <v/>
      </c>
      <c r="V252" s="4"/>
    </row>
    <row r="253" spans="1:22" x14ac:dyDescent="0.25">
      <c r="A253" s="4"/>
      <c r="B253" s="4" t="str">
        <f>IFERROR(IF(A253&lt;&gt;"",VLOOKUP($A253,calculation!$A$10:$V$510,12),""),"")</f>
        <v/>
      </c>
      <c r="C253" s="4" t="str">
        <f>IFERROR(IF(A253&lt;&gt;"",VLOOKUP($A253,calculation!$A$10:$V$510,15),""),"")</f>
        <v/>
      </c>
      <c r="D253" s="4" t="str">
        <f>IFERROR(IF(A253&lt;&gt;"",VLOOKUP($A253,calculation!$A$10:$V$510,22),""),"")</f>
        <v/>
      </c>
      <c r="F253" s="4" t="s">
        <v>27</v>
      </c>
      <c r="G253" s="4">
        <f>MAX($G$9:G252)+1</f>
        <v>225</v>
      </c>
      <c r="H253" s="4" t="s">
        <v>34</v>
      </c>
      <c r="I253" s="4" t="s">
        <v>35</v>
      </c>
      <c r="J253" s="4" t="str">
        <f t="shared" si="12"/>
        <v/>
      </c>
      <c r="K253" s="4" t="s">
        <v>39</v>
      </c>
      <c r="L253" s="4">
        <f>Setup!$C$15</f>
        <v>1500</v>
      </c>
      <c r="M253" s="4" t="s">
        <v>36</v>
      </c>
      <c r="N253" s="4" t="str">
        <f t="shared" si="13"/>
        <v/>
      </c>
      <c r="O253" s="4" t="s">
        <v>40</v>
      </c>
      <c r="P253" s="4">
        <f>Setup!$C$13</f>
        <v>1200</v>
      </c>
      <c r="Q253" s="4" t="s">
        <v>37</v>
      </c>
      <c r="R253" s="4" t="str">
        <f t="shared" si="14"/>
        <v/>
      </c>
      <c r="S253" s="4" t="s">
        <v>41</v>
      </c>
      <c r="T253" s="4">
        <f>Setup!$C$14</f>
        <v>1200</v>
      </c>
      <c r="U253" s="4" t="str">
        <f t="shared" si="15"/>
        <v/>
      </c>
      <c r="V253" s="4"/>
    </row>
    <row r="254" spans="1:22" x14ac:dyDescent="0.25">
      <c r="A254" s="4"/>
      <c r="B254" s="4" t="str">
        <f>IFERROR(IF(A254&lt;&gt;"",VLOOKUP($A254,calculation!$A$10:$V$510,12),""),"")</f>
        <v/>
      </c>
      <c r="C254" s="4" t="str">
        <f>IFERROR(IF(A254&lt;&gt;"",VLOOKUP($A254,calculation!$A$10:$V$510,15),""),"")</f>
        <v/>
      </c>
      <c r="D254" s="4" t="str">
        <f>IFERROR(IF(A254&lt;&gt;"",VLOOKUP($A254,calculation!$A$10:$V$510,22),""),"")</f>
        <v/>
      </c>
      <c r="F254" s="4" t="s">
        <v>27</v>
      </c>
      <c r="G254" s="4">
        <f>MAX($G$9:G253)+1</f>
        <v>226</v>
      </c>
      <c r="H254" s="4" t="s">
        <v>34</v>
      </c>
      <c r="I254" s="4" t="s">
        <v>35</v>
      </c>
      <c r="J254" s="4" t="str">
        <f t="shared" si="12"/>
        <v/>
      </c>
      <c r="K254" s="4" t="s">
        <v>39</v>
      </c>
      <c r="L254" s="4">
        <f>Setup!$C$15</f>
        <v>1500</v>
      </c>
      <c r="M254" s="4" t="s">
        <v>36</v>
      </c>
      <c r="N254" s="4" t="str">
        <f t="shared" si="13"/>
        <v/>
      </c>
      <c r="O254" s="4" t="s">
        <v>40</v>
      </c>
      <c r="P254" s="4">
        <f>Setup!$C$13</f>
        <v>1200</v>
      </c>
      <c r="Q254" s="4" t="s">
        <v>37</v>
      </c>
      <c r="R254" s="4" t="str">
        <f t="shared" si="14"/>
        <v/>
      </c>
      <c r="S254" s="4" t="s">
        <v>41</v>
      </c>
      <c r="T254" s="4">
        <f>Setup!$C$14</f>
        <v>1200</v>
      </c>
      <c r="U254" s="4" t="str">
        <f t="shared" si="15"/>
        <v/>
      </c>
      <c r="V254" s="4"/>
    </row>
    <row r="255" spans="1:22" x14ac:dyDescent="0.25">
      <c r="A255" s="4"/>
      <c r="B255" s="4" t="str">
        <f>IFERROR(IF(A255&lt;&gt;"",VLOOKUP($A255,calculation!$A$10:$V$510,12),""),"")</f>
        <v/>
      </c>
      <c r="C255" s="4" t="str">
        <f>IFERROR(IF(A255&lt;&gt;"",VLOOKUP($A255,calculation!$A$10:$V$510,15),""),"")</f>
        <v/>
      </c>
      <c r="D255" s="4" t="str">
        <f>IFERROR(IF(A255&lt;&gt;"",VLOOKUP($A255,calculation!$A$10:$V$510,22),""),"")</f>
        <v/>
      </c>
      <c r="F255" s="4" t="s">
        <v>27</v>
      </c>
      <c r="G255" s="4">
        <f>MAX($G$9:G254)+1</f>
        <v>227</v>
      </c>
      <c r="H255" s="4" t="s">
        <v>34</v>
      </c>
      <c r="I255" s="4" t="s">
        <v>35</v>
      </c>
      <c r="J255" s="4" t="str">
        <f t="shared" si="12"/>
        <v/>
      </c>
      <c r="K255" s="4" t="s">
        <v>39</v>
      </c>
      <c r="L255" s="4">
        <f>Setup!$C$15</f>
        <v>1500</v>
      </c>
      <c r="M255" s="4" t="s">
        <v>36</v>
      </c>
      <c r="N255" s="4" t="str">
        <f t="shared" si="13"/>
        <v/>
      </c>
      <c r="O255" s="4" t="s">
        <v>40</v>
      </c>
      <c r="P255" s="4">
        <f>Setup!$C$13</f>
        <v>1200</v>
      </c>
      <c r="Q255" s="4" t="s">
        <v>37</v>
      </c>
      <c r="R255" s="4" t="str">
        <f t="shared" si="14"/>
        <v/>
      </c>
      <c r="S255" s="4" t="s">
        <v>41</v>
      </c>
      <c r="T255" s="4">
        <f>Setup!$C$14</f>
        <v>1200</v>
      </c>
      <c r="U255" s="4" t="str">
        <f t="shared" si="15"/>
        <v/>
      </c>
      <c r="V255" s="4"/>
    </row>
    <row r="256" spans="1:22" x14ac:dyDescent="0.25">
      <c r="A256" s="4"/>
      <c r="B256" s="4" t="str">
        <f>IFERROR(IF(A256&lt;&gt;"",VLOOKUP($A256,calculation!$A$10:$V$510,12),""),"")</f>
        <v/>
      </c>
      <c r="C256" s="4" t="str">
        <f>IFERROR(IF(A256&lt;&gt;"",VLOOKUP($A256,calculation!$A$10:$V$510,15),""),"")</f>
        <v/>
      </c>
      <c r="D256" s="4" t="str">
        <f>IFERROR(IF(A256&lt;&gt;"",VLOOKUP($A256,calculation!$A$10:$V$510,22),""),"")</f>
        <v/>
      </c>
      <c r="F256" s="4" t="s">
        <v>27</v>
      </c>
      <c r="G256" s="4">
        <f>MAX($G$9:G255)+1</f>
        <v>228</v>
      </c>
      <c r="H256" s="4" t="s">
        <v>34</v>
      </c>
      <c r="I256" s="4" t="s">
        <v>35</v>
      </c>
      <c r="J256" s="4" t="str">
        <f t="shared" si="12"/>
        <v/>
      </c>
      <c r="K256" s="4" t="s">
        <v>39</v>
      </c>
      <c r="L256" s="4">
        <f>Setup!$C$15</f>
        <v>1500</v>
      </c>
      <c r="M256" s="4" t="s">
        <v>36</v>
      </c>
      <c r="N256" s="4" t="str">
        <f t="shared" si="13"/>
        <v/>
      </c>
      <c r="O256" s="4" t="s">
        <v>40</v>
      </c>
      <c r="P256" s="4">
        <f>Setup!$C$13</f>
        <v>1200</v>
      </c>
      <c r="Q256" s="4" t="s">
        <v>37</v>
      </c>
      <c r="R256" s="4" t="str">
        <f t="shared" si="14"/>
        <v/>
      </c>
      <c r="S256" s="4" t="s">
        <v>41</v>
      </c>
      <c r="T256" s="4">
        <f>Setup!$C$14</f>
        <v>1200</v>
      </c>
      <c r="U256" s="4" t="str">
        <f t="shared" si="15"/>
        <v/>
      </c>
      <c r="V256" s="4"/>
    </row>
    <row r="257" spans="1:22" x14ac:dyDescent="0.25">
      <c r="A257" s="4"/>
      <c r="B257" s="4" t="str">
        <f>IFERROR(IF(A257&lt;&gt;"",VLOOKUP($A257,calculation!$A$10:$V$510,12),""),"")</f>
        <v/>
      </c>
      <c r="C257" s="4" t="str">
        <f>IFERROR(IF(A257&lt;&gt;"",VLOOKUP($A257,calculation!$A$10:$V$510,15),""),"")</f>
        <v/>
      </c>
      <c r="D257" s="4" t="str">
        <f>IFERROR(IF(A257&lt;&gt;"",VLOOKUP($A257,calculation!$A$10:$V$510,22),""),"")</f>
        <v/>
      </c>
      <c r="F257" s="4" t="s">
        <v>27</v>
      </c>
      <c r="G257" s="4">
        <f>MAX($G$9:G256)+1</f>
        <v>229</v>
      </c>
      <c r="H257" s="4" t="s">
        <v>34</v>
      </c>
      <c r="I257" s="4" t="s">
        <v>35</v>
      </c>
      <c r="J257" s="4" t="str">
        <f t="shared" si="12"/>
        <v/>
      </c>
      <c r="K257" s="4" t="s">
        <v>39</v>
      </c>
      <c r="L257" s="4">
        <f>Setup!$C$15</f>
        <v>1500</v>
      </c>
      <c r="M257" s="4" t="s">
        <v>36</v>
      </c>
      <c r="N257" s="4" t="str">
        <f t="shared" si="13"/>
        <v/>
      </c>
      <c r="O257" s="4" t="s">
        <v>40</v>
      </c>
      <c r="P257" s="4">
        <f>Setup!$C$13</f>
        <v>1200</v>
      </c>
      <c r="Q257" s="4" t="s">
        <v>37</v>
      </c>
      <c r="R257" s="4" t="str">
        <f t="shared" si="14"/>
        <v/>
      </c>
      <c r="S257" s="4" t="s">
        <v>41</v>
      </c>
      <c r="T257" s="4">
        <f>Setup!$C$14</f>
        <v>1200</v>
      </c>
      <c r="U257" s="4" t="str">
        <f t="shared" si="15"/>
        <v/>
      </c>
      <c r="V257" s="4"/>
    </row>
    <row r="258" spans="1:22" x14ac:dyDescent="0.25">
      <c r="A258" s="4"/>
      <c r="B258" s="4" t="str">
        <f>IFERROR(IF(A258&lt;&gt;"",VLOOKUP($A258,calculation!$A$10:$V$510,12),""),"")</f>
        <v/>
      </c>
      <c r="C258" s="4" t="str">
        <f>IFERROR(IF(A258&lt;&gt;"",VLOOKUP($A258,calculation!$A$10:$V$510,15),""),"")</f>
        <v/>
      </c>
      <c r="D258" s="4" t="str">
        <f>IFERROR(IF(A258&lt;&gt;"",VLOOKUP($A258,calculation!$A$10:$V$510,22),""),"")</f>
        <v/>
      </c>
      <c r="F258" s="4" t="s">
        <v>27</v>
      </c>
      <c r="G258" s="4">
        <f>MAX($G$9:G257)+1</f>
        <v>230</v>
      </c>
      <c r="H258" s="4" t="s">
        <v>34</v>
      </c>
      <c r="I258" s="4" t="s">
        <v>35</v>
      </c>
      <c r="J258" s="4" t="str">
        <f t="shared" si="12"/>
        <v/>
      </c>
      <c r="K258" s="4" t="s">
        <v>39</v>
      </c>
      <c r="L258" s="4">
        <f>Setup!$C$15</f>
        <v>1500</v>
      </c>
      <c r="M258" s="4" t="s">
        <v>36</v>
      </c>
      <c r="N258" s="4" t="str">
        <f t="shared" si="13"/>
        <v/>
      </c>
      <c r="O258" s="4" t="s">
        <v>40</v>
      </c>
      <c r="P258" s="4">
        <f>Setup!$C$13</f>
        <v>1200</v>
      </c>
      <c r="Q258" s="4" t="s">
        <v>37</v>
      </c>
      <c r="R258" s="4" t="str">
        <f t="shared" si="14"/>
        <v/>
      </c>
      <c r="S258" s="4" t="s">
        <v>41</v>
      </c>
      <c r="T258" s="4">
        <f>Setup!$C$14</f>
        <v>1200</v>
      </c>
      <c r="U258" s="4" t="str">
        <f t="shared" si="15"/>
        <v/>
      </c>
      <c r="V258" s="4"/>
    </row>
    <row r="259" spans="1:22" x14ac:dyDescent="0.25">
      <c r="A259" s="4"/>
      <c r="B259" s="4" t="str">
        <f>IFERROR(IF(A259&lt;&gt;"",VLOOKUP($A259,calculation!$A$10:$V$510,12),""),"")</f>
        <v/>
      </c>
      <c r="C259" s="4" t="str">
        <f>IFERROR(IF(A259&lt;&gt;"",VLOOKUP($A259,calculation!$A$10:$V$510,15),""),"")</f>
        <v/>
      </c>
      <c r="D259" s="4" t="str">
        <f>IFERROR(IF(A259&lt;&gt;"",VLOOKUP($A259,calculation!$A$10:$V$510,22),""),"")</f>
        <v/>
      </c>
      <c r="F259" s="4" t="s">
        <v>27</v>
      </c>
      <c r="G259" s="4">
        <f>MAX($G$9:G258)+1</f>
        <v>231</v>
      </c>
      <c r="H259" s="4" t="s">
        <v>34</v>
      </c>
      <c r="I259" s="4" t="s">
        <v>35</v>
      </c>
      <c r="J259" s="4" t="str">
        <f t="shared" si="12"/>
        <v/>
      </c>
      <c r="K259" s="4" t="s">
        <v>39</v>
      </c>
      <c r="L259" s="4">
        <f>Setup!$C$15</f>
        <v>1500</v>
      </c>
      <c r="M259" s="4" t="s">
        <v>36</v>
      </c>
      <c r="N259" s="4" t="str">
        <f t="shared" si="13"/>
        <v/>
      </c>
      <c r="O259" s="4" t="s">
        <v>40</v>
      </c>
      <c r="P259" s="4">
        <f>Setup!$C$13</f>
        <v>1200</v>
      </c>
      <c r="Q259" s="4" t="s">
        <v>37</v>
      </c>
      <c r="R259" s="4" t="str">
        <f t="shared" si="14"/>
        <v/>
      </c>
      <c r="S259" s="4" t="s">
        <v>41</v>
      </c>
      <c r="T259" s="4">
        <f>Setup!$C$14</f>
        <v>1200</v>
      </c>
      <c r="U259" s="4" t="str">
        <f t="shared" si="15"/>
        <v/>
      </c>
      <c r="V259" s="4"/>
    </row>
    <row r="260" spans="1:22" x14ac:dyDescent="0.25">
      <c r="A260" s="4"/>
      <c r="B260" s="4" t="str">
        <f>IFERROR(IF(A260&lt;&gt;"",VLOOKUP($A260,calculation!$A$10:$V$510,12),""),"")</f>
        <v/>
      </c>
      <c r="C260" s="4" t="str">
        <f>IFERROR(IF(A260&lt;&gt;"",VLOOKUP($A260,calculation!$A$10:$V$510,15),""),"")</f>
        <v/>
      </c>
      <c r="D260" s="4" t="str">
        <f>IFERROR(IF(A260&lt;&gt;"",VLOOKUP($A260,calculation!$A$10:$V$510,22),""),"")</f>
        <v/>
      </c>
      <c r="F260" s="4" t="s">
        <v>27</v>
      </c>
      <c r="G260" s="4">
        <f>MAX($G$9:G259)+1</f>
        <v>232</v>
      </c>
      <c r="H260" s="4" t="s">
        <v>34</v>
      </c>
      <c r="I260" s="4" t="s">
        <v>35</v>
      </c>
      <c r="J260" s="4" t="str">
        <f t="shared" si="12"/>
        <v/>
      </c>
      <c r="K260" s="4" t="s">
        <v>39</v>
      </c>
      <c r="L260" s="4">
        <f>Setup!$C$15</f>
        <v>1500</v>
      </c>
      <c r="M260" s="4" t="s">
        <v>36</v>
      </c>
      <c r="N260" s="4" t="str">
        <f t="shared" si="13"/>
        <v/>
      </c>
      <c r="O260" s="4" t="s">
        <v>40</v>
      </c>
      <c r="P260" s="4">
        <f>Setup!$C$13</f>
        <v>1200</v>
      </c>
      <c r="Q260" s="4" t="s">
        <v>37</v>
      </c>
      <c r="R260" s="4" t="str">
        <f t="shared" si="14"/>
        <v/>
      </c>
      <c r="S260" s="4" t="s">
        <v>41</v>
      </c>
      <c r="T260" s="4">
        <f>Setup!$C$14</f>
        <v>1200</v>
      </c>
      <c r="U260" s="4" t="str">
        <f t="shared" si="15"/>
        <v/>
      </c>
      <c r="V260" s="4"/>
    </row>
    <row r="261" spans="1:22" x14ac:dyDescent="0.25">
      <c r="A261" s="4"/>
      <c r="B261" s="4" t="str">
        <f>IFERROR(IF(A261&lt;&gt;"",VLOOKUP($A261,calculation!$A$10:$V$510,12),""),"")</f>
        <v/>
      </c>
      <c r="C261" s="4" t="str">
        <f>IFERROR(IF(A261&lt;&gt;"",VLOOKUP($A261,calculation!$A$10:$V$510,15),""),"")</f>
        <v/>
      </c>
      <c r="D261" s="4" t="str">
        <f>IFERROR(IF(A261&lt;&gt;"",VLOOKUP($A261,calculation!$A$10:$V$510,22),""),"")</f>
        <v/>
      </c>
      <c r="F261" s="4" t="s">
        <v>27</v>
      </c>
      <c r="G261" s="4">
        <f>MAX($G$9:G260)+1</f>
        <v>233</v>
      </c>
      <c r="H261" s="4" t="s">
        <v>34</v>
      </c>
      <c r="I261" s="4" t="s">
        <v>35</v>
      </c>
      <c r="J261" s="4" t="str">
        <f t="shared" si="12"/>
        <v/>
      </c>
      <c r="K261" s="4" t="s">
        <v>39</v>
      </c>
      <c r="L261" s="4">
        <f>Setup!$C$15</f>
        <v>1500</v>
      </c>
      <c r="M261" s="4" t="s">
        <v>36</v>
      </c>
      <c r="N261" s="4" t="str">
        <f t="shared" si="13"/>
        <v/>
      </c>
      <c r="O261" s="4" t="s">
        <v>40</v>
      </c>
      <c r="P261" s="4">
        <f>Setup!$C$13</f>
        <v>1200</v>
      </c>
      <c r="Q261" s="4" t="s">
        <v>37</v>
      </c>
      <c r="R261" s="4" t="str">
        <f t="shared" si="14"/>
        <v/>
      </c>
      <c r="S261" s="4" t="s">
        <v>41</v>
      </c>
      <c r="T261" s="4">
        <f>Setup!$C$14</f>
        <v>1200</v>
      </c>
      <c r="U261" s="4" t="str">
        <f t="shared" si="15"/>
        <v/>
      </c>
      <c r="V261" s="4"/>
    </row>
    <row r="262" spans="1:22" x14ac:dyDescent="0.25">
      <c r="A262" s="4"/>
      <c r="B262" s="4" t="str">
        <f>IFERROR(IF(A262&lt;&gt;"",VLOOKUP($A262,calculation!$A$10:$V$510,12),""),"")</f>
        <v/>
      </c>
      <c r="C262" s="4" t="str">
        <f>IFERROR(IF(A262&lt;&gt;"",VLOOKUP($A262,calculation!$A$10:$V$510,15),""),"")</f>
        <v/>
      </c>
      <c r="D262" s="4" t="str">
        <f>IFERROR(IF(A262&lt;&gt;"",VLOOKUP($A262,calculation!$A$10:$V$510,22),""),"")</f>
        <v/>
      </c>
      <c r="F262" s="4" t="s">
        <v>27</v>
      </c>
      <c r="G262" s="4">
        <f>MAX($G$9:G261)+1</f>
        <v>234</v>
      </c>
      <c r="H262" s="4" t="s">
        <v>34</v>
      </c>
      <c r="I262" s="4" t="s">
        <v>35</v>
      </c>
      <c r="J262" s="4" t="str">
        <f t="shared" si="12"/>
        <v/>
      </c>
      <c r="K262" s="4" t="s">
        <v>39</v>
      </c>
      <c r="L262" s="4">
        <f>Setup!$C$15</f>
        <v>1500</v>
      </c>
      <c r="M262" s="4" t="s">
        <v>36</v>
      </c>
      <c r="N262" s="4" t="str">
        <f t="shared" si="13"/>
        <v/>
      </c>
      <c r="O262" s="4" t="s">
        <v>40</v>
      </c>
      <c r="P262" s="4">
        <f>Setup!$C$13</f>
        <v>1200</v>
      </c>
      <c r="Q262" s="4" t="s">
        <v>37</v>
      </c>
      <c r="R262" s="4" t="str">
        <f t="shared" si="14"/>
        <v/>
      </c>
      <c r="S262" s="4" t="s">
        <v>41</v>
      </c>
      <c r="T262" s="4">
        <f>Setup!$C$14</f>
        <v>1200</v>
      </c>
      <c r="U262" s="4" t="str">
        <f t="shared" si="15"/>
        <v/>
      </c>
      <c r="V262" s="4"/>
    </row>
    <row r="263" spans="1:22" x14ac:dyDescent="0.25">
      <c r="A263" s="4"/>
      <c r="B263" s="4" t="str">
        <f>IFERROR(IF(A263&lt;&gt;"",VLOOKUP($A263,calculation!$A$10:$V$510,12),""),"")</f>
        <v/>
      </c>
      <c r="C263" s="4" t="str">
        <f>IFERROR(IF(A263&lt;&gt;"",VLOOKUP($A263,calculation!$A$10:$V$510,15),""),"")</f>
        <v/>
      </c>
      <c r="D263" s="4" t="str">
        <f>IFERROR(IF(A263&lt;&gt;"",VLOOKUP($A263,calculation!$A$10:$V$510,22),""),"")</f>
        <v/>
      </c>
      <c r="F263" s="4" t="s">
        <v>27</v>
      </c>
      <c r="G263" s="4">
        <f>MAX($G$9:G262)+1</f>
        <v>235</v>
      </c>
      <c r="H263" s="4" t="s">
        <v>34</v>
      </c>
      <c r="I263" s="4" t="s">
        <v>35</v>
      </c>
      <c r="J263" s="4" t="str">
        <f t="shared" si="12"/>
        <v/>
      </c>
      <c r="K263" s="4" t="s">
        <v>39</v>
      </c>
      <c r="L263" s="4">
        <f>Setup!$C$15</f>
        <v>1500</v>
      </c>
      <c r="M263" s="4" t="s">
        <v>36</v>
      </c>
      <c r="N263" s="4" t="str">
        <f t="shared" si="13"/>
        <v/>
      </c>
      <c r="O263" s="4" t="s">
        <v>40</v>
      </c>
      <c r="P263" s="4">
        <f>Setup!$C$13</f>
        <v>1200</v>
      </c>
      <c r="Q263" s="4" t="s">
        <v>37</v>
      </c>
      <c r="R263" s="4" t="str">
        <f t="shared" si="14"/>
        <v/>
      </c>
      <c r="S263" s="4" t="s">
        <v>41</v>
      </c>
      <c r="T263" s="4">
        <f>Setup!$C$14</f>
        <v>1200</v>
      </c>
      <c r="U263" s="4" t="str">
        <f t="shared" si="15"/>
        <v/>
      </c>
      <c r="V263" s="4"/>
    </row>
    <row r="264" spans="1:22" x14ac:dyDescent="0.25">
      <c r="A264" s="4"/>
      <c r="B264" s="4" t="str">
        <f>IFERROR(IF(A264&lt;&gt;"",VLOOKUP($A264,calculation!$A$10:$V$510,12),""),"")</f>
        <v/>
      </c>
      <c r="C264" s="4" t="str">
        <f>IFERROR(IF(A264&lt;&gt;"",VLOOKUP($A264,calculation!$A$10:$V$510,15),""),"")</f>
        <v/>
      </c>
      <c r="D264" s="4" t="str">
        <f>IFERROR(IF(A264&lt;&gt;"",VLOOKUP($A264,calculation!$A$10:$V$510,22),""),"")</f>
        <v/>
      </c>
      <c r="F264" s="4" t="s">
        <v>27</v>
      </c>
      <c r="G264" s="4">
        <f>MAX($G$9:G263)+1</f>
        <v>236</v>
      </c>
      <c r="H264" s="4" t="s">
        <v>34</v>
      </c>
      <c r="I264" s="4" t="s">
        <v>35</v>
      </c>
      <c r="J264" s="4" t="str">
        <f t="shared" si="12"/>
        <v/>
      </c>
      <c r="K264" s="4" t="s">
        <v>39</v>
      </c>
      <c r="L264" s="4">
        <f>Setup!$C$15</f>
        <v>1500</v>
      </c>
      <c r="M264" s="4" t="s">
        <v>36</v>
      </c>
      <c r="N264" s="4" t="str">
        <f t="shared" si="13"/>
        <v/>
      </c>
      <c r="O264" s="4" t="s">
        <v>40</v>
      </c>
      <c r="P264" s="4">
        <f>Setup!$C$13</f>
        <v>1200</v>
      </c>
      <c r="Q264" s="4" t="s">
        <v>37</v>
      </c>
      <c r="R264" s="4" t="str">
        <f t="shared" si="14"/>
        <v/>
      </c>
      <c r="S264" s="4" t="s">
        <v>41</v>
      </c>
      <c r="T264" s="4">
        <f>Setup!$C$14</f>
        <v>1200</v>
      </c>
      <c r="U264" s="4" t="str">
        <f t="shared" si="15"/>
        <v/>
      </c>
      <c r="V264" s="4"/>
    </row>
    <row r="265" spans="1:22" x14ac:dyDescent="0.25">
      <c r="A265" s="4"/>
      <c r="B265" s="4" t="str">
        <f>IFERROR(IF(A265&lt;&gt;"",VLOOKUP($A265,calculation!$A$10:$V$510,12),""),"")</f>
        <v/>
      </c>
      <c r="C265" s="4" t="str">
        <f>IFERROR(IF(A265&lt;&gt;"",VLOOKUP($A265,calculation!$A$10:$V$510,15),""),"")</f>
        <v/>
      </c>
      <c r="D265" s="4" t="str">
        <f>IFERROR(IF(A265&lt;&gt;"",VLOOKUP($A265,calculation!$A$10:$V$510,22),""),"")</f>
        <v/>
      </c>
      <c r="F265" s="4" t="s">
        <v>27</v>
      </c>
      <c r="G265" s="4">
        <f>MAX($G$9:G264)+1</f>
        <v>237</v>
      </c>
      <c r="H265" s="4" t="s">
        <v>34</v>
      </c>
      <c r="I265" s="4" t="s">
        <v>35</v>
      </c>
      <c r="J265" s="4" t="str">
        <f t="shared" si="12"/>
        <v/>
      </c>
      <c r="K265" s="4" t="s">
        <v>39</v>
      </c>
      <c r="L265" s="4">
        <f>Setup!$C$15</f>
        <v>1500</v>
      </c>
      <c r="M265" s="4" t="s">
        <v>36</v>
      </c>
      <c r="N265" s="4" t="str">
        <f t="shared" si="13"/>
        <v/>
      </c>
      <c r="O265" s="4" t="s">
        <v>40</v>
      </c>
      <c r="P265" s="4">
        <f>Setup!$C$13</f>
        <v>1200</v>
      </c>
      <c r="Q265" s="4" t="s">
        <v>37</v>
      </c>
      <c r="R265" s="4" t="str">
        <f t="shared" si="14"/>
        <v/>
      </c>
      <c r="S265" s="4" t="s">
        <v>41</v>
      </c>
      <c r="T265" s="4">
        <f>Setup!$C$14</f>
        <v>1200</v>
      </c>
      <c r="U265" s="4" t="str">
        <f t="shared" si="15"/>
        <v/>
      </c>
      <c r="V265" s="4"/>
    </row>
    <row r="266" spans="1:22" x14ac:dyDescent="0.25">
      <c r="A266" s="4"/>
      <c r="B266" s="4" t="str">
        <f>IFERROR(IF(A266&lt;&gt;"",VLOOKUP($A266,calculation!$A$10:$V$510,12),""),"")</f>
        <v/>
      </c>
      <c r="C266" s="4" t="str">
        <f>IFERROR(IF(A266&lt;&gt;"",VLOOKUP($A266,calculation!$A$10:$V$510,15),""),"")</f>
        <v/>
      </c>
      <c r="D266" s="4" t="str">
        <f>IFERROR(IF(A266&lt;&gt;"",VLOOKUP($A266,calculation!$A$10:$V$510,22),""),"")</f>
        <v/>
      </c>
      <c r="F266" s="4" t="s">
        <v>27</v>
      </c>
      <c r="G266" s="4">
        <f>MAX($G$9:G265)+1</f>
        <v>238</v>
      </c>
      <c r="H266" s="4" t="s">
        <v>34</v>
      </c>
      <c r="I266" s="4" t="s">
        <v>35</v>
      </c>
      <c r="J266" s="4" t="str">
        <f t="shared" si="12"/>
        <v/>
      </c>
      <c r="K266" s="4" t="s">
        <v>39</v>
      </c>
      <c r="L266" s="4">
        <f>Setup!$C$15</f>
        <v>1500</v>
      </c>
      <c r="M266" s="4" t="s">
        <v>36</v>
      </c>
      <c r="N266" s="4" t="str">
        <f t="shared" si="13"/>
        <v/>
      </c>
      <c r="O266" s="4" t="s">
        <v>40</v>
      </c>
      <c r="P266" s="4">
        <f>Setup!$C$13</f>
        <v>1200</v>
      </c>
      <c r="Q266" s="4" t="s">
        <v>37</v>
      </c>
      <c r="R266" s="4" t="str">
        <f t="shared" si="14"/>
        <v/>
      </c>
      <c r="S266" s="4" t="s">
        <v>41</v>
      </c>
      <c r="T266" s="4">
        <f>Setup!$C$14</f>
        <v>1200</v>
      </c>
      <c r="U266" s="4" t="str">
        <f t="shared" si="15"/>
        <v/>
      </c>
      <c r="V266" s="4"/>
    </row>
    <row r="267" spans="1:22" x14ac:dyDescent="0.25">
      <c r="A267" s="4"/>
      <c r="B267" s="4" t="str">
        <f>IFERROR(IF(A267&lt;&gt;"",VLOOKUP($A267,calculation!$A$10:$V$510,12),""),"")</f>
        <v/>
      </c>
      <c r="C267" s="4" t="str">
        <f>IFERROR(IF(A267&lt;&gt;"",VLOOKUP($A267,calculation!$A$10:$V$510,15),""),"")</f>
        <v/>
      </c>
      <c r="D267" s="4" t="str">
        <f>IFERROR(IF(A267&lt;&gt;"",VLOOKUP($A267,calculation!$A$10:$V$510,22),""),"")</f>
        <v/>
      </c>
      <c r="F267" s="4" t="s">
        <v>27</v>
      </c>
      <c r="G267" s="4">
        <f>MAX($G$9:G266)+1</f>
        <v>239</v>
      </c>
      <c r="H267" s="4" t="s">
        <v>34</v>
      </c>
      <c r="I267" s="4" t="s">
        <v>35</v>
      </c>
      <c r="J267" s="4" t="str">
        <f t="shared" si="12"/>
        <v/>
      </c>
      <c r="K267" s="4" t="s">
        <v>39</v>
      </c>
      <c r="L267" s="4">
        <f>Setup!$C$15</f>
        <v>1500</v>
      </c>
      <c r="M267" s="4" t="s">
        <v>36</v>
      </c>
      <c r="N267" s="4" t="str">
        <f t="shared" si="13"/>
        <v/>
      </c>
      <c r="O267" s="4" t="s">
        <v>40</v>
      </c>
      <c r="P267" s="4">
        <f>Setup!$C$13</f>
        <v>1200</v>
      </c>
      <c r="Q267" s="4" t="s">
        <v>37</v>
      </c>
      <c r="R267" s="4" t="str">
        <f t="shared" si="14"/>
        <v/>
      </c>
      <c r="S267" s="4" t="s">
        <v>41</v>
      </c>
      <c r="T267" s="4">
        <f>Setup!$C$14</f>
        <v>1200</v>
      </c>
      <c r="U267" s="4" t="str">
        <f t="shared" si="15"/>
        <v/>
      </c>
      <c r="V267" s="4"/>
    </row>
    <row r="268" spans="1:22" x14ac:dyDescent="0.25">
      <c r="A268" s="4"/>
      <c r="B268" s="4" t="str">
        <f>IFERROR(IF(A268&lt;&gt;"",VLOOKUP($A268,calculation!$A$10:$V$510,12),""),"")</f>
        <v/>
      </c>
      <c r="C268" s="4" t="str">
        <f>IFERROR(IF(A268&lt;&gt;"",VLOOKUP($A268,calculation!$A$10:$V$510,15),""),"")</f>
        <v/>
      </c>
      <c r="D268" s="4" t="str">
        <f>IFERROR(IF(A268&lt;&gt;"",VLOOKUP($A268,calculation!$A$10:$V$510,22),""),"")</f>
        <v/>
      </c>
      <c r="F268" s="4" t="s">
        <v>27</v>
      </c>
      <c r="G268" s="4">
        <f>MAX($G$9:G267)+1</f>
        <v>240</v>
      </c>
      <c r="H268" s="4" t="s">
        <v>34</v>
      </c>
      <c r="I268" s="4" t="s">
        <v>35</v>
      </c>
      <c r="J268" s="4" t="str">
        <f t="shared" si="12"/>
        <v/>
      </c>
      <c r="K268" s="4" t="s">
        <v>39</v>
      </c>
      <c r="L268" s="4">
        <f>Setup!$C$15</f>
        <v>1500</v>
      </c>
      <c r="M268" s="4" t="s">
        <v>36</v>
      </c>
      <c r="N268" s="4" t="str">
        <f t="shared" si="13"/>
        <v/>
      </c>
      <c r="O268" s="4" t="s">
        <v>40</v>
      </c>
      <c r="P268" s="4">
        <f>Setup!$C$13</f>
        <v>1200</v>
      </c>
      <c r="Q268" s="4" t="s">
        <v>37</v>
      </c>
      <c r="R268" s="4" t="str">
        <f t="shared" si="14"/>
        <v/>
      </c>
      <c r="S268" s="4" t="s">
        <v>41</v>
      </c>
      <c r="T268" s="4">
        <f>Setup!$C$14</f>
        <v>1200</v>
      </c>
      <c r="U268" s="4" t="str">
        <f t="shared" si="15"/>
        <v/>
      </c>
      <c r="V268" s="4"/>
    </row>
    <row r="269" spans="1:22" x14ac:dyDescent="0.25">
      <c r="A269" s="4"/>
      <c r="B269" s="4" t="str">
        <f>IFERROR(IF(A269&lt;&gt;"",VLOOKUP($A269,calculation!$A$10:$V$510,12),""),"")</f>
        <v/>
      </c>
      <c r="C269" s="4" t="str">
        <f>IFERROR(IF(A269&lt;&gt;"",VLOOKUP($A269,calculation!$A$10:$V$510,15),""),"")</f>
        <v/>
      </c>
      <c r="D269" s="4" t="str">
        <f>IFERROR(IF(A269&lt;&gt;"",VLOOKUP($A269,calculation!$A$10:$V$510,22),""),"")</f>
        <v/>
      </c>
      <c r="F269" s="4" t="s">
        <v>27</v>
      </c>
      <c r="G269" s="4">
        <f>MAX($G$9:G268)+1</f>
        <v>241</v>
      </c>
      <c r="H269" s="4" t="s">
        <v>34</v>
      </c>
      <c r="I269" s="4" t="s">
        <v>35</v>
      </c>
      <c r="J269" s="4" t="str">
        <f t="shared" si="12"/>
        <v/>
      </c>
      <c r="K269" s="4" t="s">
        <v>39</v>
      </c>
      <c r="L269" s="4">
        <f>Setup!$C$15</f>
        <v>1500</v>
      </c>
      <c r="M269" s="4" t="s">
        <v>36</v>
      </c>
      <c r="N269" s="4" t="str">
        <f t="shared" si="13"/>
        <v/>
      </c>
      <c r="O269" s="4" t="s">
        <v>40</v>
      </c>
      <c r="P269" s="4">
        <f>Setup!$C$13</f>
        <v>1200</v>
      </c>
      <c r="Q269" s="4" t="s">
        <v>37</v>
      </c>
      <c r="R269" s="4" t="str">
        <f t="shared" si="14"/>
        <v/>
      </c>
      <c r="S269" s="4" t="s">
        <v>41</v>
      </c>
      <c r="T269" s="4">
        <f>Setup!$C$14</f>
        <v>1200</v>
      </c>
      <c r="U269" s="4" t="str">
        <f t="shared" si="15"/>
        <v/>
      </c>
      <c r="V269" s="4"/>
    </row>
    <row r="270" spans="1:22" x14ac:dyDescent="0.25">
      <c r="A270" s="4"/>
      <c r="B270" s="4" t="str">
        <f>IFERROR(IF(A270&lt;&gt;"",VLOOKUP($A270,calculation!$A$10:$V$510,12),""),"")</f>
        <v/>
      </c>
      <c r="C270" s="4" t="str">
        <f>IFERROR(IF(A270&lt;&gt;"",VLOOKUP($A270,calculation!$A$10:$V$510,15),""),"")</f>
        <v/>
      </c>
      <c r="D270" s="4" t="str">
        <f>IFERROR(IF(A270&lt;&gt;"",VLOOKUP($A270,calculation!$A$10:$V$510,22),""),"")</f>
        <v/>
      </c>
      <c r="F270" s="4" t="s">
        <v>27</v>
      </c>
      <c r="G270" s="4">
        <f>MAX($G$9:G269)+1</f>
        <v>242</v>
      </c>
      <c r="H270" s="4" t="s">
        <v>34</v>
      </c>
      <c r="I270" s="4" t="s">
        <v>35</v>
      </c>
      <c r="J270" s="4" t="str">
        <f t="shared" si="12"/>
        <v/>
      </c>
      <c r="K270" s="4" t="s">
        <v>39</v>
      </c>
      <c r="L270" s="4">
        <f>Setup!$C$15</f>
        <v>1500</v>
      </c>
      <c r="M270" s="4" t="s">
        <v>36</v>
      </c>
      <c r="N270" s="4" t="str">
        <f t="shared" si="13"/>
        <v/>
      </c>
      <c r="O270" s="4" t="s">
        <v>40</v>
      </c>
      <c r="P270" s="4">
        <f>Setup!$C$13</f>
        <v>1200</v>
      </c>
      <c r="Q270" s="4" t="s">
        <v>37</v>
      </c>
      <c r="R270" s="4" t="str">
        <f t="shared" si="14"/>
        <v/>
      </c>
      <c r="S270" s="4" t="s">
        <v>41</v>
      </c>
      <c r="T270" s="4">
        <f>Setup!$C$14</f>
        <v>1200</v>
      </c>
      <c r="U270" s="4" t="str">
        <f t="shared" si="15"/>
        <v/>
      </c>
      <c r="V270" s="4"/>
    </row>
    <row r="271" spans="1:22" x14ac:dyDescent="0.25">
      <c r="A271" s="4"/>
      <c r="B271" s="4" t="str">
        <f>IFERROR(IF(A271&lt;&gt;"",VLOOKUP($A271,calculation!$A$10:$V$510,12),""),"")</f>
        <v/>
      </c>
      <c r="C271" s="4" t="str">
        <f>IFERROR(IF(A271&lt;&gt;"",VLOOKUP($A271,calculation!$A$10:$V$510,15),""),"")</f>
        <v/>
      </c>
      <c r="D271" s="4" t="str">
        <f>IFERROR(IF(A271&lt;&gt;"",VLOOKUP($A271,calculation!$A$10:$V$510,22),""),"")</f>
        <v/>
      </c>
      <c r="F271" s="4" t="s">
        <v>27</v>
      </c>
      <c r="G271" s="4">
        <f>MAX($G$9:G270)+1</f>
        <v>243</v>
      </c>
      <c r="H271" s="4" t="s">
        <v>34</v>
      </c>
      <c r="I271" s="4" t="s">
        <v>35</v>
      </c>
      <c r="J271" s="4" t="str">
        <f t="shared" si="12"/>
        <v/>
      </c>
      <c r="K271" s="4" t="s">
        <v>39</v>
      </c>
      <c r="L271" s="4">
        <f>Setup!$C$15</f>
        <v>1500</v>
      </c>
      <c r="M271" s="4" t="s">
        <v>36</v>
      </c>
      <c r="N271" s="4" t="str">
        <f t="shared" si="13"/>
        <v/>
      </c>
      <c r="O271" s="4" t="s">
        <v>40</v>
      </c>
      <c r="P271" s="4">
        <f>Setup!$C$13</f>
        <v>1200</v>
      </c>
      <c r="Q271" s="4" t="s">
        <v>37</v>
      </c>
      <c r="R271" s="4" t="str">
        <f t="shared" si="14"/>
        <v/>
      </c>
      <c r="S271" s="4" t="s">
        <v>41</v>
      </c>
      <c r="T271" s="4">
        <f>Setup!$C$14</f>
        <v>1200</v>
      </c>
      <c r="U271" s="4" t="str">
        <f t="shared" si="15"/>
        <v/>
      </c>
      <c r="V271" s="4"/>
    </row>
    <row r="272" spans="1:22" x14ac:dyDescent="0.25">
      <c r="A272" s="4"/>
      <c r="B272" s="4" t="str">
        <f>IFERROR(IF(A272&lt;&gt;"",VLOOKUP($A272,calculation!$A$10:$V$510,12),""),"")</f>
        <v/>
      </c>
      <c r="C272" s="4" t="str">
        <f>IFERROR(IF(A272&lt;&gt;"",VLOOKUP($A272,calculation!$A$10:$V$510,15),""),"")</f>
        <v/>
      </c>
      <c r="D272" s="4" t="str">
        <f>IFERROR(IF(A272&lt;&gt;"",VLOOKUP($A272,calculation!$A$10:$V$510,22),""),"")</f>
        <v/>
      </c>
      <c r="F272" s="4" t="s">
        <v>27</v>
      </c>
      <c r="G272" s="4">
        <f>MAX($G$9:G271)+1</f>
        <v>244</v>
      </c>
      <c r="H272" s="4" t="s">
        <v>34</v>
      </c>
      <c r="I272" s="4" t="s">
        <v>35</v>
      </c>
      <c r="J272" s="4" t="str">
        <f t="shared" si="12"/>
        <v/>
      </c>
      <c r="K272" s="4" t="s">
        <v>39</v>
      </c>
      <c r="L272" s="4">
        <f>Setup!$C$15</f>
        <v>1500</v>
      </c>
      <c r="M272" s="4" t="s">
        <v>36</v>
      </c>
      <c r="N272" s="4" t="str">
        <f t="shared" si="13"/>
        <v/>
      </c>
      <c r="O272" s="4" t="s">
        <v>40</v>
      </c>
      <c r="P272" s="4">
        <f>Setup!$C$13</f>
        <v>1200</v>
      </c>
      <c r="Q272" s="4" t="s">
        <v>37</v>
      </c>
      <c r="R272" s="4" t="str">
        <f t="shared" si="14"/>
        <v/>
      </c>
      <c r="S272" s="4" t="s">
        <v>41</v>
      </c>
      <c r="T272" s="4">
        <f>Setup!$C$14</f>
        <v>1200</v>
      </c>
      <c r="U272" s="4" t="str">
        <f t="shared" si="15"/>
        <v/>
      </c>
      <c r="V272" s="4"/>
    </row>
    <row r="273" spans="1:22" x14ac:dyDescent="0.25">
      <c r="A273" s="4"/>
      <c r="B273" s="4" t="str">
        <f>IFERROR(IF(A273&lt;&gt;"",VLOOKUP($A273,calculation!$A$10:$V$510,12),""),"")</f>
        <v/>
      </c>
      <c r="C273" s="4" t="str">
        <f>IFERROR(IF(A273&lt;&gt;"",VLOOKUP($A273,calculation!$A$10:$V$510,15),""),"")</f>
        <v/>
      </c>
      <c r="D273" s="4" t="str">
        <f>IFERROR(IF(A273&lt;&gt;"",VLOOKUP($A273,calculation!$A$10:$V$510,22),""),"")</f>
        <v/>
      </c>
      <c r="F273" s="4" t="s">
        <v>27</v>
      </c>
      <c r="G273" s="4">
        <f>MAX($G$9:G272)+1</f>
        <v>245</v>
      </c>
      <c r="H273" s="4" t="s">
        <v>34</v>
      </c>
      <c r="I273" s="4" t="s">
        <v>35</v>
      </c>
      <c r="J273" s="4" t="str">
        <f t="shared" si="12"/>
        <v/>
      </c>
      <c r="K273" s="4" t="s">
        <v>39</v>
      </c>
      <c r="L273" s="4">
        <f>Setup!$C$15</f>
        <v>1500</v>
      </c>
      <c r="M273" s="4" t="s">
        <v>36</v>
      </c>
      <c r="N273" s="4" t="str">
        <f t="shared" si="13"/>
        <v/>
      </c>
      <c r="O273" s="4" t="s">
        <v>40</v>
      </c>
      <c r="P273" s="4">
        <f>Setup!$C$13</f>
        <v>1200</v>
      </c>
      <c r="Q273" s="4" t="s">
        <v>37</v>
      </c>
      <c r="R273" s="4" t="str">
        <f t="shared" si="14"/>
        <v/>
      </c>
      <c r="S273" s="4" t="s">
        <v>41</v>
      </c>
      <c r="T273" s="4">
        <f>Setup!$C$14</f>
        <v>1200</v>
      </c>
      <c r="U273" s="4" t="str">
        <f t="shared" si="15"/>
        <v/>
      </c>
      <c r="V273" s="4"/>
    </row>
    <row r="274" spans="1:22" x14ac:dyDescent="0.25">
      <c r="A274" s="4"/>
      <c r="B274" s="4" t="str">
        <f>IFERROR(IF(A274&lt;&gt;"",VLOOKUP($A274,calculation!$A$10:$V$510,12),""),"")</f>
        <v/>
      </c>
      <c r="C274" s="4" t="str">
        <f>IFERROR(IF(A274&lt;&gt;"",VLOOKUP($A274,calculation!$A$10:$V$510,15),""),"")</f>
        <v/>
      </c>
      <c r="D274" s="4" t="str">
        <f>IFERROR(IF(A274&lt;&gt;"",VLOOKUP($A274,calculation!$A$10:$V$510,22),""),"")</f>
        <v/>
      </c>
      <c r="F274" s="4" t="s">
        <v>27</v>
      </c>
      <c r="G274" s="4">
        <f>MAX($G$9:G273)+1</f>
        <v>246</v>
      </c>
      <c r="H274" s="4" t="s">
        <v>34</v>
      </c>
      <c r="I274" s="4" t="s">
        <v>35</v>
      </c>
      <c r="J274" s="4" t="str">
        <f t="shared" si="12"/>
        <v/>
      </c>
      <c r="K274" s="4" t="s">
        <v>39</v>
      </c>
      <c r="L274" s="4">
        <f>Setup!$C$15</f>
        <v>1500</v>
      </c>
      <c r="M274" s="4" t="s">
        <v>36</v>
      </c>
      <c r="N274" s="4" t="str">
        <f t="shared" si="13"/>
        <v/>
      </c>
      <c r="O274" s="4" t="s">
        <v>40</v>
      </c>
      <c r="P274" s="4">
        <f>Setup!$C$13</f>
        <v>1200</v>
      </c>
      <c r="Q274" s="4" t="s">
        <v>37</v>
      </c>
      <c r="R274" s="4" t="str">
        <f t="shared" si="14"/>
        <v/>
      </c>
      <c r="S274" s="4" t="s">
        <v>41</v>
      </c>
      <c r="T274" s="4">
        <f>Setup!$C$14</f>
        <v>1200</v>
      </c>
      <c r="U274" s="4" t="str">
        <f t="shared" si="15"/>
        <v/>
      </c>
      <c r="V274" s="4"/>
    </row>
    <row r="275" spans="1:22" x14ac:dyDescent="0.25">
      <c r="A275" s="4"/>
      <c r="B275" s="4" t="str">
        <f>IFERROR(IF(A275&lt;&gt;"",VLOOKUP($A275,calculation!$A$10:$V$510,12),""),"")</f>
        <v/>
      </c>
      <c r="C275" s="4" t="str">
        <f>IFERROR(IF(A275&lt;&gt;"",VLOOKUP($A275,calculation!$A$10:$V$510,15),""),"")</f>
        <v/>
      </c>
      <c r="D275" s="4" t="str">
        <f>IFERROR(IF(A275&lt;&gt;"",VLOOKUP($A275,calculation!$A$10:$V$510,22),""),"")</f>
        <v/>
      </c>
      <c r="F275" s="4" t="s">
        <v>27</v>
      </c>
      <c r="G275" s="4">
        <f>MAX($G$9:G274)+1</f>
        <v>247</v>
      </c>
      <c r="H275" s="4" t="s">
        <v>34</v>
      </c>
      <c r="I275" s="4" t="s">
        <v>35</v>
      </c>
      <c r="J275" s="4" t="str">
        <f t="shared" si="12"/>
        <v/>
      </c>
      <c r="K275" s="4" t="s">
        <v>39</v>
      </c>
      <c r="L275" s="4">
        <f>Setup!$C$15</f>
        <v>1500</v>
      </c>
      <c r="M275" s="4" t="s">
        <v>36</v>
      </c>
      <c r="N275" s="4" t="str">
        <f t="shared" si="13"/>
        <v/>
      </c>
      <c r="O275" s="4" t="s">
        <v>40</v>
      </c>
      <c r="P275" s="4">
        <f>Setup!$C$13</f>
        <v>1200</v>
      </c>
      <c r="Q275" s="4" t="s">
        <v>37</v>
      </c>
      <c r="R275" s="4" t="str">
        <f t="shared" si="14"/>
        <v/>
      </c>
      <c r="S275" s="4" t="s">
        <v>41</v>
      </c>
      <c r="T275" s="4">
        <f>Setup!$C$14</f>
        <v>1200</v>
      </c>
      <c r="U275" s="4" t="str">
        <f t="shared" si="15"/>
        <v/>
      </c>
      <c r="V275" s="4"/>
    </row>
    <row r="276" spans="1:22" x14ac:dyDescent="0.25">
      <c r="A276" s="4"/>
      <c r="B276" s="4" t="str">
        <f>IFERROR(IF(A276&lt;&gt;"",VLOOKUP($A276,calculation!$A$10:$V$510,12),""),"")</f>
        <v/>
      </c>
      <c r="C276" s="4" t="str">
        <f>IFERROR(IF(A276&lt;&gt;"",VLOOKUP($A276,calculation!$A$10:$V$510,15),""),"")</f>
        <v/>
      </c>
      <c r="D276" s="4" t="str">
        <f>IFERROR(IF(A276&lt;&gt;"",VLOOKUP($A276,calculation!$A$10:$V$510,22),""),"")</f>
        <v/>
      </c>
      <c r="F276" s="4" t="s">
        <v>27</v>
      </c>
      <c r="G276" s="4">
        <f>MAX($G$9:G275)+1</f>
        <v>248</v>
      </c>
      <c r="H276" s="4" t="s">
        <v>34</v>
      </c>
      <c r="I276" s="4" t="s">
        <v>35</v>
      </c>
      <c r="J276" s="4" t="str">
        <f t="shared" si="12"/>
        <v/>
      </c>
      <c r="K276" s="4" t="s">
        <v>39</v>
      </c>
      <c r="L276" s="4">
        <f>Setup!$C$15</f>
        <v>1500</v>
      </c>
      <c r="M276" s="4" t="s">
        <v>36</v>
      </c>
      <c r="N276" s="4" t="str">
        <f t="shared" si="13"/>
        <v/>
      </c>
      <c r="O276" s="4" t="s">
        <v>40</v>
      </c>
      <c r="P276" s="4">
        <f>Setup!$C$13</f>
        <v>1200</v>
      </c>
      <c r="Q276" s="4" t="s">
        <v>37</v>
      </c>
      <c r="R276" s="4" t="str">
        <f t="shared" si="14"/>
        <v/>
      </c>
      <c r="S276" s="4" t="s">
        <v>41</v>
      </c>
      <c r="T276" s="4">
        <f>Setup!$C$14</f>
        <v>1200</v>
      </c>
      <c r="U276" s="4" t="str">
        <f t="shared" si="15"/>
        <v/>
      </c>
      <c r="V276" s="4"/>
    </row>
    <row r="277" spans="1:22" x14ac:dyDescent="0.25">
      <c r="A277" s="4"/>
      <c r="B277" s="4" t="str">
        <f>IFERROR(IF(A277&lt;&gt;"",VLOOKUP($A277,calculation!$A$10:$V$510,12),""),"")</f>
        <v/>
      </c>
      <c r="C277" s="4" t="str">
        <f>IFERROR(IF(A277&lt;&gt;"",VLOOKUP($A277,calculation!$A$10:$V$510,15),""),"")</f>
        <v/>
      </c>
      <c r="D277" s="4" t="str">
        <f>IFERROR(IF(A277&lt;&gt;"",VLOOKUP($A277,calculation!$A$10:$V$510,22),""),"")</f>
        <v/>
      </c>
      <c r="F277" s="4" t="s">
        <v>27</v>
      </c>
      <c r="G277" s="4">
        <f>MAX($G$9:G276)+1</f>
        <v>249</v>
      </c>
      <c r="H277" s="4" t="s">
        <v>34</v>
      </c>
      <c r="I277" s="4" t="s">
        <v>35</v>
      </c>
      <c r="J277" s="4" t="str">
        <f t="shared" si="12"/>
        <v/>
      </c>
      <c r="K277" s="4" t="s">
        <v>39</v>
      </c>
      <c r="L277" s="4">
        <f>Setup!$C$15</f>
        <v>1500</v>
      </c>
      <c r="M277" s="4" t="s">
        <v>36</v>
      </c>
      <c r="N277" s="4" t="str">
        <f t="shared" si="13"/>
        <v/>
      </c>
      <c r="O277" s="4" t="s">
        <v>40</v>
      </c>
      <c r="P277" s="4">
        <f>Setup!$C$13</f>
        <v>1200</v>
      </c>
      <c r="Q277" s="4" t="s">
        <v>37</v>
      </c>
      <c r="R277" s="4" t="str">
        <f t="shared" si="14"/>
        <v/>
      </c>
      <c r="S277" s="4" t="s">
        <v>41</v>
      </c>
      <c r="T277" s="4">
        <f>Setup!$C$14</f>
        <v>1200</v>
      </c>
      <c r="U277" s="4" t="str">
        <f t="shared" si="15"/>
        <v/>
      </c>
      <c r="V277" s="4"/>
    </row>
    <row r="278" spans="1:22" x14ac:dyDescent="0.25">
      <c r="A278" s="4"/>
      <c r="B278" s="4" t="str">
        <f>IFERROR(IF(A278&lt;&gt;"",VLOOKUP($A278,calculation!$A$10:$V$510,12),""),"")</f>
        <v/>
      </c>
      <c r="C278" s="4" t="str">
        <f>IFERROR(IF(A278&lt;&gt;"",VLOOKUP($A278,calculation!$A$10:$V$510,15),""),"")</f>
        <v/>
      </c>
      <c r="D278" s="4" t="str">
        <f>IFERROR(IF(A278&lt;&gt;"",VLOOKUP($A278,calculation!$A$10:$V$510,22),""),"")</f>
        <v/>
      </c>
      <c r="F278" s="4" t="s">
        <v>27</v>
      </c>
      <c r="G278" s="4">
        <f>MAX($G$9:G277)+1</f>
        <v>250</v>
      </c>
      <c r="H278" s="4" t="s">
        <v>34</v>
      </c>
      <c r="I278" s="4" t="s">
        <v>35</v>
      </c>
      <c r="J278" s="4" t="str">
        <f t="shared" si="12"/>
        <v/>
      </c>
      <c r="K278" s="4" t="s">
        <v>39</v>
      </c>
      <c r="L278" s="4">
        <f>Setup!$C$15</f>
        <v>1500</v>
      </c>
      <c r="M278" s="4" t="s">
        <v>36</v>
      </c>
      <c r="N278" s="4" t="str">
        <f t="shared" si="13"/>
        <v/>
      </c>
      <c r="O278" s="4" t="s">
        <v>40</v>
      </c>
      <c r="P278" s="4">
        <f>Setup!$C$13</f>
        <v>1200</v>
      </c>
      <c r="Q278" s="4" t="s">
        <v>37</v>
      </c>
      <c r="R278" s="4" t="str">
        <f t="shared" si="14"/>
        <v/>
      </c>
      <c r="S278" s="4" t="s">
        <v>41</v>
      </c>
      <c r="T278" s="4">
        <f>Setup!$C$14</f>
        <v>1200</v>
      </c>
      <c r="U278" s="4" t="str">
        <f t="shared" si="15"/>
        <v/>
      </c>
      <c r="V278" s="4"/>
    </row>
    <row r="279" spans="1:22" x14ac:dyDescent="0.25">
      <c r="A279" s="4"/>
      <c r="B279" s="4" t="str">
        <f>IFERROR(IF(A279&lt;&gt;"",VLOOKUP($A279,calculation!$A$10:$V$510,12),""),"")</f>
        <v/>
      </c>
      <c r="C279" s="4" t="str">
        <f>IFERROR(IF(A279&lt;&gt;"",VLOOKUP($A279,calculation!$A$10:$V$510,15),""),"")</f>
        <v/>
      </c>
      <c r="D279" s="4" t="str">
        <f>IFERROR(IF(A279&lt;&gt;"",VLOOKUP($A279,calculation!$A$10:$V$510,22),""),"")</f>
        <v/>
      </c>
      <c r="F279" s="4" t="s">
        <v>27</v>
      </c>
      <c r="G279" s="4">
        <f>MAX($G$9:G278)+1</f>
        <v>251</v>
      </c>
      <c r="H279" s="4" t="s">
        <v>34</v>
      </c>
      <c r="I279" s="4" t="s">
        <v>35</v>
      </c>
      <c r="J279" s="4" t="str">
        <f t="shared" si="12"/>
        <v/>
      </c>
      <c r="K279" s="4" t="s">
        <v>39</v>
      </c>
      <c r="L279" s="4">
        <f>Setup!$C$15</f>
        <v>1500</v>
      </c>
      <c r="M279" s="4" t="s">
        <v>36</v>
      </c>
      <c r="N279" s="4" t="str">
        <f t="shared" si="13"/>
        <v/>
      </c>
      <c r="O279" s="4" t="s">
        <v>40</v>
      </c>
      <c r="P279" s="4">
        <f>Setup!$C$13</f>
        <v>1200</v>
      </c>
      <c r="Q279" s="4" t="s">
        <v>37</v>
      </c>
      <c r="R279" s="4" t="str">
        <f t="shared" si="14"/>
        <v/>
      </c>
      <c r="S279" s="4" t="s">
        <v>41</v>
      </c>
      <c r="T279" s="4">
        <f>Setup!$C$14</f>
        <v>1200</v>
      </c>
      <c r="U279" s="4" t="str">
        <f t="shared" si="15"/>
        <v/>
      </c>
      <c r="V279" s="4"/>
    </row>
    <row r="280" spans="1:22" x14ac:dyDescent="0.25">
      <c r="A280" s="4"/>
      <c r="B280" s="4" t="str">
        <f>IFERROR(IF(A280&lt;&gt;"",VLOOKUP($A280,calculation!$A$10:$V$510,12),""),"")</f>
        <v/>
      </c>
      <c r="C280" s="4" t="str">
        <f>IFERROR(IF(A280&lt;&gt;"",VLOOKUP($A280,calculation!$A$10:$V$510,15),""),"")</f>
        <v/>
      </c>
      <c r="D280" s="4" t="str">
        <f>IFERROR(IF(A280&lt;&gt;"",VLOOKUP($A280,calculation!$A$10:$V$510,22),""),"")</f>
        <v/>
      </c>
      <c r="F280" s="4" t="s">
        <v>27</v>
      </c>
      <c r="G280" s="4">
        <f>MAX($G$9:G279)+1</f>
        <v>252</v>
      </c>
      <c r="H280" s="4" t="s">
        <v>34</v>
      </c>
      <c r="I280" s="4" t="s">
        <v>35</v>
      </c>
      <c r="J280" s="4" t="str">
        <f t="shared" si="12"/>
        <v/>
      </c>
      <c r="K280" s="4" t="s">
        <v>39</v>
      </c>
      <c r="L280" s="4">
        <f>Setup!$C$15</f>
        <v>1500</v>
      </c>
      <c r="M280" s="4" t="s">
        <v>36</v>
      </c>
      <c r="N280" s="4" t="str">
        <f t="shared" si="13"/>
        <v/>
      </c>
      <c r="O280" s="4" t="s">
        <v>40</v>
      </c>
      <c r="P280" s="4">
        <f>Setup!$C$13</f>
        <v>1200</v>
      </c>
      <c r="Q280" s="4" t="s">
        <v>37</v>
      </c>
      <c r="R280" s="4" t="str">
        <f t="shared" si="14"/>
        <v/>
      </c>
      <c r="S280" s="4" t="s">
        <v>41</v>
      </c>
      <c r="T280" s="4">
        <f>Setup!$C$14</f>
        <v>1200</v>
      </c>
      <c r="U280" s="4" t="str">
        <f t="shared" si="15"/>
        <v/>
      </c>
      <c r="V280" s="4"/>
    </row>
    <row r="281" spans="1:22" x14ac:dyDescent="0.25">
      <c r="A281" s="4"/>
      <c r="B281" s="4" t="str">
        <f>IFERROR(IF(A281&lt;&gt;"",VLOOKUP($A281,calculation!$A$10:$V$510,12),""),"")</f>
        <v/>
      </c>
      <c r="C281" s="4" t="str">
        <f>IFERROR(IF(A281&lt;&gt;"",VLOOKUP($A281,calculation!$A$10:$V$510,15),""),"")</f>
        <v/>
      </c>
      <c r="D281" s="4" t="str">
        <f>IFERROR(IF(A281&lt;&gt;"",VLOOKUP($A281,calculation!$A$10:$V$510,22),""),"")</f>
        <v/>
      </c>
      <c r="F281" s="4" t="s">
        <v>27</v>
      </c>
      <c r="G281" s="4">
        <f>MAX($G$9:G280)+1</f>
        <v>253</v>
      </c>
      <c r="H281" s="4" t="s">
        <v>34</v>
      </c>
      <c r="I281" s="4" t="s">
        <v>35</v>
      </c>
      <c r="J281" s="4" t="str">
        <f t="shared" si="12"/>
        <v/>
      </c>
      <c r="K281" s="4" t="s">
        <v>39</v>
      </c>
      <c r="L281" s="4">
        <f>Setup!$C$15</f>
        <v>1500</v>
      </c>
      <c r="M281" s="4" t="s">
        <v>36</v>
      </c>
      <c r="N281" s="4" t="str">
        <f t="shared" si="13"/>
        <v/>
      </c>
      <c r="O281" s="4" t="s">
        <v>40</v>
      </c>
      <c r="P281" s="4">
        <f>Setup!$C$13</f>
        <v>1200</v>
      </c>
      <c r="Q281" s="4" t="s">
        <v>37</v>
      </c>
      <c r="R281" s="4" t="str">
        <f t="shared" si="14"/>
        <v/>
      </c>
      <c r="S281" s="4" t="s">
        <v>41</v>
      </c>
      <c r="T281" s="4">
        <f>Setup!$C$14</f>
        <v>1200</v>
      </c>
      <c r="U281" s="4" t="str">
        <f t="shared" si="15"/>
        <v/>
      </c>
      <c r="V281" s="4"/>
    </row>
    <row r="282" spans="1:22" x14ac:dyDescent="0.25">
      <c r="A282" s="4"/>
      <c r="B282" s="4" t="str">
        <f>IFERROR(IF(A282&lt;&gt;"",VLOOKUP($A282,calculation!$A$10:$V$510,12),""),"")</f>
        <v/>
      </c>
      <c r="C282" s="4" t="str">
        <f>IFERROR(IF(A282&lt;&gt;"",VLOOKUP($A282,calculation!$A$10:$V$510,15),""),"")</f>
        <v/>
      </c>
      <c r="D282" s="4" t="str">
        <f>IFERROR(IF(A282&lt;&gt;"",VLOOKUP($A282,calculation!$A$10:$V$510,22),""),"")</f>
        <v/>
      </c>
      <c r="F282" s="4" t="s">
        <v>27</v>
      </c>
      <c r="G282" s="4">
        <f>MAX($G$9:G281)+1</f>
        <v>254</v>
      </c>
      <c r="H282" s="4" t="s">
        <v>34</v>
      </c>
      <c r="I282" s="4" t="s">
        <v>35</v>
      </c>
      <c r="J282" s="4" t="str">
        <f t="shared" si="12"/>
        <v/>
      </c>
      <c r="K282" s="4" t="s">
        <v>39</v>
      </c>
      <c r="L282" s="4">
        <f>Setup!$C$15</f>
        <v>1500</v>
      </c>
      <c r="M282" s="4" t="s">
        <v>36</v>
      </c>
      <c r="N282" s="4" t="str">
        <f t="shared" si="13"/>
        <v/>
      </c>
      <c r="O282" s="4" t="s">
        <v>40</v>
      </c>
      <c r="P282" s="4">
        <f>Setup!$C$13</f>
        <v>1200</v>
      </c>
      <c r="Q282" s="4" t="s">
        <v>37</v>
      </c>
      <c r="R282" s="4" t="str">
        <f t="shared" si="14"/>
        <v/>
      </c>
      <c r="S282" s="4" t="s">
        <v>41</v>
      </c>
      <c r="T282" s="4">
        <f>Setup!$C$14</f>
        <v>1200</v>
      </c>
      <c r="U282" s="4" t="str">
        <f t="shared" si="15"/>
        <v/>
      </c>
      <c r="V282" s="4"/>
    </row>
    <row r="283" spans="1:22" x14ac:dyDescent="0.25">
      <c r="A283" s="4"/>
      <c r="B283" s="4" t="str">
        <f>IFERROR(IF(A283&lt;&gt;"",VLOOKUP($A283,calculation!$A$10:$V$510,12),""),"")</f>
        <v/>
      </c>
      <c r="C283" s="4" t="str">
        <f>IFERROR(IF(A283&lt;&gt;"",VLOOKUP($A283,calculation!$A$10:$V$510,15),""),"")</f>
        <v/>
      </c>
      <c r="D283" s="4" t="str">
        <f>IFERROR(IF(A283&lt;&gt;"",VLOOKUP($A283,calculation!$A$10:$V$510,22),""),"")</f>
        <v/>
      </c>
      <c r="F283" s="4" t="s">
        <v>27</v>
      </c>
      <c r="G283" s="4">
        <f>MAX($G$9:G282)+1</f>
        <v>255</v>
      </c>
      <c r="H283" s="4" t="s">
        <v>34</v>
      </c>
      <c r="I283" s="4" t="s">
        <v>35</v>
      </c>
      <c r="J283" s="4" t="str">
        <f t="shared" si="12"/>
        <v/>
      </c>
      <c r="K283" s="4" t="s">
        <v>39</v>
      </c>
      <c r="L283" s="4">
        <f>Setup!$C$15</f>
        <v>1500</v>
      </c>
      <c r="M283" s="4" t="s">
        <v>36</v>
      </c>
      <c r="N283" s="4" t="str">
        <f t="shared" si="13"/>
        <v/>
      </c>
      <c r="O283" s="4" t="s">
        <v>40</v>
      </c>
      <c r="P283" s="4">
        <f>Setup!$C$13</f>
        <v>1200</v>
      </c>
      <c r="Q283" s="4" t="s">
        <v>37</v>
      </c>
      <c r="R283" s="4" t="str">
        <f t="shared" si="14"/>
        <v/>
      </c>
      <c r="S283" s="4" t="s">
        <v>41</v>
      </c>
      <c r="T283" s="4">
        <f>Setup!$C$14</f>
        <v>1200</v>
      </c>
      <c r="U283" s="4" t="str">
        <f t="shared" si="15"/>
        <v/>
      </c>
      <c r="V283" s="4"/>
    </row>
    <row r="284" spans="1:22" x14ac:dyDescent="0.25">
      <c r="A284" s="4"/>
      <c r="B284" s="4" t="str">
        <f>IFERROR(IF(A284&lt;&gt;"",VLOOKUP($A284,calculation!$A$10:$V$510,12),""),"")</f>
        <v/>
      </c>
      <c r="C284" s="4" t="str">
        <f>IFERROR(IF(A284&lt;&gt;"",VLOOKUP($A284,calculation!$A$10:$V$510,15),""),"")</f>
        <v/>
      </c>
      <c r="D284" s="4" t="str">
        <f>IFERROR(IF(A284&lt;&gt;"",VLOOKUP($A284,calculation!$A$10:$V$510,22),""),"")</f>
        <v/>
      </c>
      <c r="F284" s="4" t="s">
        <v>27</v>
      </c>
      <c r="G284" s="4">
        <f>MAX($G$9:G283)+1</f>
        <v>256</v>
      </c>
      <c r="H284" s="4" t="s">
        <v>34</v>
      </c>
      <c r="I284" s="4" t="s">
        <v>35</v>
      </c>
      <c r="J284" s="4" t="str">
        <f t="shared" si="12"/>
        <v/>
      </c>
      <c r="K284" s="4" t="s">
        <v>39</v>
      </c>
      <c r="L284" s="4">
        <f>Setup!$C$15</f>
        <v>1500</v>
      </c>
      <c r="M284" s="4" t="s">
        <v>36</v>
      </c>
      <c r="N284" s="4" t="str">
        <f t="shared" si="13"/>
        <v/>
      </c>
      <c r="O284" s="4" t="s">
        <v>40</v>
      </c>
      <c r="P284" s="4">
        <f>Setup!$C$13</f>
        <v>1200</v>
      </c>
      <c r="Q284" s="4" t="s">
        <v>37</v>
      </c>
      <c r="R284" s="4" t="str">
        <f t="shared" si="14"/>
        <v/>
      </c>
      <c r="S284" s="4" t="s">
        <v>41</v>
      </c>
      <c r="T284" s="4">
        <f>Setup!$C$14</f>
        <v>1200</v>
      </c>
      <c r="U284" s="4" t="str">
        <f t="shared" si="15"/>
        <v/>
      </c>
      <c r="V284" s="4"/>
    </row>
    <row r="285" spans="1:22" x14ac:dyDescent="0.25">
      <c r="A285" s="4"/>
      <c r="B285" s="4" t="str">
        <f>IFERROR(IF(A285&lt;&gt;"",VLOOKUP($A285,calculation!$A$10:$V$510,12),""),"")</f>
        <v/>
      </c>
      <c r="C285" s="4" t="str">
        <f>IFERROR(IF(A285&lt;&gt;"",VLOOKUP($A285,calculation!$A$10:$V$510,15),""),"")</f>
        <v/>
      </c>
      <c r="D285" s="4" t="str">
        <f>IFERROR(IF(A285&lt;&gt;"",VLOOKUP($A285,calculation!$A$10:$V$510,22),""),"")</f>
        <v/>
      </c>
      <c r="F285" s="4" t="s">
        <v>27</v>
      </c>
      <c r="G285" s="4">
        <f>MAX($G$9:G284)+1</f>
        <v>257</v>
      </c>
      <c r="H285" s="4" t="s">
        <v>34</v>
      </c>
      <c r="I285" s="4" t="s">
        <v>35</v>
      </c>
      <c r="J285" s="4" t="str">
        <f t="shared" si="12"/>
        <v/>
      </c>
      <c r="K285" s="4" t="s">
        <v>39</v>
      </c>
      <c r="L285" s="4">
        <f>Setup!$C$15</f>
        <v>1500</v>
      </c>
      <c r="M285" s="4" t="s">
        <v>36</v>
      </c>
      <c r="N285" s="4" t="str">
        <f t="shared" si="13"/>
        <v/>
      </c>
      <c r="O285" s="4" t="s">
        <v>40</v>
      </c>
      <c r="P285" s="4">
        <f>Setup!$C$13</f>
        <v>1200</v>
      </c>
      <c r="Q285" s="4" t="s">
        <v>37</v>
      </c>
      <c r="R285" s="4" t="str">
        <f t="shared" si="14"/>
        <v/>
      </c>
      <c r="S285" s="4" t="s">
        <v>41</v>
      </c>
      <c r="T285" s="4">
        <f>Setup!$C$14</f>
        <v>1200</v>
      </c>
      <c r="U285" s="4" t="str">
        <f t="shared" si="15"/>
        <v/>
      </c>
      <c r="V285" s="4"/>
    </row>
    <row r="286" spans="1:22" x14ac:dyDescent="0.25">
      <c r="A286" s="4"/>
      <c r="B286" s="4" t="str">
        <f>IFERROR(IF(A286&lt;&gt;"",VLOOKUP($A286,calculation!$A$10:$V$510,12),""),"")</f>
        <v/>
      </c>
      <c r="C286" s="4" t="str">
        <f>IFERROR(IF(A286&lt;&gt;"",VLOOKUP($A286,calculation!$A$10:$V$510,15),""),"")</f>
        <v/>
      </c>
      <c r="D286" s="4" t="str">
        <f>IFERROR(IF(A286&lt;&gt;"",VLOOKUP($A286,calculation!$A$10:$V$510,22),""),"")</f>
        <v/>
      </c>
      <c r="F286" s="4" t="s">
        <v>27</v>
      </c>
      <c r="G286" s="4">
        <f>MAX($G$9:G285)+1</f>
        <v>258</v>
      </c>
      <c r="H286" s="4" t="s">
        <v>34</v>
      </c>
      <c r="I286" s="4" t="s">
        <v>35</v>
      </c>
      <c r="J286" s="4" t="str">
        <f t="shared" si="12"/>
        <v/>
      </c>
      <c r="K286" s="4" t="s">
        <v>39</v>
      </c>
      <c r="L286" s="4">
        <f>Setup!$C$15</f>
        <v>1500</v>
      </c>
      <c r="M286" s="4" t="s">
        <v>36</v>
      </c>
      <c r="N286" s="4" t="str">
        <f t="shared" si="13"/>
        <v/>
      </c>
      <c r="O286" s="4" t="s">
        <v>40</v>
      </c>
      <c r="P286" s="4">
        <f>Setup!$C$13</f>
        <v>1200</v>
      </c>
      <c r="Q286" s="4" t="s">
        <v>37</v>
      </c>
      <c r="R286" s="4" t="str">
        <f t="shared" si="14"/>
        <v/>
      </c>
      <c r="S286" s="4" t="s">
        <v>41</v>
      </c>
      <c r="T286" s="4">
        <f>Setup!$C$14</f>
        <v>1200</v>
      </c>
      <c r="U286" s="4" t="str">
        <f t="shared" si="15"/>
        <v/>
      </c>
      <c r="V286" s="4"/>
    </row>
    <row r="287" spans="1:22" x14ac:dyDescent="0.25">
      <c r="A287" s="4"/>
      <c r="B287" s="4" t="str">
        <f>IFERROR(IF(A287&lt;&gt;"",VLOOKUP($A287,calculation!$A$10:$V$510,12),""),"")</f>
        <v/>
      </c>
      <c r="C287" s="4" t="str">
        <f>IFERROR(IF(A287&lt;&gt;"",VLOOKUP($A287,calculation!$A$10:$V$510,15),""),"")</f>
        <v/>
      </c>
      <c r="D287" s="4" t="str">
        <f>IFERROR(IF(A287&lt;&gt;"",VLOOKUP($A287,calculation!$A$10:$V$510,22),""),"")</f>
        <v/>
      </c>
      <c r="F287" s="4" t="s">
        <v>27</v>
      </c>
      <c r="G287" s="4">
        <f>MAX($G$9:G286)+1</f>
        <v>259</v>
      </c>
      <c r="H287" s="4" t="s">
        <v>34</v>
      </c>
      <c r="I287" s="4" t="s">
        <v>35</v>
      </c>
      <c r="J287" s="4" t="str">
        <f t="shared" si="12"/>
        <v/>
      </c>
      <c r="K287" s="4" t="s">
        <v>39</v>
      </c>
      <c r="L287" s="4">
        <f>Setup!$C$15</f>
        <v>1500</v>
      </c>
      <c r="M287" s="4" t="s">
        <v>36</v>
      </c>
      <c r="N287" s="4" t="str">
        <f t="shared" si="13"/>
        <v/>
      </c>
      <c r="O287" s="4" t="s">
        <v>40</v>
      </c>
      <c r="P287" s="4">
        <f>Setup!$C$13</f>
        <v>1200</v>
      </c>
      <c r="Q287" s="4" t="s">
        <v>37</v>
      </c>
      <c r="R287" s="4" t="str">
        <f t="shared" si="14"/>
        <v/>
      </c>
      <c r="S287" s="4" t="s">
        <v>41</v>
      </c>
      <c r="T287" s="4">
        <f>Setup!$C$14</f>
        <v>1200</v>
      </c>
      <c r="U287" s="4" t="str">
        <f t="shared" si="15"/>
        <v/>
      </c>
      <c r="V287" s="4"/>
    </row>
    <row r="288" spans="1:22" x14ac:dyDescent="0.25">
      <c r="A288" s="4"/>
      <c r="B288" s="4" t="str">
        <f>IFERROR(IF(A288&lt;&gt;"",VLOOKUP($A288,calculation!$A$10:$V$510,12),""),"")</f>
        <v/>
      </c>
      <c r="C288" s="4" t="str">
        <f>IFERROR(IF(A288&lt;&gt;"",VLOOKUP($A288,calculation!$A$10:$V$510,15),""),"")</f>
        <v/>
      </c>
      <c r="D288" s="4" t="str">
        <f>IFERROR(IF(A288&lt;&gt;"",VLOOKUP($A288,calculation!$A$10:$V$510,22),""),"")</f>
        <v/>
      </c>
      <c r="F288" s="4" t="s">
        <v>27</v>
      </c>
      <c r="G288" s="4">
        <f>MAX($G$9:G287)+1</f>
        <v>260</v>
      </c>
      <c r="H288" s="4" t="s">
        <v>34</v>
      </c>
      <c r="I288" s="4" t="s">
        <v>35</v>
      </c>
      <c r="J288" s="4" t="str">
        <f t="shared" ref="J288:J351" si="16">B288</f>
        <v/>
      </c>
      <c r="K288" s="4" t="s">
        <v>39</v>
      </c>
      <c r="L288" s="4">
        <f>Setup!$C$15</f>
        <v>1500</v>
      </c>
      <c r="M288" s="4" t="s">
        <v>36</v>
      </c>
      <c r="N288" s="4" t="str">
        <f t="shared" ref="N288:N351" si="17">C288</f>
        <v/>
      </c>
      <c r="O288" s="4" t="s">
        <v>40</v>
      </c>
      <c r="P288" s="4">
        <f>Setup!$C$13</f>
        <v>1200</v>
      </c>
      <c r="Q288" s="4" t="s">
        <v>37</v>
      </c>
      <c r="R288" s="4" t="str">
        <f t="shared" ref="R288:R351" si="18">D288</f>
        <v/>
      </c>
      <c r="S288" s="4" t="s">
        <v>41</v>
      </c>
      <c r="T288" s="4">
        <f>Setup!$C$14</f>
        <v>1200</v>
      </c>
      <c r="U288" s="4" t="str">
        <f t="shared" ref="U288:U351" si="19">IF(A288&lt;&gt;"",F288&amp;G288&amp;" "&amp;H288&amp;" "&amp;I288&amp;J288&amp;" "&amp;K288&amp;L288&amp;" "&amp;M288&amp;N288&amp;" "&amp;O288&amp;P288&amp;" "&amp;Q288&amp;R288&amp;" "&amp;S288&amp;T288,"")</f>
        <v/>
      </c>
      <c r="V288" s="4"/>
    </row>
    <row r="289" spans="1:22" x14ac:dyDescent="0.25">
      <c r="A289" s="4"/>
      <c r="B289" s="4" t="str">
        <f>IFERROR(IF(A289&lt;&gt;"",VLOOKUP($A289,calculation!$A$10:$V$510,12),""),"")</f>
        <v/>
      </c>
      <c r="C289" s="4" t="str">
        <f>IFERROR(IF(A289&lt;&gt;"",VLOOKUP($A289,calculation!$A$10:$V$510,15),""),"")</f>
        <v/>
      </c>
      <c r="D289" s="4" t="str">
        <f>IFERROR(IF(A289&lt;&gt;"",VLOOKUP($A289,calculation!$A$10:$V$510,22),""),"")</f>
        <v/>
      </c>
      <c r="F289" s="4" t="s">
        <v>27</v>
      </c>
      <c r="G289" s="4">
        <f>MAX($G$9:G288)+1</f>
        <v>261</v>
      </c>
      <c r="H289" s="4" t="s">
        <v>34</v>
      </c>
      <c r="I289" s="4" t="s">
        <v>35</v>
      </c>
      <c r="J289" s="4" t="str">
        <f t="shared" si="16"/>
        <v/>
      </c>
      <c r="K289" s="4" t="s">
        <v>39</v>
      </c>
      <c r="L289" s="4">
        <f>Setup!$C$15</f>
        <v>1500</v>
      </c>
      <c r="M289" s="4" t="s">
        <v>36</v>
      </c>
      <c r="N289" s="4" t="str">
        <f t="shared" si="17"/>
        <v/>
      </c>
      <c r="O289" s="4" t="s">
        <v>40</v>
      </c>
      <c r="P289" s="4">
        <f>Setup!$C$13</f>
        <v>1200</v>
      </c>
      <c r="Q289" s="4" t="s">
        <v>37</v>
      </c>
      <c r="R289" s="4" t="str">
        <f t="shared" si="18"/>
        <v/>
      </c>
      <c r="S289" s="4" t="s">
        <v>41</v>
      </c>
      <c r="T289" s="4">
        <f>Setup!$C$14</f>
        <v>1200</v>
      </c>
      <c r="U289" s="4" t="str">
        <f t="shared" si="19"/>
        <v/>
      </c>
      <c r="V289" s="4"/>
    </row>
    <row r="290" spans="1:22" x14ac:dyDescent="0.25">
      <c r="A290" s="4"/>
      <c r="B290" s="4" t="str">
        <f>IFERROR(IF(A290&lt;&gt;"",VLOOKUP($A290,calculation!$A$10:$V$510,12),""),"")</f>
        <v/>
      </c>
      <c r="C290" s="4" t="str">
        <f>IFERROR(IF(A290&lt;&gt;"",VLOOKUP($A290,calculation!$A$10:$V$510,15),""),"")</f>
        <v/>
      </c>
      <c r="D290" s="4" t="str">
        <f>IFERROR(IF(A290&lt;&gt;"",VLOOKUP($A290,calculation!$A$10:$V$510,22),""),"")</f>
        <v/>
      </c>
      <c r="F290" s="4" t="s">
        <v>27</v>
      </c>
      <c r="G290" s="4">
        <f>MAX($G$9:G289)+1</f>
        <v>262</v>
      </c>
      <c r="H290" s="4" t="s">
        <v>34</v>
      </c>
      <c r="I290" s="4" t="s">
        <v>35</v>
      </c>
      <c r="J290" s="4" t="str">
        <f t="shared" si="16"/>
        <v/>
      </c>
      <c r="K290" s="4" t="s">
        <v>39</v>
      </c>
      <c r="L290" s="4">
        <f>Setup!$C$15</f>
        <v>1500</v>
      </c>
      <c r="M290" s="4" t="s">
        <v>36</v>
      </c>
      <c r="N290" s="4" t="str">
        <f t="shared" si="17"/>
        <v/>
      </c>
      <c r="O290" s="4" t="s">
        <v>40</v>
      </c>
      <c r="P290" s="4">
        <f>Setup!$C$13</f>
        <v>1200</v>
      </c>
      <c r="Q290" s="4" t="s">
        <v>37</v>
      </c>
      <c r="R290" s="4" t="str">
        <f t="shared" si="18"/>
        <v/>
      </c>
      <c r="S290" s="4" t="s">
        <v>41</v>
      </c>
      <c r="T290" s="4">
        <f>Setup!$C$14</f>
        <v>1200</v>
      </c>
      <c r="U290" s="4" t="str">
        <f t="shared" si="19"/>
        <v/>
      </c>
      <c r="V290" s="4"/>
    </row>
    <row r="291" spans="1:22" x14ac:dyDescent="0.25">
      <c r="A291" s="4"/>
      <c r="B291" s="4" t="str">
        <f>IFERROR(IF(A291&lt;&gt;"",VLOOKUP($A291,calculation!$A$10:$V$510,12),""),"")</f>
        <v/>
      </c>
      <c r="C291" s="4" t="str">
        <f>IFERROR(IF(A291&lt;&gt;"",VLOOKUP($A291,calculation!$A$10:$V$510,15),""),"")</f>
        <v/>
      </c>
      <c r="D291" s="4" t="str">
        <f>IFERROR(IF(A291&lt;&gt;"",VLOOKUP($A291,calculation!$A$10:$V$510,22),""),"")</f>
        <v/>
      </c>
      <c r="F291" s="4" t="s">
        <v>27</v>
      </c>
      <c r="G291" s="4">
        <f>MAX($G$9:G290)+1</f>
        <v>263</v>
      </c>
      <c r="H291" s="4" t="s">
        <v>34</v>
      </c>
      <c r="I291" s="4" t="s">
        <v>35</v>
      </c>
      <c r="J291" s="4" t="str">
        <f t="shared" si="16"/>
        <v/>
      </c>
      <c r="K291" s="4" t="s">
        <v>39</v>
      </c>
      <c r="L291" s="4">
        <f>Setup!$C$15</f>
        <v>1500</v>
      </c>
      <c r="M291" s="4" t="s">
        <v>36</v>
      </c>
      <c r="N291" s="4" t="str">
        <f t="shared" si="17"/>
        <v/>
      </c>
      <c r="O291" s="4" t="s">
        <v>40</v>
      </c>
      <c r="P291" s="4">
        <f>Setup!$C$13</f>
        <v>1200</v>
      </c>
      <c r="Q291" s="4" t="s">
        <v>37</v>
      </c>
      <c r="R291" s="4" t="str">
        <f t="shared" si="18"/>
        <v/>
      </c>
      <c r="S291" s="4" t="s">
        <v>41</v>
      </c>
      <c r="T291" s="4">
        <f>Setup!$C$14</f>
        <v>1200</v>
      </c>
      <c r="U291" s="4" t="str">
        <f t="shared" si="19"/>
        <v/>
      </c>
      <c r="V291" s="4"/>
    </row>
    <row r="292" spans="1:22" x14ac:dyDescent="0.25">
      <c r="A292" s="4"/>
      <c r="B292" s="4" t="str">
        <f>IFERROR(IF(A292&lt;&gt;"",VLOOKUP($A292,calculation!$A$10:$V$510,12),""),"")</f>
        <v/>
      </c>
      <c r="C292" s="4" t="str">
        <f>IFERROR(IF(A292&lt;&gt;"",VLOOKUP($A292,calculation!$A$10:$V$510,15),""),"")</f>
        <v/>
      </c>
      <c r="D292" s="4" t="str">
        <f>IFERROR(IF(A292&lt;&gt;"",VLOOKUP($A292,calculation!$A$10:$V$510,22),""),"")</f>
        <v/>
      </c>
      <c r="F292" s="4" t="s">
        <v>27</v>
      </c>
      <c r="G292" s="4">
        <f>MAX($G$9:G291)+1</f>
        <v>264</v>
      </c>
      <c r="H292" s="4" t="s">
        <v>34</v>
      </c>
      <c r="I292" s="4" t="s">
        <v>35</v>
      </c>
      <c r="J292" s="4" t="str">
        <f t="shared" si="16"/>
        <v/>
      </c>
      <c r="K292" s="4" t="s">
        <v>39</v>
      </c>
      <c r="L292" s="4">
        <f>Setup!$C$15</f>
        <v>1500</v>
      </c>
      <c r="M292" s="4" t="s">
        <v>36</v>
      </c>
      <c r="N292" s="4" t="str">
        <f t="shared" si="17"/>
        <v/>
      </c>
      <c r="O292" s="4" t="s">
        <v>40</v>
      </c>
      <c r="P292" s="4">
        <f>Setup!$C$13</f>
        <v>1200</v>
      </c>
      <c r="Q292" s="4" t="s">
        <v>37</v>
      </c>
      <c r="R292" s="4" t="str">
        <f t="shared" si="18"/>
        <v/>
      </c>
      <c r="S292" s="4" t="s">
        <v>41</v>
      </c>
      <c r="T292" s="4">
        <f>Setup!$C$14</f>
        <v>1200</v>
      </c>
      <c r="U292" s="4" t="str">
        <f t="shared" si="19"/>
        <v/>
      </c>
      <c r="V292" s="4"/>
    </row>
    <row r="293" spans="1:22" x14ac:dyDescent="0.25">
      <c r="A293" s="4"/>
      <c r="B293" s="4" t="str">
        <f>IFERROR(IF(A293&lt;&gt;"",VLOOKUP($A293,calculation!$A$10:$V$510,12),""),"")</f>
        <v/>
      </c>
      <c r="C293" s="4" t="str">
        <f>IFERROR(IF(A293&lt;&gt;"",VLOOKUP($A293,calculation!$A$10:$V$510,15),""),"")</f>
        <v/>
      </c>
      <c r="D293" s="4" t="str">
        <f>IFERROR(IF(A293&lt;&gt;"",VLOOKUP($A293,calculation!$A$10:$V$510,22),""),"")</f>
        <v/>
      </c>
      <c r="F293" s="4" t="s">
        <v>27</v>
      </c>
      <c r="G293" s="4">
        <f>MAX($G$9:G292)+1</f>
        <v>265</v>
      </c>
      <c r="H293" s="4" t="s">
        <v>34</v>
      </c>
      <c r="I293" s="4" t="s">
        <v>35</v>
      </c>
      <c r="J293" s="4" t="str">
        <f t="shared" si="16"/>
        <v/>
      </c>
      <c r="K293" s="4" t="s">
        <v>39</v>
      </c>
      <c r="L293" s="4">
        <f>Setup!$C$15</f>
        <v>1500</v>
      </c>
      <c r="M293" s="4" t="s">
        <v>36</v>
      </c>
      <c r="N293" s="4" t="str">
        <f t="shared" si="17"/>
        <v/>
      </c>
      <c r="O293" s="4" t="s">
        <v>40</v>
      </c>
      <c r="P293" s="4">
        <f>Setup!$C$13</f>
        <v>1200</v>
      </c>
      <c r="Q293" s="4" t="s">
        <v>37</v>
      </c>
      <c r="R293" s="4" t="str">
        <f t="shared" si="18"/>
        <v/>
      </c>
      <c r="S293" s="4" t="s">
        <v>41</v>
      </c>
      <c r="T293" s="4">
        <f>Setup!$C$14</f>
        <v>1200</v>
      </c>
      <c r="U293" s="4" t="str">
        <f t="shared" si="19"/>
        <v/>
      </c>
      <c r="V293" s="4"/>
    </row>
    <row r="294" spans="1:22" x14ac:dyDescent="0.25">
      <c r="A294" s="4"/>
      <c r="B294" s="4" t="str">
        <f>IFERROR(IF(A294&lt;&gt;"",VLOOKUP($A294,calculation!$A$10:$V$510,12),""),"")</f>
        <v/>
      </c>
      <c r="C294" s="4" t="str">
        <f>IFERROR(IF(A294&lt;&gt;"",VLOOKUP($A294,calculation!$A$10:$V$510,15),""),"")</f>
        <v/>
      </c>
      <c r="D294" s="4" t="str">
        <f>IFERROR(IF(A294&lt;&gt;"",VLOOKUP($A294,calculation!$A$10:$V$510,22),""),"")</f>
        <v/>
      </c>
      <c r="F294" s="4" t="s">
        <v>27</v>
      </c>
      <c r="G294" s="4">
        <f>MAX($G$9:G293)+1</f>
        <v>266</v>
      </c>
      <c r="H294" s="4" t="s">
        <v>34</v>
      </c>
      <c r="I294" s="4" t="s">
        <v>35</v>
      </c>
      <c r="J294" s="4" t="str">
        <f t="shared" si="16"/>
        <v/>
      </c>
      <c r="K294" s="4" t="s">
        <v>39</v>
      </c>
      <c r="L294" s="4">
        <f>Setup!$C$15</f>
        <v>1500</v>
      </c>
      <c r="M294" s="4" t="s">
        <v>36</v>
      </c>
      <c r="N294" s="4" t="str">
        <f t="shared" si="17"/>
        <v/>
      </c>
      <c r="O294" s="4" t="s">
        <v>40</v>
      </c>
      <c r="P294" s="4">
        <f>Setup!$C$13</f>
        <v>1200</v>
      </c>
      <c r="Q294" s="4" t="s">
        <v>37</v>
      </c>
      <c r="R294" s="4" t="str">
        <f t="shared" si="18"/>
        <v/>
      </c>
      <c r="S294" s="4" t="s">
        <v>41</v>
      </c>
      <c r="T294" s="4">
        <f>Setup!$C$14</f>
        <v>1200</v>
      </c>
      <c r="U294" s="4" t="str">
        <f t="shared" si="19"/>
        <v/>
      </c>
      <c r="V294" s="4"/>
    </row>
    <row r="295" spans="1:22" x14ac:dyDescent="0.25">
      <c r="A295" s="4"/>
      <c r="B295" s="4" t="str">
        <f>IFERROR(IF(A295&lt;&gt;"",VLOOKUP($A295,calculation!$A$10:$V$510,12),""),"")</f>
        <v/>
      </c>
      <c r="C295" s="4" t="str">
        <f>IFERROR(IF(A295&lt;&gt;"",VLOOKUP($A295,calculation!$A$10:$V$510,15),""),"")</f>
        <v/>
      </c>
      <c r="D295" s="4" t="str">
        <f>IFERROR(IF(A295&lt;&gt;"",VLOOKUP($A295,calculation!$A$10:$V$510,22),""),"")</f>
        <v/>
      </c>
      <c r="F295" s="4" t="s">
        <v>27</v>
      </c>
      <c r="G295" s="4">
        <f>MAX($G$9:G294)+1</f>
        <v>267</v>
      </c>
      <c r="H295" s="4" t="s">
        <v>34</v>
      </c>
      <c r="I295" s="4" t="s">
        <v>35</v>
      </c>
      <c r="J295" s="4" t="str">
        <f t="shared" si="16"/>
        <v/>
      </c>
      <c r="K295" s="4" t="s">
        <v>39</v>
      </c>
      <c r="L295" s="4">
        <f>Setup!$C$15</f>
        <v>1500</v>
      </c>
      <c r="M295" s="4" t="s">
        <v>36</v>
      </c>
      <c r="N295" s="4" t="str">
        <f t="shared" si="17"/>
        <v/>
      </c>
      <c r="O295" s="4" t="s">
        <v>40</v>
      </c>
      <c r="P295" s="4">
        <f>Setup!$C$13</f>
        <v>1200</v>
      </c>
      <c r="Q295" s="4" t="s">
        <v>37</v>
      </c>
      <c r="R295" s="4" t="str">
        <f t="shared" si="18"/>
        <v/>
      </c>
      <c r="S295" s="4" t="s">
        <v>41</v>
      </c>
      <c r="T295" s="4">
        <f>Setup!$C$14</f>
        <v>1200</v>
      </c>
      <c r="U295" s="4" t="str">
        <f t="shared" si="19"/>
        <v/>
      </c>
      <c r="V295" s="4"/>
    </row>
    <row r="296" spans="1:22" x14ac:dyDescent="0.25">
      <c r="A296" s="4"/>
      <c r="B296" s="4" t="str">
        <f>IFERROR(IF(A296&lt;&gt;"",VLOOKUP($A296,calculation!$A$10:$V$510,12),""),"")</f>
        <v/>
      </c>
      <c r="C296" s="4" t="str">
        <f>IFERROR(IF(A296&lt;&gt;"",VLOOKUP($A296,calculation!$A$10:$V$510,15),""),"")</f>
        <v/>
      </c>
      <c r="D296" s="4" t="str">
        <f>IFERROR(IF(A296&lt;&gt;"",VLOOKUP($A296,calculation!$A$10:$V$510,22),""),"")</f>
        <v/>
      </c>
      <c r="F296" s="4" t="s">
        <v>27</v>
      </c>
      <c r="G296" s="4">
        <f>MAX($G$9:G295)+1</f>
        <v>268</v>
      </c>
      <c r="H296" s="4" t="s">
        <v>34</v>
      </c>
      <c r="I296" s="4" t="s">
        <v>35</v>
      </c>
      <c r="J296" s="4" t="str">
        <f t="shared" si="16"/>
        <v/>
      </c>
      <c r="K296" s="4" t="s">
        <v>39</v>
      </c>
      <c r="L296" s="4">
        <f>Setup!$C$15</f>
        <v>1500</v>
      </c>
      <c r="M296" s="4" t="s">
        <v>36</v>
      </c>
      <c r="N296" s="4" t="str">
        <f t="shared" si="17"/>
        <v/>
      </c>
      <c r="O296" s="4" t="s">
        <v>40</v>
      </c>
      <c r="P296" s="4">
        <f>Setup!$C$13</f>
        <v>1200</v>
      </c>
      <c r="Q296" s="4" t="s">
        <v>37</v>
      </c>
      <c r="R296" s="4" t="str">
        <f t="shared" si="18"/>
        <v/>
      </c>
      <c r="S296" s="4" t="s">
        <v>41</v>
      </c>
      <c r="T296" s="4">
        <f>Setup!$C$14</f>
        <v>1200</v>
      </c>
      <c r="U296" s="4" t="str">
        <f t="shared" si="19"/>
        <v/>
      </c>
      <c r="V296" s="4"/>
    </row>
    <row r="297" spans="1:22" x14ac:dyDescent="0.25">
      <c r="A297" s="4"/>
      <c r="B297" s="4" t="str">
        <f>IFERROR(IF(A297&lt;&gt;"",VLOOKUP($A297,calculation!$A$10:$V$510,12),""),"")</f>
        <v/>
      </c>
      <c r="C297" s="4" t="str">
        <f>IFERROR(IF(A297&lt;&gt;"",VLOOKUP($A297,calculation!$A$10:$V$510,15),""),"")</f>
        <v/>
      </c>
      <c r="D297" s="4" t="str">
        <f>IFERROR(IF(A297&lt;&gt;"",VLOOKUP($A297,calculation!$A$10:$V$510,22),""),"")</f>
        <v/>
      </c>
      <c r="F297" s="4" t="s">
        <v>27</v>
      </c>
      <c r="G297" s="4">
        <f>MAX($G$9:G296)+1</f>
        <v>269</v>
      </c>
      <c r="H297" s="4" t="s">
        <v>34</v>
      </c>
      <c r="I297" s="4" t="s">
        <v>35</v>
      </c>
      <c r="J297" s="4" t="str">
        <f t="shared" si="16"/>
        <v/>
      </c>
      <c r="K297" s="4" t="s">
        <v>39</v>
      </c>
      <c r="L297" s="4">
        <f>Setup!$C$15</f>
        <v>1500</v>
      </c>
      <c r="M297" s="4" t="s">
        <v>36</v>
      </c>
      <c r="N297" s="4" t="str">
        <f t="shared" si="17"/>
        <v/>
      </c>
      <c r="O297" s="4" t="s">
        <v>40</v>
      </c>
      <c r="P297" s="4">
        <f>Setup!$C$13</f>
        <v>1200</v>
      </c>
      <c r="Q297" s="4" t="s">
        <v>37</v>
      </c>
      <c r="R297" s="4" t="str">
        <f t="shared" si="18"/>
        <v/>
      </c>
      <c r="S297" s="4" t="s">
        <v>41</v>
      </c>
      <c r="T297" s="4">
        <f>Setup!$C$14</f>
        <v>1200</v>
      </c>
      <c r="U297" s="4" t="str">
        <f t="shared" si="19"/>
        <v/>
      </c>
      <c r="V297" s="4"/>
    </row>
    <row r="298" spans="1:22" x14ac:dyDescent="0.25">
      <c r="A298" s="4"/>
      <c r="B298" s="4" t="str">
        <f>IFERROR(IF(A298&lt;&gt;"",VLOOKUP($A298,calculation!$A$10:$V$510,12),""),"")</f>
        <v/>
      </c>
      <c r="C298" s="4" t="str">
        <f>IFERROR(IF(A298&lt;&gt;"",VLOOKUP($A298,calculation!$A$10:$V$510,15),""),"")</f>
        <v/>
      </c>
      <c r="D298" s="4" t="str">
        <f>IFERROR(IF(A298&lt;&gt;"",VLOOKUP($A298,calculation!$A$10:$V$510,22),""),"")</f>
        <v/>
      </c>
      <c r="F298" s="4" t="s">
        <v>27</v>
      </c>
      <c r="G298" s="4">
        <f>MAX($G$9:G297)+1</f>
        <v>270</v>
      </c>
      <c r="H298" s="4" t="s">
        <v>34</v>
      </c>
      <c r="I298" s="4" t="s">
        <v>35</v>
      </c>
      <c r="J298" s="4" t="str">
        <f t="shared" si="16"/>
        <v/>
      </c>
      <c r="K298" s="4" t="s">
        <v>39</v>
      </c>
      <c r="L298" s="4">
        <f>Setup!$C$15</f>
        <v>1500</v>
      </c>
      <c r="M298" s="4" t="s">
        <v>36</v>
      </c>
      <c r="N298" s="4" t="str">
        <f t="shared" si="17"/>
        <v/>
      </c>
      <c r="O298" s="4" t="s">
        <v>40</v>
      </c>
      <c r="P298" s="4">
        <f>Setup!$C$13</f>
        <v>1200</v>
      </c>
      <c r="Q298" s="4" t="s">
        <v>37</v>
      </c>
      <c r="R298" s="4" t="str">
        <f t="shared" si="18"/>
        <v/>
      </c>
      <c r="S298" s="4" t="s">
        <v>41</v>
      </c>
      <c r="T298" s="4">
        <f>Setup!$C$14</f>
        <v>1200</v>
      </c>
      <c r="U298" s="4" t="str">
        <f t="shared" si="19"/>
        <v/>
      </c>
      <c r="V298" s="4"/>
    </row>
    <row r="299" spans="1:22" x14ac:dyDescent="0.25">
      <c r="A299" s="4"/>
      <c r="B299" s="4" t="str">
        <f>IFERROR(IF(A299&lt;&gt;"",VLOOKUP($A299,calculation!$A$10:$V$510,12),""),"")</f>
        <v/>
      </c>
      <c r="C299" s="4" t="str">
        <f>IFERROR(IF(A299&lt;&gt;"",VLOOKUP($A299,calculation!$A$10:$V$510,15),""),"")</f>
        <v/>
      </c>
      <c r="D299" s="4" t="str">
        <f>IFERROR(IF(A299&lt;&gt;"",VLOOKUP($A299,calculation!$A$10:$V$510,22),""),"")</f>
        <v/>
      </c>
      <c r="F299" s="4" t="s">
        <v>27</v>
      </c>
      <c r="G299" s="4">
        <f>MAX($G$9:G298)+1</f>
        <v>271</v>
      </c>
      <c r="H299" s="4" t="s">
        <v>34</v>
      </c>
      <c r="I299" s="4" t="s">
        <v>35</v>
      </c>
      <c r="J299" s="4" t="str">
        <f t="shared" si="16"/>
        <v/>
      </c>
      <c r="K299" s="4" t="s">
        <v>39</v>
      </c>
      <c r="L299" s="4">
        <f>Setup!$C$15</f>
        <v>1500</v>
      </c>
      <c r="M299" s="4" t="s">
        <v>36</v>
      </c>
      <c r="N299" s="4" t="str">
        <f t="shared" si="17"/>
        <v/>
      </c>
      <c r="O299" s="4" t="s">
        <v>40</v>
      </c>
      <c r="P299" s="4">
        <f>Setup!$C$13</f>
        <v>1200</v>
      </c>
      <c r="Q299" s="4" t="s">
        <v>37</v>
      </c>
      <c r="R299" s="4" t="str">
        <f t="shared" si="18"/>
        <v/>
      </c>
      <c r="S299" s="4" t="s">
        <v>41</v>
      </c>
      <c r="T299" s="4">
        <f>Setup!$C$14</f>
        <v>1200</v>
      </c>
      <c r="U299" s="4" t="str">
        <f t="shared" si="19"/>
        <v/>
      </c>
      <c r="V299" s="4"/>
    </row>
    <row r="300" spans="1:22" x14ac:dyDescent="0.25">
      <c r="A300" s="4"/>
      <c r="B300" s="4" t="str">
        <f>IFERROR(IF(A300&lt;&gt;"",VLOOKUP($A300,calculation!$A$10:$V$510,12),""),"")</f>
        <v/>
      </c>
      <c r="C300" s="4" t="str">
        <f>IFERROR(IF(A300&lt;&gt;"",VLOOKUP($A300,calculation!$A$10:$V$510,15),""),"")</f>
        <v/>
      </c>
      <c r="D300" s="4" t="str">
        <f>IFERROR(IF(A300&lt;&gt;"",VLOOKUP($A300,calculation!$A$10:$V$510,22),""),"")</f>
        <v/>
      </c>
      <c r="F300" s="4" t="s">
        <v>27</v>
      </c>
      <c r="G300" s="4">
        <f>MAX($G$9:G299)+1</f>
        <v>272</v>
      </c>
      <c r="H300" s="4" t="s">
        <v>34</v>
      </c>
      <c r="I300" s="4" t="s">
        <v>35</v>
      </c>
      <c r="J300" s="4" t="str">
        <f t="shared" si="16"/>
        <v/>
      </c>
      <c r="K300" s="4" t="s">
        <v>39</v>
      </c>
      <c r="L300" s="4">
        <f>Setup!$C$15</f>
        <v>1500</v>
      </c>
      <c r="M300" s="4" t="s">
        <v>36</v>
      </c>
      <c r="N300" s="4" t="str">
        <f t="shared" si="17"/>
        <v/>
      </c>
      <c r="O300" s="4" t="s">
        <v>40</v>
      </c>
      <c r="P300" s="4">
        <f>Setup!$C$13</f>
        <v>1200</v>
      </c>
      <c r="Q300" s="4" t="s">
        <v>37</v>
      </c>
      <c r="R300" s="4" t="str">
        <f t="shared" si="18"/>
        <v/>
      </c>
      <c r="S300" s="4" t="s">
        <v>41</v>
      </c>
      <c r="T300" s="4">
        <f>Setup!$C$14</f>
        <v>1200</v>
      </c>
      <c r="U300" s="4" t="str">
        <f t="shared" si="19"/>
        <v/>
      </c>
      <c r="V300" s="4"/>
    </row>
    <row r="301" spans="1:22" x14ac:dyDescent="0.25">
      <c r="A301" s="4"/>
      <c r="B301" s="4" t="str">
        <f>IFERROR(IF(A301&lt;&gt;"",VLOOKUP($A301,calculation!$A$10:$V$510,12),""),"")</f>
        <v/>
      </c>
      <c r="C301" s="4" t="str">
        <f>IFERROR(IF(A301&lt;&gt;"",VLOOKUP($A301,calculation!$A$10:$V$510,15),""),"")</f>
        <v/>
      </c>
      <c r="D301" s="4" t="str">
        <f>IFERROR(IF(A301&lt;&gt;"",VLOOKUP($A301,calculation!$A$10:$V$510,22),""),"")</f>
        <v/>
      </c>
      <c r="F301" s="4" t="s">
        <v>27</v>
      </c>
      <c r="G301" s="4">
        <f>MAX($G$9:G300)+1</f>
        <v>273</v>
      </c>
      <c r="H301" s="4" t="s">
        <v>34</v>
      </c>
      <c r="I301" s="4" t="s">
        <v>35</v>
      </c>
      <c r="J301" s="4" t="str">
        <f t="shared" si="16"/>
        <v/>
      </c>
      <c r="K301" s="4" t="s">
        <v>39</v>
      </c>
      <c r="L301" s="4">
        <f>Setup!$C$15</f>
        <v>1500</v>
      </c>
      <c r="M301" s="4" t="s">
        <v>36</v>
      </c>
      <c r="N301" s="4" t="str">
        <f t="shared" si="17"/>
        <v/>
      </c>
      <c r="O301" s="4" t="s">
        <v>40</v>
      </c>
      <c r="P301" s="4">
        <f>Setup!$C$13</f>
        <v>1200</v>
      </c>
      <c r="Q301" s="4" t="s">
        <v>37</v>
      </c>
      <c r="R301" s="4" t="str">
        <f t="shared" si="18"/>
        <v/>
      </c>
      <c r="S301" s="4" t="s">
        <v>41</v>
      </c>
      <c r="T301" s="4">
        <f>Setup!$C$14</f>
        <v>1200</v>
      </c>
      <c r="U301" s="4" t="str">
        <f t="shared" si="19"/>
        <v/>
      </c>
      <c r="V301" s="4"/>
    </row>
    <row r="302" spans="1:22" x14ac:dyDescent="0.25">
      <c r="A302" s="4"/>
      <c r="B302" s="4" t="str">
        <f>IFERROR(IF(A302&lt;&gt;"",VLOOKUP($A302,calculation!$A$10:$V$510,12),""),"")</f>
        <v/>
      </c>
      <c r="C302" s="4" t="str">
        <f>IFERROR(IF(A302&lt;&gt;"",VLOOKUP($A302,calculation!$A$10:$V$510,15),""),"")</f>
        <v/>
      </c>
      <c r="D302" s="4" t="str">
        <f>IFERROR(IF(A302&lt;&gt;"",VLOOKUP($A302,calculation!$A$10:$V$510,22),""),"")</f>
        <v/>
      </c>
      <c r="F302" s="4" t="s">
        <v>27</v>
      </c>
      <c r="G302" s="4">
        <f>MAX($G$9:G301)+1</f>
        <v>274</v>
      </c>
      <c r="H302" s="4" t="s">
        <v>34</v>
      </c>
      <c r="I302" s="4" t="s">
        <v>35</v>
      </c>
      <c r="J302" s="4" t="str">
        <f t="shared" si="16"/>
        <v/>
      </c>
      <c r="K302" s="4" t="s">
        <v>39</v>
      </c>
      <c r="L302" s="4">
        <f>Setup!$C$15</f>
        <v>1500</v>
      </c>
      <c r="M302" s="4" t="s">
        <v>36</v>
      </c>
      <c r="N302" s="4" t="str">
        <f t="shared" si="17"/>
        <v/>
      </c>
      <c r="O302" s="4" t="s">
        <v>40</v>
      </c>
      <c r="P302" s="4">
        <f>Setup!$C$13</f>
        <v>1200</v>
      </c>
      <c r="Q302" s="4" t="s">
        <v>37</v>
      </c>
      <c r="R302" s="4" t="str">
        <f t="shared" si="18"/>
        <v/>
      </c>
      <c r="S302" s="4" t="s">
        <v>41</v>
      </c>
      <c r="T302" s="4">
        <f>Setup!$C$14</f>
        <v>1200</v>
      </c>
      <c r="U302" s="4" t="str">
        <f t="shared" si="19"/>
        <v/>
      </c>
      <c r="V302" s="4"/>
    </row>
    <row r="303" spans="1:22" x14ac:dyDescent="0.25">
      <c r="A303" s="4"/>
      <c r="B303" s="4" t="str">
        <f>IFERROR(IF(A303&lt;&gt;"",VLOOKUP($A303,calculation!$A$10:$V$510,12),""),"")</f>
        <v/>
      </c>
      <c r="C303" s="4" t="str">
        <f>IFERROR(IF(A303&lt;&gt;"",VLOOKUP($A303,calculation!$A$10:$V$510,15),""),"")</f>
        <v/>
      </c>
      <c r="D303" s="4" t="str">
        <f>IFERROR(IF(A303&lt;&gt;"",VLOOKUP($A303,calculation!$A$10:$V$510,22),""),"")</f>
        <v/>
      </c>
      <c r="F303" s="4" t="s">
        <v>27</v>
      </c>
      <c r="G303" s="4">
        <f>MAX($G$9:G302)+1</f>
        <v>275</v>
      </c>
      <c r="H303" s="4" t="s">
        <v>34</v>
      </c>
      <c r="I303" s="4" t="s">
        <v>35</v>
      </c>
      <c r="J303" s="4" t="str">
        <f t="shared" si="16"/>
        <v/>
      </c>
      <c r="K303" s="4" t="s">
        <v>39</v>
      </c>
      <c r="L303" s="4">
        <f>Setup!$C$15</f>
        <v>1500</v>
      </c>
      <c r="M303" s="4" t="s">
        <v>36</v>
      </c>
      <c r="N303" s="4" t="str">
        <f t="shared" si="17"/>
        <v/>
      </c>
      <c r="O303" s="4" t="s">
        <v>40</v>
      </c>
      <c r="P303" s="4">
        <f>Setup!$C$13</f>
        <v>1200</v>
      </c>
      <c r="Q303" s="4" t="s">
        <v>37</v>
      </c>
      <c r="R303" s="4" t="str">
        <f t="shared" si="18"/>
        <v/>
      </c>
      <c r="S303" s="4" t="s">
        <v>41</v>
      </c>
      <c r="T303" s="4">
        <f>Setup!$C$14</f>
        <v>1200</v>
      </c>
      <c r="U303" s="4" t="str">
        <f t="shared" si="19"/>
        <v/>
      </c>
      <c r="V303" s="4"/>
    </row>
    <row r="304" spans="1:22" x14ac:dyDescent="0.25">
      <c r="A304" s="4"/>
      <c r="B304" s="4" t="str">
        <f>IFERROR(IF(A304&lt;&gt;"",VLOOKUP($A304,calculation!$A$10:$V$510,12),""),"")</f>
        <v/>
      </c>
      <c r="C304" s="4" t="str">
        <f>IFERROR(IF(A304&lt;&gt;"",VLOOKUP($A304,calculation!$A$10:$V$510,15),""),"")</f>
        <v/>
      </c>
      <c r="D304" s="4" t="str">
        <f>IFERROR(IF(A304&lt;&gt;"",VLOOKUP($A304,calculation!$A$10:$V$510,22),""),"")</f>
        <v/>
      </c>
      <c r="F304" s="4" t="s">
        <v>27</v>
      </c>
      <c r="G304" s="4">
        <f>MAX($G$9:G303)+1</f>
        <v>276</v>
      </c>
      <c r="H304" s="4" t="s">
        <v>34</v>
      </c>
      <c r="I304" s="4" t="s">
        <v>35</v>
      </c>
      <c r="J304" s="4" t="str">
        <f t="shared" si="16"/>
        <v/>
      </c>
      <c r="K304" s="4" t="s">
        <v>39</v>
      </c>
      <c r="L304" s="4">
        <f>Setup!$C$15</f>
        <v>1500</v>
      </c>
      <c r="M304" s="4" t="s">
        <v>36</v>
      </c>
      <c r="N304" s="4" t="str">
        <f t="shared" si="17"/>
        <v/>
      </c>
      <c r="O304" s="4" t="s">
        <v>40</v>
      </c>
      <c r="P304" s="4">
        <f>Setup!$C$13</f>
        <v>1200</v>
      </c>
      <c r="Q304" s="4" t="s">
        <v>37</v>
      </c>
      <c r="R304" s="4" t="str">
        <f t="shared" si="18"/>
        <v/>
      </c>
      <c r="S304" s="4" t="s">
        <v>41</v>
      </c>
      <c r="T304" s="4">
        <f>Setup!$C$14</f>
        <v>1200</v>
      </c>
      <c r="U304" s="4" t="str">
        <f t="shared" si="19"/>
        <v/>
      </c>
      <c r="V304" s="4"/>
    </row>
    <row r="305" spans="1:22" x14ac:dyDescent="0.25">
      <c r="A305" s="4"/>
      <c r="B305" s="4" t="str">
        <f>IFERROR(IF(A305&lt;&gt;"",VLOOKUP($A305,calculation!$A$10:$V$510,12),""),"")</f>
        <v/>
      </c>
      <c r="C305" s="4" t="str">
        <f>IFERROR(IF(A305&lt;&gt;"",VLOOKUP($A305,calculation!$A$10:$V$510,15),""),"")</f>
        <v/>
      </c>
      <c r="D305" s="4" t="str">
        <f>IFERROR(IF(A305&lt;&gt;"",VLOOKUP($A305,calculation!$A$10:$V$510,22),""),"")</f>
        <v/>
      </c>
      <c r="F305" s="4" t="s">
        <v>27</v>
      </c>
      <c r="G305" s="4">
        <f>MAX($G$9:G304)+1</f>
        <v>277</v>
      </c>
      <c r="H305" s="4" t="s">
        <v>34</v>
      </c>
      <c r="I305" s="4" t="s">
        <v>35</v>
      </c>
      <c r="J305" s="4" t="str">
        <f t="shared" si="16"/>
        <v/>
      </c>
      <c r="K305" s="4" t="s">
        <v>39</v>
      </c>
      <c r="L305" s="4">
        <f>Setup!$C$15</f>
        <v>1500</v>
      </c>
      <c r="M305" s="4" t="s">
        <v>36</v>
      </c>
      <c r="N305" s="4" t="str">
        <f t="shared" si="17"/>
        <v/>
      </c>
      <c r="O305" s="4" t="s">
        <v>40</v>
      </c>
      <c r="P305" s="4">
        <f>Setup!$C$13</f>
        <v>1200</v>
      </c>
      <c r="Q305" s="4" t="s">
        <v>37</v>
      </c>
      <c r="R305" s="4" t="str">
        <f t="shared" si="18"/>
        <v/>
      </c>
      <c r="S305" s="4" t="s">
        <v>41</v>
      </c>
      <c r="T305" s="4">
        <f>Setup!$C$14</f>
        <v>1200</v>
      </c>
      <c r="U305" s="4" t="str">
        <f t="shared" si="19"/>
        <v/>
      </c>
      <c r="V305" s="4"/>
    </row>
    <row r="306" spans="1:22" x14ac:dyDescent="0.25">
      <c r="A306" s="4"/>
      <c r="B306" s="4" t="str">
        <f>IFERROR(IF(A306&lt;&gt;"",VLOOKUP($A306,calculation!$A$10:$V$510,12),""),"")</f>
        <v/>
      </c>
      <c r="C306" s="4" t="str">
        <f>IFERROR(IF(A306&lt;&gt;"",VLOOKUP($A306,calculation!$A$10:$V$510,15),""),"")</f>
        <v/>
      </c>
      <c r="D306" s="4" t="str">
        <f>IFERROR(IF(A306&lt;&gt;"",VLOOKUP($A306,calculation!$A$10:$V$510,22),""),"")</f>
        <v/>
      </c>
      <c r="F306" s="4" t="s">
        <v>27</v>
      </c>
      <c r="G306" s="4">
        <f>MAX($G$9:G305)+1</f>
        <v>278</v>
      </c>
      <c r="H306" s="4" t="s">
        <v>34</v>
      </c>
      <c r="I306" s="4" t="s">
        <v>35</v>
      </c>
      <c r="J306" s="4" t="str">
        <f t="shared" si="16"/>
        <v/>
      </c>
      <c r="K306" s="4" t="s">
        <v>39</v>
      </c>
      <c r="L306" s="4">
        <f>Setup!$C$15</f>
        <v>1500</v>
      </c>
      <c r="M306" s="4" t="s">
        <v>36</v>
      </c>
      <c r="N306" s="4" t="str">
        <f t="shared" si="17"/>
        <v/>
      </c>
      <c r="O306" s="4" t="s">
        <v>40</v>
      </c>
      <c r="P306" s="4">
        <f>Setup!$C$13</f>
        <v>1200</v>
      </c>
      <c r="Q306" s="4" t="s">
        <v>37</v>
      </c>
      <c r="R306" s="4" t="str">
        <f t="shared" si="18"/>
        <v/>
      </c>
      <c r="S306" s="4" t="s">
        <v>41</v>
      </c>
      <c r="T306" s="4">
        <f>Setup!$C$14</f>
        <v>1200</v>
      </c>
      <c r="U306" s="4" t="str">
        <f t="shared" si="19"/>
        <v/>
      </c>
      <c r="V306" s="4"/>
    </row>
    <row r="307" spans="1:22" x14ac:dyDescent="0.25">
      <c r="A307" s="4"/>
      <c r="B307" s="4" t="str">
        <f>IFERROR(IF(A307&lt;&gt;"",VLOOKUP($A307,calculation!$A$10:$V$510,12),""),"")</f>
        <v/>
      </c>
      <c r="C307" s="4" t="str">
        <f>IFERROR(IF(A307&lt;&gt;"",VLOOKUP($A307,calculation!$A$10:$V$510,15),""),"")</f>
        <v/>
      </c>
      <c r="D307" s="4" t="str">
        <f>IFERROR(IF(A307&lt;&gt;"",VLOOKUP($A307,calculation!$A$10:$V$510,22),""),"")</f>
        <v/>
      </c>
      <c r="F307" s="4" t="s">
        <v>27</v>
      </c>
      <c r="G307" s="4">
        <f>MAX($G$9:G306)+1</f>
        <v>279</v>
      </c>
      <c r="H307" s="4" t="s">
        <v>34</v>
      </c>
      <c r="I307" s="4" t="s">
        <v>35</v>
      </c>
      <c r="J307" s="4" t="str">
        <f t="shared" si="16"/>
        <v/>
      </c>
      <c r="K307" s="4" t="s">
        <v>39</v>
      </c>
      <c r="L307" s="4">
        <f>Setup!$C$15</f>
        <v>1500</v>
      </c>
      <c r="M307" s="4" t="s">
        <v>36</v>
      </c>
      <c r="N307" s="4" t="str">
        <f t="shared" si="17"/>
        <v/>
      </c>
      <c r="O307" s="4" t="s">
        <v>40</v>
      </c>
      <c r="P307" s="4">
        <f>Setup!$C$13</f>
        <v>1200</v>
      </c>
      <c r="Q307" s="4" t="s">
        <v>37</v>
      </c>
      <c r="R307" s="4" t="str">
        <f t="shared" si="18"/>
        <v/>
      </c>
      <c r="S307" s="4" t="s">
        <v>41</v>
      </c>
      <c r="T307" s="4">
        <f>Setup!$C$14</f>
        <v>1200</v>
      </c>
      <c r="U307" s="4" t="str">
        <f t="shared" si="19"/>
        <v/>
      </c>
      <c r="V307" s="4"/>
    </row>
    <row r="308" spans="1:22" x14ac:dyDescent="0.25">
      <c r="A308" s="4"/>
      <c r="B308" s="4" t="str">
        <f>IFERROR(IF(A308&lt;&gt;"",VLOOKUP($A308,calculation!$A$10:$V$510,12),""),"")</f>
        <v/>
      </c>
      <c r="C308" s="4" t="str">
        <f>IFERROR(IF(A308&lt;&gt;"",VLOOKUP($A308,calculation!$A$10:$V$510,15),""),"")</f>
        <v/>
      </c>
      <c r="D308" s="4" t="str">
        <f>IFERROR(IF(A308&lt;&gt;"",VLOOKUP($A308,calculation!$A$10:$V$510,22),""),"")</f>
        <v/>
      </c>
      <c r="F308" s="4" t="s">
        <v>27</v>
      </c>
      <c r="G308" s="4">
        <f>MAX($G$9:G307)+1</f>
        <v>280</v>
      </c>
      <c r="H308" s="4" t="s">
        <v>34</v>
      </c>
      <c r="I308" s="4" t="s">
        <v>35</v>
      </c>
      <c r="J308" s="4" t="str">
        <f t="shared" si="16"/>
        <v/>
      </c>
      <c r="K308" s="4" t="s">
        <v>39</v>
      </c>
      <c r="L308" s="4">
        <f>Setup!$C$15</f>
        <v>1500</v>
      </c>
      <c r="M308" s="4" t="s">
        <v>36</v>
      </c>
      <c r="N308" s="4" t="str">
        <f t="shared" si="17"/>
        <v/>
      </c>
      <c r="O308" s="4" t="s">
        <v>40</v>
      </c>
      <c r="P308" s="4">
        <f>Setup!$C$13</f>
        <v>1200</v>
      </c>
      <c r="Q308" s="4" t="s">
        <v>37</v>
      </c>
      <c r="R308" s="4" t="str">
        <f t="shared" si="18"/>
        <v/>
      </c>
      <c r="S308" s="4" t="s">
        <v>41</v>
      </c>
      <c r="T308" s="4">
        <f>Setup!$C$14</f>
        <v>1200</v>
      </c>
      <c r="U308" s="4" t="str">
        <f t="shared" si="19"/>
        <v/>
      </c>
      <c r="V308" s="4"/>
    </row>
    <row r="309" spans="1:22" x14ac:dyDescent="0.25">
      <c r="A309" s="4"/>
      <c r="B309" s="4" t="str">
        <f>IFERROR(IF(A309&lt;&gt;"",VLOOKUP($A309,calculation!$A$10:$V$510,12),""),"")</f>
        <v/>
      </c>
      <c r="C309" s="4" t="str">
        <f>IFERROR(IF(A309&lt;&gt;"",VLOOKUP($A309,calculation!$A$10:$V$510,15),""),"")</f>
        <v/>
      </c>
      <c r="D309" s="4" t="str">
        <f>IFERROR(IF(A309&lt;&gt;"",VLOOKUP($A309,calculation!$A$10:$V$510,22),""),"")</f>
        <v/>
      </c>
      <c r="F309" s="4" t="s">
        <v>27</v>
      </c>
      <c r="G309" s="4">
        <f>MAX($G$9:G308)+1</f>
        <v>281</v>
      </c>
      <c r="H309" s="4" t="s">
        <v>34</v>
      </c>
      <c r="I309" s="4" t="s">
        <v>35</v>
      </c>
      <c r="J309" s="4" t="str">
        <f t="shared" si="16"/>
        <v/>
      </c>
      <c r="K309" s="4" t="s">
        <v>39</v>
      </c>
      <c r="L309" s="4">
        <f>Setup!$C$15</f>
        <v>1500</v>
      </c>
      <c r="M309" s="4" t="s">
        <v>36</v>
      </c>
      <c r="N309" s="4" t="str">
        <f t="shared" si="17"/>
        <v/>
      </c>
      <c r="O309" s="4" t="s">
        <v>40</v>
      </c>
      <c r="P309" s="4">
        <f>Setup!$C$13</f>
        <v>1200</v>
      </c>
      <c r="Q309" s="4" t="s">
        <v>37</v>
      </c>
      <c r="R309" s="4" t="str">
        <f t="shared" si="18"/>
        <v/>
      </c>
      <c r="S309" s="4" t="s">
        <v>41</v>
      </c>
      <c r="T309" s="4">
        <f>Setup!$C$14</f>
        <v>1200</v>
      </c>
      <c r="U309" s="4" t="str">
        <f t="shared" si="19"/>
        <v/>
      </c>
      <c r="V309" s="4"/>
    </row>
    <row r="310" spans="1:22" x14ac:dyDescent="0.25">
      <c r="A310" s="4"/>
      <c r="B310" s="4" t="str">
        <f>IFERROR(IF(A310&lt;&gt;"",VLOOKUP($A310,calculation!$A$10:$V$510,12),""),"")</f>
        <v/>
      </c>
      <c r="C310" s="4" t="str">
        <f>IFERROR(IF(A310&lt;&gt;"",VLOOKUP($A310,calculation!$A$10:$V$510,15),""),"")</f>
        <v/>
      </c>
      <c r="D310" s="4" t="str">
        <f>IFERROR(IF(A310&lt;&gt;"",VLOOKUP($A310,calculation!$A$10:$V$510,22),""),"")</f>
        <v/>
      </c>
      <c r="F310" s="4" t="s">
        <v>27</v>
      </c>
      <c r="G310" s="4">
        <f>MAX($G$9:G309)+1</f>
        <v>282</v>
      </c>
      <c r="H310" s="4" t="s">
        <v>34</v>
      </c>
      <c r="I310" s="4" t="s">
        <v>35</v>
      </c>
      <c r="J310" s="4" t="str">
        <f t="shared" si="16"/>
        <v/>
      </c>
      <c r="K310" s="4" t="s">
        <v>39</v>
      </c>
      <c r="L310" s="4">
        <f>Setup!$C$15</f>
        <v>1500</v>
      </c>
      <c r="M310" s="4" t="s">
        <v>36</v>
      </c>
      <c r="N310" s="4" t="str">
        <f t="shared" si="17"/>
        <v/>
      </c>
      <c r="O310" s="4" t="s">
        <v>40</v>
      </c>
      <c r="P310" s="4">
        <f>Setup!$C$13</f>
        <v>1200</v>
      </c>
      <c r="Q310" s="4" t="s">
        <v>37</v>
      </c>
      <c r="R310" s="4" t="str">
        <f t="shared" si="18"/>
        <v/>
      </c>
      <c r="S310" s="4" t="s">
        <v>41</v>
      </c>
      <c r="T310" s="4">
        <f>Setup!$C$14</f>
        <v>1200</v>
      </c>
      <c r="U310" s="4" t="str">
        <f t="shared" si="19"/>
        <v/>
      </c>
      <c r="V310" s="4"/>
    </row>
    <row r="311" spans="1:22" x14ac:dyDescent="0.25">
      <c r="A311" s="4"/>
      <c r="B311" s="4" t="str">
        <f>IFERROR(IF(A311&lt;&gt;"",VLOOKUP($A311,calculation!$A$10:$V$510,12),""),"")</f>
        <v/>
      </c>
      <c r="C311" s="4" t="str">
        <f>IFERROR(IF(A311&lt;&gt;"",VLOOKUP($A311,calculation!$A$10:$V$510,15),""),"")</f>
        <v/>
      </c>
      <c r="D311" s="4" t="str">
        <f>IFERROR(IF(A311&lt;&gt;"",VLOOKUP($A311,calculation!$A$10:$V$510,22),""),"")</f>
        <v/>
      </c>
      <c r="F311" s="4" t="s">
        <v>27</v>
      </c>
      <c r="G311" s="4">
        <f>MAX($G$9:G310)+1</f>
        <v>283</v>
      </c>
      <c r="H311" s="4" t="s">
        <v>34</v>
      </c>
      <c r="I311" s="4" t="s">
        <v>35</v>
      </c>
      <c r="J311" s="4" t="str">
        <f t="shared" si="16"/>
        <v/>
      </c>
      <c r="K311" s="4" t="s">
        <v>39</v>
      </c>
      <c r="L311" s="4">
        <f>Setup!$C$15</f>
        <v>1500</v>
      </c>
      <c r="M311" s="4" t="s">
        <v>36</v>
      </c>
      <c r="N311" s="4" t="str">
        <f t="shared" si="17"/>
        <v/>
      </c>
      <c r="O311" s="4" t="s">
        <v>40</v>
      </c>
      <c r="P311" s="4">
        <f>Setup!$C$13</f>
        <v>1200</v>
      </c>
      <c r="Q311" s="4" t="s">
        <v>37</v>
      </c>
      <c r="R311" s="4" t="str">
        <f t="shared" si="18"/>
        <v/>
      </c>
      <c r="S311" s="4" t="s">
        <v>41</v>
      </c>
      <c r="T311" s="4">
        <f>Setup!$C$14</f>
        <v>1200</v>
      </c>
      <c r="U311" s="4" t="str">
        <f t="shared" si="19"/>
        <v/>
      </c>
      <c r="V311" s="4"/>
    </row>
    <row r="312" spans="1:22" x14ac:dyDescent="0.25">
      <c r="A312" s="4"/>
      <c r="B312" s="4" t="str">
        <f>IFERROR(IF(A312&lt;&gt;"",VLOOKUP($A312,calculation!$A$10:$V$510,12),""),"")</f>
        <v/>
      </c>
      <c r="C312" s="4" t="str">
        <f>IFERROR(IF(A312&lt;&gt;"",VLOOKUP($A312,calculation!$A$10:$V$510,15),""),"")</f>
        <v/>
      </c>
      <c r="D312" s="4" t="str">
        <f>IFERROR(IF(A312&lt;&gt;"",VLOOKUP($A312,calculation!$A$10:$V$510,22),""),"")</f>
        <v/>
      </c>
      <c r="F312" s="4" t="s">
        <v>27</v>
      </c>
      <c r="G312" s="4">
        <f>MAX($G$9:G311)+1</f>
        <v>284</v>
      </c>
      <c r="H312" s="4" t="s">
        <v>34</v>
      </c>
      <c r="I312" s="4" t="s">
        <v>35</v>
      </c>
      <c r="J312" s="4" t="str">
        <f t="shared" si="16"/>
        <v/>
      </c>
      <c r="K312" s="4" t="s">
        <v>39</v>
      </c>
      <c r="L312" s="4">
        <f>Setup!$C$15</f>
        <v>1500</v>
      </c>
      <c r="M312" s="4" t="s">
        <v>36</v>
      </c>
      <c r="N312" s="4" t="str">
        <f t="shared" si="17"/>
        <v/>
      </c>
      <c r="O312" s="4" t="s">
        <v>40</v>
      </c>
      <c r="P312" s="4">
        <f>Setup!$C$13</f>
        <v>1200</v>
      </c>
      <c r="Q312" s="4" t="s">
        <v>37</v>
      </c>
      <c r="R312" s="4" t="str">
        <f t="shared" si="18"/>
        <v/>
      </c>
      <c r="S312" s="4" t="s">
        <v>41</v>
      </c>
      <c r="T312" s="4">
        <f>Setup!$C$14</f>
        <v>1200</v>
      </c>
      <c r="U312" s="4" t="str">
        <f t="shared" si="19"/>
        <v/>
      </c>
      <c r="V312" s="4"/>
    </row>
    <row r="313" spans="1:22" x14ac:dyDescent="0.25">
      <c r="A313" s="4"/>
      <c r="B313" s="4" t="str">
        <f>IFERROR(IF(A313&lt;&gt;"",VLOOKUP($A313,calculation!$A$10:$V$510,12),""),"")</f>
        <v/>
      </c>
      <c r="C313" s="4" t="str">
        <f>IFERROR(IF(A313&lt;&gt;"",VLOOKUP($A313,calculation!$A$10:$V$510,15),""),"")</f>
        <v/>
      </c>
      <c r="D313" s="4" t="str">
        <f>IFERROR(IF(A313&lt;&gt;"",VLOOKUP($A313,calculation!$A$10:$V$510,22),""),"")</f>
        <v/>
      </c>
      <c r="F313" s="4" t="s">
        <v>27</v>
      </c>
      <c r="G313" s="4">
        <f>MAX($G$9:G312)+1</f>
        <v>285</v>
      </c>
      <c r="H313" s="4" t="s">
        <v>34</v>
      </c>
      <c r="I313" s="4" t="s">
        <v>35</v>
      </c>
      <c r="J313" s="4" t="str">
        <f t="shared" si="16"/>
        <v/>
      </c>
      <c r="K313" s="4" t="s">
        <v>39</v>
      </c>
      <c r="L313" s="4">
        <f>Setup!$C$15</f>
        <v>1500</v>
      </c>
      <c r="M313" s="4" t="s">
        <v>36</v>
      </c>
      <c r="N313" s="4" t="str">
        <f t="shared" si="17"/>
        <v/>
      </c>
      <c r="O313" s="4" t="s">
        <v>40</v>
      </c>
      <c r="P313" s="4">
        <f>Setup!$C$13</f>
        <v>1200</v>
      </c>
      <c r="Q313" s="4" t="s">
        <v>37</v>
      </c>
      <c r="R313" s="4" t="str">
        <f t="shared" si="18"/>
        <v/>
      </c>
      <c r="S313" s="4" t="s">
        <v>41</v>
      </c>
      <c r="T313" s="4">
        <f>Setup!$C$14</f>
        <v>1200</v>
      </c>
      <c r="U313" s="4" t="str">
        <f t="shared" si="19"/>
        <v/>
      </c>
      <c r="V313" s="4"/>
    </row>
    <row r="314" spans="1:22" x14ac:dyDescent="0.25">
      <c r="A314" s="4"/>
      <c r="B314" s="4" t="str">
        <f>IFERROR(IF(A314&lt;&gt;"",VLOOKUP($A314,calculation!$A$10:$V$510,12),""),"")</f>
        <v/>
      </c>
      <c r="C314" s="4" t="str">
        <f>IFERROR(IF(A314&lt;&gt;"",VLOOKUP($A314,calculation!$A$10:$V$510,15),""),"")</f>
        <v/>
      </c>
      <c r="D314" s="4" t="str">
        <f>IFERROR(IF(A314&lt;&gt;"",VLOOKUP($A314,calculation!$A$10:$V$510,22),""),"")</f>
        <v/>
      </c>
      <c r="F314" s="4" t="s">
        <v>27</v>
      </c>
      <c r="G314" s="4">
        <f>MAX($G$9:G313)+1</f>
        <v>286</v>
      </c>
      <c r="H314" s="4" t="s">
        <v>34</v>
      </c>
      <c r="I314" s="4" t="s">
        <v>35</v>
      </c>
      <c r="J314" s="4" t="str">
        <f t="shared" si="16"/>
        <v/>
      </c>
      <c r="K314" s="4" t="s">
        <v>39</v>
      </c>
      <c r="L314" s="4">
        <f>Setup!$C$15</f>
        <v>1500</v>
      </c>
      <c r="M314" s="4" t="s">
        <v>36</v>
      </c>
      <c r="N314" s="4" t="str">
        <f t="shared" si="17"/>
        <v/>
      </c>
      <c r="O314" s="4" t="s">
        <v>40</v>
      </c>
      <c r="P314" s="4">
        <f>Setup!$C$13</f>
        <v>1200</v>
      </c>
      <c r="Q314" s="4" t="s">
        <v>37</v>
      </c>
      <c r="R314" s="4" t="str">
        <f t="shared" si="18"/>
        <v/>
      </c>
      <c r="S314" s="4" t="s">
        <v>41</v>
      </c>
      <c r="T314" s="4">
        <f>Setup!$C$14</f>
        <v>1200</v>
      </c>
      <c r="U314" s="4" t="str">
        <f t="shared" si="19"/>
        <v/>
      </c>
      <c r="V314" s="4"/>
    </row>
    <row r="315" spans="1:22" x14ac:dyDescent="0.25">
      <c r="A315" s="4"/>
      <c r="B315" s="4" t="str">
        <f>IFERROR(IF(A315&lt;&gt;"",VLOOKUP($A315,calculation!$A$10:$V$510,12),""),"")</f>
        <v/>
      </c>
      <c r="C315" s="4" t="str">
        <f>IFERROR(IF(A315&lt;&gt;"",VLOOKUP($A315,calculation!$A$10:$V$510,15),""),"")</f>
        <v/>
      </c>
      <c r="D315" s="4" t="str">
        <f>IFERROR(IF(A315&lt;&gt;"",VLOOKUP($A315,calculation!$A$10:$V$510,22),""),"")</f>
        <v/>
      </c>
      <c r="F315" s="4" t="s">
        <v>27</v>
      </c>
      <c r="G315" s="4">
        <f>MAX($G$9:G314)+1</f>
        <v>287</v>
      </c>
      <c r="H315" s="4" t="s">
        <v>34</v>
      </c>
      <c r="I315" s="4" t="s">
        <v>35</v>
      </c>
      <c r="J315" s="4" t="str">
        <f t="shared" si="16"/>
        <v/>
      </c>
      <c r="K315" s="4" t="s">
        <v>39</v>
      </c>
      <c r="L315" s="4">
        <f>Setup!$C$15</f>
        <v>1500</v>
      </c>
      <c r="M315" s="4" t="s">
        <v>36</v>
      </c>
      <c r="N315" s="4" t="str">
        <f t="shared" si="17"/>
        <v/>
      </c>
      <c r="O315" s="4" t="s">
        <v>40</v>
      </c>
      <c r="P315" s="4">
        <f>Setup!$C$13</f>
        <v>1200</v>
      </c>
      <c r="Q315" s="4" t="s">
        <v>37</v>
      </c>
      <c r="R315" s="4" t="str">
        <f t="shared" si="18"/>
        <v/>
      </c>
      <c r="S315" s="4" t="s">
        <v>41</v>
      </c>
      <c r="T315" s="4">
        <f>Setup!$C$14</f>
        <v>1200</v>
      </c>
      <c r="U315" s="4" t="str">
        <f t="shared" si="19"/>
        <v/>
      </c>
      <c r="V315" s="4"/>
    </row>
    <row r="316" spans="1:22" x14ac:dyDescent="0.25">
      <c r="A316" s="4"/>
      <c r="B316" s="4" t="str">
        <f>IFERROR(IF(A316&lt;&gt;"",VLOOKUP($A316,calculation!$A$10:$V$510,12),""),"")</f>
        <v/>
      </c>
      <c r="C316" s="4" t="str">
        <f>IFERROR(IF(A316&lt;&gt;"",VLOOKUP($A316,calculation!$A$10:$V$510,15),""),"")</f>
        <v/>
      </c>
      <c r="D316" s="4" t="str">
        <f>IFERROR(IF(A316&lt;&gt;"",VLOOKUP($A316,calculation!$A$10:$V$510,22),""),"")</f>
        <v/>
      </c>
      <c r="F316" s="4" t="s">
        <v>27</v>
      </c>
      <c r="G316" s="4">
        <f>MAX($G$9:G315)+1</f>
        <v>288</v>
      </c>
      <c r="H316" s="4" t="s">
        <v>34</v>
      </c>
      <c r="I316" s="4" t="s">
        <v>35</v>
      </c>
      <c r="J316" s="4" t="str">
        <f t="shared" si="16"/>
        <v/>
      </c>
      <c r="K316" s="4" t="s">
        <v>39</v>
      </c>
      <c r="L316" s="4">
        <f>Setup!$C$15</f>
        <v>1500</v>
      </c>
      <c r="M316" s="4" t="s">
        <v>36</v>
      </c>
      <c r="N316" s="4" t="str">
        <f t="shared" si="17"/>
        <v/>
      </c>
      <c r="O316" s="4" t="s">
        <v>40</v>
      </c>
      <c r="P316" s="4">
        <f>Setup!$C$13</f>
        <v>1200</v>
      </c>
      <c r="Q316" s="4" t="s">
        <v>37</v>
      </c>
      <c r="R316" s="4" t="str">
        <f t="shared" si="18"/>
        <v/>
      </c>
      <c r="S316" s="4" t="s">
        <v>41</v>
      </c>
      <c r="T316" s="4">
        <f>Setup!$C$14</f>
        <v>1200</v>
      </c>
      <c r="U316" s="4" t="str">
        <f t="shared" si="19"/>
        <v/>
      </c>
      <c r="V316" s="4"/>
    </row>
    <row r="317" spans="1:22" x14ac:dyDescent="0.25">
      <c r="A317" s="4"/>
      <c r="B317" s="4" t="str">
        <f>IFERROR(IF(A317&lt;&gt;"",VLOOKUP($A317,calculation!$A$10:$V$510,12),""),"")</f>
        <v/>
      </c>
      <c r="C317" s="4" t="str">
        <f>IFERROR(IF(A317&lt;&gt;"",VLOOKUP($A317,calculation!$A$10:$V$510,15),""),"")</f>
        <v/>
      </c>
      <c r="D317" s="4" t="str">
        <f>IFERROR(IF(A317&lt;&gt;"",VLOOKUP($A317,calculation!$A$10:$V$510,22),""),"")</f>
        <v/>
      </c>
      <c r="F317" s="4" t="s">
        <v>27</v>
      </c>
      <c r="G317" s="4">
        <f>MAX($G$9:G316)+1</f>
        <v>289</v>
      </c>
      <c r="H317" s="4" t="s">
        <v>34</v>
      </c>
      <c r="I317" s="4" t="s">
        <v>35</v>
      </c>
      <c r="J317" s="4" t="str">
        <f t="shared" si="16"/>
        <v/>
      </c>
      <c r="K317" s="4" t="s">
        <v>39</v>
      </c>
      <c r="L317" s="4">
        <f>Setup!$C$15</f>
        <v>1500</v>
      </c>
      <c r="M317" s="4" t="s">
        <v>36</v>
      </c>
      <c r="N317" s="4" t="str">
        <f t="shared" si="17"/>
        <v/>
      </c>
      <c r="O317" s="4" t="s">
        <v>40</v>
      </c>
      <c r="P317" s="4">
        <f>Setup!$C$13</f>
        <v>1200</v>
      </c>
      <c r="Q317" s="4" t="s">
        <v>37</v>
      </c>
      <c r="R317" s="4" t="str">
        <f t="shared" si="18"/>
        <v/>
      </c>
      <c r="S317" s="4" t="s">
        <v>41</v>
      </c>
      <c r="T317" s="4">
        <f>Setup!$C$14</f>
        <v>1200</v>
      </c>
      <c r="U317" s="4" t="str">
        <f t="shared" si="19"/>
        <v/>
      </c>
      <c r="V317" s="4"/>
    </row>
    <row r="318" spans="1:22" x14ac:dyDescent="0.25">
      <c r="A318" s="4"/>
      <c r="B318" s="4" t="str">
        <f>IFERROR(IF(A318&lt;&gt;"",VLOOKUP($A318,calculation!$A$10:$V$510,12),""),"")</f>
        <v/>
      </c>
      <c r="C318" s="4" t="str">
        <f>IFERROR(IF(A318&lt;&gt;"",VLOOKUP($A318,calculation!$A$10:$V$510,15),""),"")</f>
        <v/>
      </c>
      <c r="D318" s="4" t="str">
        <f>IFERROR(IF(A318&lt;&gt;"",VLOOKUP($A318,calculation!$A$10:$V$510,22),""),"")</f>
        <v/>
      </c>
      <c r="F318" s="4" t="s">
        <v>27</v>
      </c>
      <c r="G318" s="4">
        <f>MAX($G$9:G317)+1</f>
        <v>290</v>
      </c>
      <c r="H318" s="4" t="s">
        <v>34</v>
      </c>
      <c r="I318" s="4" t="s">
        <v>35</v>
      </c>
      <c r="J318" s="4" t="str">
        <f t="shared" si="16"/>
        <v/>
      </c>
      <c r="K318" s="4" t="s">
        <v>39</v>
      </c>
      <c r="L318" s="4">
        <f>Setup!$C$15</f>
        <v>1500</v>
      </c>
      <c r="M318" s="4" t="s">
        <v>36</v>
      </c>
      <c r="N318" s="4" t="str">
        <f t="shared" si="17"/>
        <v/>
      </c>
      <c r="O318" s="4" t="s">
        <v>40</v>
      </c>
      <c r="P318" s="4">
        <f>Setup!$C$13</f>
        <v>1200</v>
      </c>
      <c r="Q318" s="4" t="s">
        <v>37</v>
      </c>
      <c r="R318" s="4" t="str">
        <f t="shared" si="18"/>
        <v/>
      </c>
      <c r="S318" s="4" t="s">
        <v>41</v>
      </c>
      <c r="T318" s="4">
        <f>Setup!$C$14</f>
        <v>1200</v>
      </c>
      <c r="U318" s="4" t="str">
        <f t="shared" si="19"/>
        <v/>
      </c>
      <c r="V318" s="4"/>
    </row>
    <row r="319" spans="1:22" x14ac:dyDescent="0.25">
      <c r="A319" s="4"/>
      <c r="B319" s="4" t="str">
        <f>IFERROR(IF(A319&lt;&gt;"",VLOOKUP($A319,calculation!$A$10:$V$510,12),""),"")</f>
        <v/>
      </c>
      <c r="C319" s="4" t="str">
        <f>IFERROR(IF(A319&lt;&gt;"",VLOOKUP($A319,calculation!$A$10:$V$510,15),""),"")</f>
        <v/>
      </c>
      <c r="D319" s="4" t="str">
        <f>IFERROR(IF(A319&lt;&gt;"",VLOOKUP($A319,calculation!$A$10:$V$510,22),""),"")</f>
        <v/>
      </c>
      <c r="F319" s="4" t="s">
        <v>27</v>
      </c>
      <c r="G319" s="4">
        <f>MAX($G$9:G318)+1</f>
        <v>291</v>
      </c>
      <c r="H319" s="4" t="s">
        <v>34</v>
      </c>
      <c r="I319" s="4" t="s">
        <v>35</v>
      </c>
      <c r="J319" s="4" t="str">
        <f t="shared" si="16"/>
        <v/>
      </c>
      <c r="K319" s="4" t="s">
        <v>39</v>
      </c>
      <c r="L319" s="4">
        <f>Setup!$C$15</f>
        <v>1500</v>
      </c>
      <c r="M319" s="4" t="s">
        <v>36</v>
      </c>
      <c r="N319" s="4" t="str">
        <f t="shared" si="17"/>
        <v/>
      </c>
      <c r="O319" s="4" t="s">
        <v>40</v>
      </c>
      <c r="P319" s="4">
        <f>Setup!$C$13</f>
        <v>1200</v>
      </c>
      <c r="Q319" s="4" t="s">
        <v>37</v>
      </c>
      <c r="R319" s="4" t="str">
        <f t="shared" si="18"/>
        <v/>
      </c>
      <c r="S319" s="4" t="s">
        <v>41</v>
      </c>
      <c r="T319" s="4">
        <f>Setup!$C$14</f>
        <v>1200</v>
      </c>
      <c r="U319" s="4" t="str">
        <f t="shared" si="19"/>
        <v/>
      </c>
      <c r="V319" s="4"/>
    </row>
    <row r="320" spans="1:22" x14ac:dyDescent="0.25">
      <c r="A320" s="4"/>
      <c r="B320" s="4" t="str">
        <f>IFERROR(IF(A320&lt;&gt;"",VLOOKUP($A320,calculation!$A$10:$V$510,12),""),"")</f>
        <v/>
      </c>
      <c r="C320" s="4" t="str">
        <f>IFERROR(IF(A320&lt;&gt;"",VLOOKUP($A320,calculation!$A$10:$V$510,15),""),"")</f>
        <v/>
      </c>
      <c r="D320" s="4" t="str">
        <f>IFERROR(IF(A320&lt;&gt;"",VLOOKUP($A320,calculation!$A$10:$V$510,22),""),"")</f>
        <v/>
      </c>
      <c r="F320" s="4" t="s">
        <v>27</v>
      </c>
      <c r="G320" s="4">
        <f>MAX($G$9:G319)+1</f>
        <v>292</v>
      </c>
      <c r="H320" s="4" t="s">
        <v>34</v>
      </c>
      <c r="I320" s="4" t="s">
        <v>35</v>
      </c>
      <c r="J320" s="4" t="str">
        <f t="shared" si="16"/>
        <v/>
      </c>
      <c r="K320" s="4" t="s">
        <v>39</v>
      </c>
      <c r="L320" s="4">
        <f>Setup!$C$15</f>
        <v>1500</v>
      </c>
      <c r="M320" s="4" t="s">
        <v>36</v>
      </c>
      <c r="N320" s="4" t="str">
        <f t="shared" si="17"/>
        <v/>
      </c>
      <c r="O320" s="4" t="s">
        <v>40</v>
      </c>
      <c r="P320" s="4">
        <f>Setup!$C$13</f>
        <v>1200</v>
      </c>
      <c r="Q320" s="4" t="s">
        <v>37</v>
      </c>
      <c r="R320" s="4" t="str">
        <f t="shared" si="18"/>
        <v/>
      </c>
      <c r="S320" s="4" t="s">
        <v>41</v>
      </c>
      <c r="T320" s="4">
        <f>Setup!$C$14</f>
        <v>1200</v>
      </c>
      <c r="U320" s="4" t="str">
        <f t="shared" si="19"/>
        <v/>
      </c>
      <c r="V320" s="4"/>
    </row>
    <row r="321" spans="1:22" x14ac:dyDescent="0.25">
      <c r="A321" s="4"/>
      <c r="B321" s="4" t="str">
        <f>IFERROR(IF(A321&lt;&gt;"",VLOOKUP($A321,calculation!$A$10:$V$510,12),""),"")</f>
        <v/>
      </c>
      <c r="C321" s="4" t="str">
        <f>IFERROR(IF(A321&lt;&gt;"",VLOOKUP($A321,calculation!$A$10:$V$510,15),""),"")</f>
        <v/>
      </c>
      <c r="D321" s="4" t="str">
        <f>IFERROR(IF(A321&lt;&gt;"",VLOOKUP($A321,calculation!$A$10:$V$510,22),""),"")</f>
        <v/>
      </c>
      <c r="F321" s="4" t="s">
        <v>27</v>
      </c>
      <c r="G321" s="4">
        <f>MAX($G$9:G320)+1</f>
        <v>293</v>
      </c>
      <c r="H321" s="4" t="s">
        <v>34</v>
      </c>
      <c r="I321" s="4" t="s">
        <v>35</v>
      </c>
      <c r="J321" s="4" t="str">
        <f t="shared" si="16"/>
        <v/>
      </c>
      <c r="K321" s="4" t="s">
        <v>39</v>
      </c>
      <c r="L321" s="4">
        <f>Setup!$C$15</f>
        <v>1500</v>
      </c>
      <c r="M321" s="4" t="s">
        <v>36</v>
      </c>
      <c r="N321" s="4" t="str">
        <f t="shared" si="17"/>
        <v/>
      </c>
      <c r="O321" s="4" t="s">
        <v>40</v>
      </c>
      <c r="P321" s="4">
        <f>Setup!$C$13</f>
        <v>1200</v>
      </c>
      <c r="Q321" s="4" t="s">
        <v>37</v>
      </c>
      <c r="R321" s="4" t="str">
        <f t="shared" si="18"/>
        <v/>
      </c>
      <c r="S321" s="4" t="s">
        <v>41</v>
      </c>
      <c r="T321" s="4">
        <f>Setup!$C$14</f>
        <v>1200</v>
      </c>
      <c r="U321" s="4" t="str">
        <f t="shared" si="19"/>
        <v/>
      </c>
      <c r="V321" s="4"/>
    </row>
    <row r="322" spans="1:22" x14ac:dyDescent="0.25">
      <c r="A322" s="4"/>
      <c r="B322" s="4" t="str">
        <f>IFERROR(IF(A322&lt;&gt;"",VLOOKUP($A322,calculation!$A$10:$V$510,12),""),"")</f>
        <v/>
      </c>
      <c r="C322" s="4" t="str">
        <f>IFERROR(IF(A322&lt;&gt;"",VLOOKUP($A322,calculation!$A$10:$V$510,15),""),"")</f>
        <v/>
      </c>
      <c r="D322" s="4" t="str">
        <f>IFERROR(IF(A322&lt;&gt;"",VLOOKUP($A322,calculation!$A$10:$V$510,22),""),"")</f>
        <v/>
      </c>
      <c r="F322" s="4" t="s">
        <v>27</v>
      </c>
      <c r="G322" s="4">
        <f>MAX($G$9:G321)+1</f>
        <v>294</v>
      </c>
      <c r="H322" s="4" t="s">
        <v>34</v>
      </c>
      <c r="I322" s="4" t="s">
        <v>35</v>
      </c>
      <c r="J322" s="4" t="str">
        <f t="shared" si="16"/>
        <v/>
      </c>
      <c r="K322" s="4" t="s">
        <v>39</v>
      </c>
      <c r="L322" s="4">
        <f>Setup!$C$15</f>
        <v>1500</v>
      </c>
      <c r="M322" s="4" t="s">
        <v>36</v>
      </c>
      <c r="N322" s="4" t="str">
        <f t="shared" si="17"/>
        <v/>
      </c>
      <c r="O322" s="4" t="s">
        <v>40</v>
      </c>
      <c r="P322" s="4">
        <f>Setup!$C$13</f>
        <v>1200</v>
      </c>
      <c r="Q322" s="4" t="s">
        <v>37</v>
      </c>
      <c r="R322" s="4" t="str">
        <f t="shared" si="18"/>
        <v/>
      </c>
      <c r="S322" s="4" t="s">
        <v>41</v>
      </c>
      <c r="T322" s="4">
        <f>Setup!$C$14</f>
        <v>1200</v>
      </c>
      <c r="U322" s="4" t="str">
        <f t="shared" si="19"/>
        <v/>
      </c>
      <c r="V322" s="4"/>
    </row>
    <row r="323" spans="1:22" x14ac:dyDescent="0.25">
      <c r="A323" s="4"/>
      <c r="B323" s="4" t="str">
        <f>IFERROR(IF(A323&lt;&gt;"",VLOOKUP($A323,calculation!$A$10:$V$510,12),""),"")</f>
        <v/>
      </c>
      <c r="C323" s="4" t="str">
        <f>IFERROR(IF(A323&lt;&gt;"",VLOOKUP($A323,calculation!$A$10:$V$510,15),""),"")</f>
        <v/>
      </c>
      <c r="D323" s="4" t="str">
        <f>IFERROR(IF(A323&lt;&gt;"",VLOOKUP($A323,calculation!$A$10:$V$510,22),""),"")</f>
        <v/>
      </c>
      <c r="F323" s="4" t="s">
        <v>27</v>
      </c>
      <c r="G323" s="4">
        <f>MAX($G$9:G322)+1</f>
        <v>295</v>
      </c>
      <c r="H323" s="4" t="s">
        <v>34</v>
      </c>
      <c r="I323" s="4" t="s">
        <v>35</v>
      </c>
      <c r="J323" s="4" t="str">
        <f t="shared" si="16"/>
        <v/>
      </c>
      <c r="K323" s="4" t="s">
        <v>39</v>
      </c>
      <c r="L323" s="4">
        <f>Setup!$C$15</f>
        <v>1500</v>
      </c>
      <c r="M323" s="4" t="s">
        <v>36</v>
      </c>
      <c r="N323" s="4" t="str">
        <f t="shared" si="17"/>
        <v/>
      </c>
      <c r="O323" s="4" t="s">
        <v>40</v>
      </c>
      <c r="P323" s="4">
        <f>Setup!$C$13</f>
        <v>1200</v>
      </c>
      <c r="Q323" s="4" t="s">
        <v>37</v>
      </c>
      <c r="R323" s="4" t="str">
        <f t="shared" si="18"/>
        <v/>
      </c>
      <c r="S323" s="4" t="s">
        <v>41</v>
      </c>
      <c r="T323" s="4">
        <f>Setup!$C$14</f>
        <v>1200</v>
      </c>
      <c r="U323" s="4" t="str">
        <f t="shared" si="19"/>
        <v/>
      </c>
      <c r="V323" s="4"/>
    </row>
    <row r="324" spans="1:22" x14ac:dyDescent="0.25">
      <c r="A324" s="4"/>
      <c r="B324" s="4" t="str">
        <f>IFERROR(IF(A324&lt;&gt;"",VLOOKUP($A324,calculation!$A$10:$V$510,12),""),"")</f>
        <v/>
      </c>
      <c r="C324" s="4" t="str">
        <f>IFERROR(IF(A324&lt;&gt;"",VLOOKUP($A324,calculation!$A$10:$V$510,15),""),"")</f>
        <v/>
      </c>
      <c r="D324" s="4" t="str">
        <f>IFERROR(IF(A324&lt;&gt;"",VLOOKUP($A324,calculation!$A$10:$V$510,22),""),"")</f>
        <v/>
      </c>
      <c r="F324" s="4" t="s">
        <v>27</v>
      </c>
      <c r="G324" s="4">
        <f>MAX($G$9:G323)+1</f>
        <v>296</v>
      </c>
      <c r="H324" s="4" t="s">
        <v>34</v>
      </c>
      <c r="I324" s="4" t="s">
        <v>35</v>
      </c>
      <c r="J324" s="4" t="str">
        <f t="shared" si="16"/>
        <v/>
      </c>
      <c r="K324" s="4" t="s">
        <v>39</v>
      </c>
      <c r="L324" s="4">
        <f>Setup!$C$15</f>
        <v>1500</v>
      </c>
      <c r="M324" s="4" t="s">
        <v>36</v>
      </c>
      <c r="N324" s="4" t="str">
        <f t="shared" si="17"/>
        <v/>
      </c>
      <c r="O324" s="4" t="s">
        <v>40</v>
      </c>
      <c r="P324" s="4">
        <f>Setup!$C$13</f>
        <v>1200</v>
      </c>
      <c r="Q324" s="4" t="s">
        <v>37</v>
      </c>
      <c r="R324" s="4" t="str">
        <f t="shared" si="18"/>
        <v/>
      </c>
      <c r="S324" s="4" t="s">
        <v>41</v>
      </c>
      <c r="T324" s="4">
        <f>Setup!$C$14</f>
        <v>1200</v>
      </c>
      <c r="U324" s="4" t="str">
        <f t="shared" si="19"/>
        <v/>
      </c>
      <c r="V324" s="4"/>
    </row>
    <row r="325" spans="1:22" x14ac:dyDescent="0.25">
      <c r="A325" s="4"/>
      <c r="B325" s="4" t="str">
        <f>IFERROR(IF(A325&lt;&gt;"",VLOOKUP($A325,calculation!$A$10:$V$510,12),""),"")</f>
        <v/>
      </c>
      <c r="C325" s="4" t="str">
        <f>IFERROR(IF(A325&lt;&gt;"",VLOOKUP($A325,calculation!$A$10:$V$510,15),""),"")</f>
        <v/>
      </c>
      <c r="D325" s="4" t="str">
        <f>IFERROR(IF(A325&lt;&gt;"",VLOOKUP($A325,calculation!$A$10:$V$510,22),""),"")</f>
        <v/>
      </c>
      <c r="F325" s="4" t="s">
        <v>27</v>
      </c>
      <c r="G325" s="4">
        <f>MAX($G$9:G324)+1</f>
        <v>297</v>
      </c>
      <c r="H325" s="4" t="s">
        <v>34</v>
      </c>
      <c r="I325" s="4" t="s">
        <v>35</v>
      </c>
      <c r="J325" s="4" t="str">
        <f t="shared" si="16"/>
        <v/>
      </c>
      <c r="K325" s="4" t="s">
        <v>39</v>
      </c>
      <c r="L325" s="4">
        <f>Setup!$C$15</f>
        <v>1500</v>
      </c>
      <c r="M325" s="4" t="s">
        <v>36</v>
      </c>
      <c r="N325" s="4" t="str">
        <f t="shared" si="17"/>
        <v/>
      </c>
      <c r="O325" s="4" t="s">
        <v>40</v>
      </c>
      <c r="P325" s="4">
        <f>Setup!$C$13</f>
        <v>1200</v>
      </c>
      <c r="Q325" s="4" t="s">
        <v>37</v>
      </c>
      <c r="R325" s="4" t="str">
        <f t="shared" si="18"/>
        <v/>
      </c>
      <c r="S325" s="4" t="s">
        <v>41</v>
      </c>
      <c r="T325" s="4">
        <f>Setup!$C$14</f>
        <v>1200</v>
      </c>
      <c r="U325" s="4" t="str">
        <f t="shared" si="19"/>
        <v/>
      </c>
      <c r="V325" s="4"/>
    </row>
    <row r="326" spans="1:22" x14ac:dyDescent="0.25">
      <c r="A326" s="4"/>
      <c r="B326" s="4" t="str">
        <f>IFERROR(IF(A326&lt;&gt;"",VLOOKUP($A326,calculation!$A$10:$V$510,12),""),"")</f>
        <v/>
      </c>
      <c r="C326" s="4" t="str">
        <f>IFERROR(IF(A326&lt;&gt;"",VLOOKUP($A326,calculation!$A$10:$V$510,15),""),"")</f>
        <v/>
      </c>
      <c r="D326" s="4" t="str">
        <f>IFERROR(IF(A326&lt;&gt;"",VLOOKUP($A326,calculation!$A$10:$V$510,22),""),"")</f>
        <v/>
      </c>
      <c r="F326" s="4" t="s">
        <v>27</v>
      </c>
      <c r="G326" s="4">
        <f>MAX($G$9:G325)+1</f>
        <v>298</v>
      </c>
      <c r="H326" s="4" t="s">
        <v>34</v>
      </c>
      <c r="I326" s="4" t="s">
        <v>35</v>
      </c>
      <c r="J326" s="4" t="str">
        <f t="shared" si="16"/>
        <v/>
      </c>
      <c r="K326" s="4" t="s">
        <v>39</v>
      </c>
      <c r="L326" s="4">
        <f>Setup!$C$15</f>
        <v>1500</v>
      </c>
      <c r="M326" s="4" t="s">
        <v>36</v>
      </c>
      <c r="N326" s="4" t="str">
        <f t="shared" si="17"/>
        <v/>
      </c>
      <c r="O326" s="4" t="s">
        <v>40</v>
      </c>
      <c r="P326" s="4">
        <f>Setup!$C$13</f>
        <v>1200</v>
      </c>
      <c r="Q326" s="4" t="s">
        <v>37</v>
      </c>
      <c r="R326" s="4" t="str">
        <f t="shared" si="18"/>
        <v/>
      </c>
      <c r="S326" s="4" t="s">
        <v>41</v>
      </c>
      <c r="T326" s="4">
        <f>Setup!$C$14</f>
        <v>1200</v>
      </c>
      <c r="U326" s="4" t="str">
        <f t="shared" si="19"/>
        <v/>
      </c>
      <c r="V326" s="4"/>
    </row>
    <row r="327" spans="1:22" x14ac:dyDescent="0.25">
      <c r="A327" s="4"/>
      <c r="B327" s="4" t="str">
        <f>IFERROR(IF(A327&lt;&gt;"",VLOOKUP($A327,calculation!$A$10:$V$510,12),""),"")</f>
        <v/>
      </c>
      <c r="C327" s="4" t="str">
        <f>IFERROR(IF(A327&lt;&gt;"",VLOOKUP($A327,calculation!$A$10:$V$510,15),""),"")</f>
        <v/>
      </c>
      <c r="D327" s="4" t="str">
        <f>IFERROR(IF(A327&lt;&gt;"",VLOOKUP($A327,calculation!$A$10:$V$510,22),""),"")</f>
        <v/>
      </c>
      <c r="F327" s="4" t="s">
        <v>27</v>
      </c>
      <c r="G327" s="4">
        <f>MAX($G$9:G326)+1</f>
        <v>299</v>
      </c>
      <c r="H327" s="4" t="s">
        <v>34</v>
      </c>
      <c r="I327" s="4" t="s">
        <v>35</v>
      </c>
      <c r="J327" s="4" t="str">
        <f t="shared" si="16"/>
        <v/>
      </c>
      <c r="K327" s="4" t="s">
        <v>39</v>
      </c>
      <c r="L327" s="4">
        <f>Setup!$C$15</f>
        <v>1500</v>
      </c>
      <c r="M327" s="4" t="s">
        <v>36</v>
      </c>
      <c r="N327" s="4" t="str">
        <f t="shared" si="17"/>
        <v/>
      </c>
      <c r="O327" s="4" t="s">
        <v>40</v>
      </c>
      <c r="P327" s="4">
        <f>Setup!$C$13</f>
        <v>1200</v>
      </c>
      <c r="Q327" s="4" t="s">
        <v>37</v>
      </c>
      <c r="R327" s="4" t="str">
        <f t="shared" si="18"/>
        <v/>
      </c>
      <c r="S327" s="4" t="s">
        <v>41</v>
      </c>
      <c r="T327" s="4">
        <f>Setup!$C$14</f>
        <v>1200</v>
      </c>
      <c r="U327" s="4" t="str">
        <f t="shared" si="19"/>
        <v/>
      </c>
      <c r="V327" s="4"/>
    </row>
    <row r="328" spans="1:22" x14ac:dyDescent="0.25">
      <c r="A328" s="4"/>
      <c r="B328" s="4" t="str">
        <f>IFERROR(IF(A328&lt;&gt;"",VLOOKUP($A328,calculation!$A$10:$V$510,12),""),"")</f>
        <v/>
      </c>
      <c r="C328" s="4" t="str">
        <f>IFERROR(IF(A328&lt;&gt;"",VLOOKUP($A328,calculation!$A$10:$V$510,15),""),"")</f>
        <v/>
      </c>
      <c r="D328" s="4" t="str">
        <f>IFERROR(IF(A328&lt;&gt;"",VLOOKUP($A328,calculation!$A$10:$V$510,22),""),"")</f>
        <v/>
      </c>
      <c r="F328" s="4" t="s">
        <v>27</v>
      </c>
      <c r="G328" s="4">
        <f>MAX($G$9:G327)+1</f>
        <v>300</v>
      </c>
      <c r="H328" s="4" t="s">
        <v>34</v>
      </c>
      <c r="I328" s="4" t="s">
        <v>35</v>
      </c>
      <c r="J328" s="4" t="str">
        <f t="shared" si="16"/>
        <v/>
      </c>
      <c r="K328" s="4" t="s">
        <v>39</v>
      </c>
      <c r="L328" s="4">
        <f>Setup!$C$15</f>
        <v>1500</v>
      </c>
      <c r="M328" s="4" t="s">
        <v>36</v>
      </c>
      <c r="N328" s="4" t="str">
        <f t="shared" si="17"/>
        <v/>
      </c>
      <c r="O328" s="4" t="s">
        <v>40</v>
      </c>
      <c r="P328" s="4">
        <f>Setup!$C$13</f>
        <v>1200</v>
      </c>
      <c r="Q328" s="4" t="s">
        <v>37</v>
      </c>
      <c r="R328" s="4" t="str">
        <f t="shared" si="18"/>
        <v/>
      </c>
      <c r="S328" s="4" t="s">
        <v>41</v>
      </c>
      <c r="T328" s="4">
        <f>Setup!$C$14</f>
        <v>1200</v>
      </c>
      <c r="U328" s="4" t="str">
        <f t="shared" si="19"/>
        <v/>
      </c>
      <c r="V328" s="4"/>
    </row>
    <row r="329" spans="1:22" x14ac:dyDescent="0.25">
      <c r="A329" s="4"/>
      <c r="B329" s="4" t="str">
        <f>IFERROR(IF(A329&lt;&gt;"",VLOOKUP($A329,calculation!$A$10:$V$510,12),""),"")</f>
        <v/>
      </c>
      <c r="C329" s="4" t="str">
        <f>IFERROR(IF(A329&lt;&gt;"",VLOOKUP($A329,calculation!$A$10:$V$510,15),""),"")</f>
        <v/>
      </c>
      <c r="D329" s="4" t="str">
        <f>IFERROR(IF(A329&lt;&gt;"",VLOOKUP($A329,calculation!$A$10:$V$510,22),""),"")</f>
        <v/>
      </c>
      <c r="F329" s="4" t="s">
        <v>27</v>
      </c>
      <c r="G329" s="4">
        <f>MAX($G$9:G328)+1</f>
        <v>301</v>
      </c>
      <c r="H329" s="4" t="s">
        <v>34</v>
      </c>
      <c r="I329" s="4" t="s">
        <v>35</v>
      </c>
      <c r="J329" s="4" t="str">
        <f t="shared" si="16"/>
        <v/>
      </c>
      <c r="K329" s="4" t="s">
        <v>39</v>
      </c>
      <c r="L329" s="4">
        <f>Setup!$C$15</f>
        <v>1500</v>
      </c>
      <c r="M329" s="4" t="s">
        <v>36</v>
      </c>
      <c r="N329" s="4" t="str">
        <f t="shared" si="17"/>
        <v/>
      </c>
      <c r="O329" s="4" t="s">
        <v>40</v>
      </c>
      <c r="P329" s="4">
        <f>Setup!$C$13</f>
        <v>1200</v>
      </c>
      <c r="Q329" s="4" t="s">
        <v>37</v>
      </c>
      <c r="R329" s="4" t="str">
        <f t="shared" si="18"/>
        <v/>
      </c>
      <c r="S329" s="4" t="s">
        <v>41</v>
      </c>
      <c r="T329" s="4">
        <f>Setup!$C$14</f>
        <v>1200</v>
      </c>
      <c r="U329" s="4" t="str">
        <f t="shared" si="19"/>
        <v/>
      </c>
      <c r="V329" s="4"/>
    </row>
    <row r="330" spans="1:22" x14ac:dyDescent="0.25">
      <c r="A330" s="4"/>
      <c r="B330" s="4" t="str">
        <f>IFERROR(IF(A330&lt;&gt;"",VLOOKUP($A330,calculation!$A$10:$V$510,12),""),"")</f>
        <v/>
      </c>
      <c r="C330" s="4" t="str">
        <f>IFERROR(IF(A330&lt;&gt;"",VLOOKUP($A330,calculation!$A$10:$V$510,15),""),"")</f>
        <v/>
      </c>
      <c r="D330" s="4" t="str">
        <f>IFERROR(IF(A330&lt;&gt;"",VLOOKUP($A330,calculation!$A$10:$V$510,22),""),"")</f>
        <v/>
      </c>
      <c r="F330" s="4" t="s">
        <v>27</v>
      </c>
      <c r="G330" s="4">
        <f>MAX($G$9:G329)+1</f>
        <v>302</v>
      </c>
      <c r="H330" s="4" t="s">
        <v>34</v>
      </c>
      <c r="I330" s="4" t="s">
        <v>35</v>
      </c>
      <c r="J330" s="4" t="str">
        <f t="shared" si="16"/>
        <v/>
      </c>
      <c r="K330" s="4" t="s">
        <v>39</v>
      </c>
      <c r="L330" s="4">
        <f>Setup!$C$15</f>
        <v>1500</v>
      </c>
      <c r="M330" s="4" t="s">
        <v>36</v>
      </c>
      <c r="N330" s="4" t="str">
        <f t="shared" si="17"/>
        <v/>
      </c>
      <c r="O330" s="4" t="s">
        <v>40</v>
      </c>
      <c r="P330" s="4">
        <f>Setup!$C$13</f>
        <v>1200</v>
      </c>
      <c r="Q330" s="4" t="s">
        <v>37</v>
      </c>
      <c r="R330" s="4" t="str">
        <f t="shared" si="18"/>
        <v/>
      </c>
      <c r="S330" s="4" t="s">
        <v>41</v>
      </c>
      <c r="T330" s="4">
        <f>Setup!$C$14</f>
        <v>1200</v>
      </c>
      <c r="U330" s="4" t="str">
        <f t="shared" si="19"/>
        <v/>
      </c>
      <c r="V330" s="4"/>
    </row>
    <row r="331" spans="1:22" x14ac:dyDescent="0.25">
      <c r="A331" s="4"/>
      <c r="B331" s="4" t="str">
        <f>IFERROR(IF(A331&lt;&gt;"",VLOOKUP($A331,calculation!$A$10:$V$510,12),""),"")</f>
        <v/>
      </c>
      <c r="C331" s="4" t="str">
        <f>IFERROR(IF(A331&lt;&gt;"",VLOOKUP($A331,calculation!$A$10:$V$510,15),""),"")</f>
        <v/>
      </c>
      <c r="D331" s="4" t="str">
        <f>IFERROR(IF(A331&lt;&gt;"",VLOOKUP($A331,calculation!$A$10:$V$510,22),""),"")</f>
        <v/>
      </c>
      <c r="F331" s="4" t="s">
        <v>27</v>
      </c>
      <c r="G331" s="4">
        <f>MAX($G$9:G330)+1</f>
        <v>303</v>
      </c>
      <c r="H331" s="4" t="s">
        <v>34</v>
      </c>
      <c r="I331" s="4" t="s">
        <v>35</v>
      </c>
      <c r="J331" s="4" t="str">
        <f t="shared" si="16"/>
        <v/>
      </c>
      <c r="K331" s="4" t="s">
        <v>39</v>
      </c>
      <c r="L331" s="4">
        <f>Setup!$C$15</f>
        <v>1500</v>
      </c>
      <c r="M331" s="4" t="s">
        <v>36</v>
      </c>
      <c r="N331" s="4" t="str">
        <f t="shared" si="17"/>
        <v/>
      </c>
      <c r="O331" s="4" t="s">
        <v>40</v>
      </c>
      <c r="P331" s="4">
        <f>Setup!$C$13</f>
        <v>1200</v>
      </c>
      <c r="Q331" s="4" t="s">
        <v>37</v>
      </c>
      <c r="R331" s="4" t="str">
        <f t="shared" si="18"/>
        <v/>
      </c>
      <c r="S331" s="4" t="s">
        <v>41</v>
      </c>
      <c r="T331" s="4">
        <f>Setup!$C$14</f>
        <v>1200</v>
      </c>
      <c r="U331" s="4" t="str">
        <f t="shared" si="19"/>
        <v/>
      </c>
      <c r="V331" s="4"/>
    </row>
    <row r="332" spans="1:22" x14ac:dyDescent="0.25">
      <c r="A332" s="4"/>
      <c r="B332" s="4" t="str">
        <f>IFERROR(IF(A332&lt;&gt;"",VLOOKUP($A332,calculation!$A$10:$V$510,12),""),"")</f>
        <v/>
      </c>
      <c r="C332" s="4" t="str">
        <f>IFERROR(IF(A332&lt;&gt;"",VLOOKUP($A332,calculation!$A$10:$V$510,15),""),"")</f>
        <v/>
      </c>
      <c r="D332" s="4" t="str">
        <f>IFERROR(IF(A332&lt;&gt;"",VLOOKUP($A332,calculation!$A$10:$V$510,22),""),"")</f>
        <v/>
      </c>
      <c r="F332" s="4" t="s">
        <v>27</v>
      </c>
      <c r="G332" s="4">
        <f>MAX($G$9:G331)+1</f>
        <v>304</v>
      </c>
      <c r="H332" s="4" t="s">
        <v>34</v>
      </c>
      <c r="I332" s="4" t="s">
        <v>35</v>
      </c>
      <c r="J332" s="4" t="str">
        <f t="shared" si="16"/>
        <v/>
      </c>
      <c r="K332" s="4" t="s">
        <v>39</v>
      </c>
      <c r="L332" s="4">
        <f>Setup!$C$15</f>
        <v>1500</v>
      </c>
      <c r="M332" s="4" t="s">
        <v>36</v>
      </c>
      <c r="N332" s="4" t="str">
        <f t="shared" si="17"/>
        <v/>
      </c>
      <c r="O332" s="4" t="s">
        <v>40</v>
      </c>
      <c r="P332" s="4">
        <f>Setup!$C$13</f>
        <v>1200</v>
      </c>
      <c r="Q332" s="4" t="s">
        <v>37</v>
      </c>
      <c r="R332" s="4" t="str">
        <f t="shared" si="18"/>
        <v/>
      </c>
      <c r="S332" s="4" t="s">
        <v>41</v>
      </c>
      <c r="T332" s="4">
        <f>Setup!$C$14</f>
        <v>1200</v>
      </c>
      <c r="U332" s="4" t="str">
        <f t="shared" si="19"/>
        <v/>
      </c>
      <c r="V332" s="4"/>
    </row>
    <row r="333" spans="1:22" x14ac:dyDescent="0.25">
      <c r="A333" s="4"/>
      <c r="B333" s="4" t="str">
        <f>IFERROR(IF(A333&lt;&gt;"",VLOOKUP($A333,calculation!$A$10:$V$510,12),""),"")</f>
        <v/>
      </c>
      <c r="C333" s="4" t="str">
        <f>IFERROR(IF(A333&lt;&gt;"",VLOOKUP($A333,calculation!$A$10:$V$510,15),""),"")</f>
        <v/>
      </c>
      <c r="D333" s="4" t="str">
        <f>IFERROR(IF(A333&lt;&gt;"",VLOOKUP($A333,calculation!$A$10:$V$510,22),""),"")</f>
        <v/>
      </c>
      <c r="F333" s="4" t="s">
        <v>27</v>
      </c>
      <c r="G333" s="4">
        <f>MAX($G$9:G332)+1</f>
        <v>305</v>
      </c>
      <c r="H333" s="4" t="s">
        <v>34</v>
      </c>
      <c r="I333" s="4" t="s">
        <v>35</v>
      </c>
      <c r="J333" s="4" t="str">
        <f t="shared" si="16"/>
        <v/>
      </c>
      <c r="K333" s="4" t="s">
        <v>39</v>
      </c>
      <c r="L333" s="4">
        <f>Setup!$C$15</f>
        <v>1500</v>
      </c>
      <c r="M333" s="4" t="s">
        <v>36</v>
      </c>
      <c r="N333" s="4" t="str">
        <f t="shared" si="17"/>
        <v/>
      </c>
      <c r="O333" s="4" t="s">
        <v>40</v>
      </c>
      <c r="P333" s="4">
        <f>Setup!$C$13</f>
        <v>1200</v>
      </c>
      <c r="Q333" s="4" t="s">
        <v>37</v>
      </c>
      <c r="R333" s="4" t="str">
        <f t="shared" si="18"/>
        <v/>
      </c>
      <c r="S333" s="4" t="s">
        <v>41</v>
      </c>
      <c r="T333" s="4">
        <f>Setup!$C$14</f>
        <v>1200</v>
      </c>
      <c r="U333" s="4" t="str">
        <f t="shared" si="19"/>
        <v/>
      </c>
      <c r="V333" s="4"/>
    </row>
    <row r="334" spans="1:22" x14ac:dyDescent="0.25">
      <c r="A334" s="4"/>
      <c r="B334" s="4" t="str">
        <f>IFERROR(IF(A334&lt;&gt;"",VLOOKUP($A334,calculation!$A$10:$V$510,12),""),"")</f>
        <v/>
      </c>
      <c r="C334" s="4" t="str">
        <f>IFERROR(IF(A334&lt;&gt;"",VLOOKUP($A334,calculation!$A$10:$V$510,15),""),"")</f>
        <v/>
      </c>
      <c r="D334" s="4" t="str">
        <f>IFERROR(IF(A334&lt;&gt;"",VLOOKUP($A334,calculation!$A$10:$V$510,22),""),"")</f>
        <v/>
      </c>
      <c r="F334" s="4" t="s">
        <v>27</v>
      </c>
      <c r="G334" s="4">
        <f>MAX($G$9:G333)+1</f>
        <v>306</v>
      </c>
      <c r="H334" s="4" t="s">
        <v>34</v>
      </c>
      <c r="I334" s="4" t="s">
        <v>35</v>
      </c>
      <c r="J334" s="4" t="str">
        <f t="shared" si="16"/>
        <v/>
      </c>
      <c r="K334" s="4" t="s">
        <v>39</v>
      </c>
      <c r="L334" s="4">
        <f>Setup!$C$15</f>
        <v>1500</v>
      </c>
      <c r="M334" s="4" t="s">
        <v>36</v>
      </c>
      <c r="N334" s="4" t="str">
        <f t="shared" si="17"/>
        <v/>
      </c>
      <c r="O334" s="4" t="s">
        <v>40</v>
      </c>
      <c r="P334" s="4">
        <f>Setup!$C$13</f>
        <v>1200</v>
      </c>
      <c r="Q334" s="4" t="s">
        <v>37</v>
      </c>
      <c r="R334" s="4" t="str">
        <f t="shared" si="18"/>
        <v/>
      </c>
      <c r="S334" s="4" t="s">
        <v>41</v>
      </c>
      <c r="T334" s="4">
        <f>Setup!$C$14</f>
        <v>1200</v>
      </c>
      <c r="U334" s="4" t="str">
        <f t="shared" si="19"/>
        <v/>
      </c>
      <c r="V334" s="4"/>
    </row>
    <row r="335" spans="1:22" x14ac:dyDescent="0.25">
      <c r="A335" s="4"/>
      <c r="B335" s="4" t="str">
        <f>IFERROR(IF(A335&lt;&gt;"",VLOOKUP($A335,calculation!$A$10:$V$510,12),""),"")</f>
        <v/>
      </c>
      <c r="C335" s="4" t="str">
        <f>IFERROR(IF(A335&lt;&gt;"",VLOOKUP($A335,calculation!$A$10:$V$510,15),""),"")</f>
        <v/>
      </c>
      <c r="D335" s="4" t="str">
        <f>IFERROR(IF(A335&lt;&gt;"",VLOOKUP($A335,calculation!$A$10:$V$510,22),""),"")</f>
        <v/>
      </c>
      <c r="F335" s="4" t="s">
        <v>27</v>
      </c>
      <c r="G335" s="4">
        <f>MAX($G$9:G334)+1</f>
        <v>307</v>
      </c>
      <c r="H335" s="4" t="s">
        <v>34</v>
      </c>
      <c r="I335" s="4" t="s">
        <v>35</v>
      </c>
      <c r="J335" s="4" t="str">
        <f t="shared" si="16"/>
        <v/>
      </c>
      <c r="K335" s="4" t="s">
        <v>39</v>
      </c>
      <c r="L335" s="4">
        <f>Setup!$C$15</f>
        <v>1500</v>
      </c>
      <c r="M335" s="4" t="s">
        <v>36</v>
      </c>
      <c r="N335" s="4" t="str">
        <f t="shared" si="17"/>
        <v/>
      </c>
      <c r="O335" s="4" t="s">
        <v>40</v>
      </c>
      <c r="P335" s="4">
        <f>Setup!$C$13</f>
        <v>1200</v>
      </c>
      <c r="Q335" s="4" t="s">
        <v>37</v>
      </c>
      <c r="R335" s="4" t="str">
        <f t="shared" si="18"/>
        <v/>
      </c>
      <c r="S335" s="4" t="s">
        <v>41</v>
      </c>
      <c r="T335" s="4">
        <f>Setup!$C$14</f>
        <v>1200</v>
      </c>
      <c r="U335" s="4" t="str">
        <f t="shared" si="19"/>
        <v/>
      </c>
      <c r="V335" s="4"/>
    </row>
    <row r="336" spans="1:22" x14ac:dyDescent="0.25">
      <c r="A336" s="4"/>
      <c r="B336" s="4" t="str">
        <f>IFERROR(IF(A336&lt;&gt;"",VLOOKUP($A336,calculation!$A$10:$V$510,12),""),"")</f>
        <v/>
      </c>
      <c r="C336" s="4" t="str">
        <f>IFERROR(IF(A336&lt;&gt;"",VLOOKUP($A336,calculation!$A$10:$V$510,15),""),"")</f>
        <v/>
      </c>
      <c r="D336" s="4" t="str">
        <f>IFERROR(IF(A336&lt;&gt;"",VLOOKUP($A336,calculation!$A$10:$V$510,22),""),"")</f>
        <v/>
      </c>
      <c r="F336" s="4" t="s">
        <v>27</v>
      </c>
      <c r="G336" s="4">
        <f>MAX($G$9:G335)+1</f>
        <v>308</v>
      </c>
      <c r="H336" s="4" t="s">
        <v>34</v>
      </c>
      <c r="I336" s="4" t="s">
        <v>35</v>
      </c>
      <c r="J336" s="4" t="str">
        <f t="shared" si="16"/>
        <v/>
      </c>
      <c r="K336" s="4" t="s">
        <v>39</v>
      </c>
      <c r="L336" s="4">
        <f>Setup!$C$15</f>
        <v>1500</v>
      </c>
      <c r="M336" s="4" t="s">
        <v>36</v>
      </c>
      <c r="N336" s="4" t="str">
        <f t="shared" si="17"/>
        <v/>
      </c>
      <c r="O336" s="4" t="s">
        <v>40</v>
      </c>
      <c r="P336" s="4">
        <f>Setup!$C$13</f>
        <v>1200</v>
      </c>
      <c r="Q336" s="4" t="s">
        <v>37</v>
      </c>
      <c r="R336" s="4" t="str">
        <f t="shared" si="18"/>
        <v/>
      </c>
      <c r="S336" s="4" t="s">
        <v>41</v>
      </c>
      <c r="T336" s="4">
        <f>Setup!$C$14</f>
        <v>1200</v>
      </c>
      <c r="U336" s="4" t="str">
        <f t="shared" si="19"/>
        <v/>
      </c>
      <c r="V336" s="4"/>
    </row>
    <row r="337" spans="1:22" x14ac:dyDescent="0.25">
      <c r="A337" s="4"/>
      <c r="B337" s="4" t="str">
        <f>IFERROR(IF(A337&lt;&gt;"",VLOOKUP($A337,calculation!$A$10:$V$510,12),""),"")</f>
        <v/>
      </c>
      <c r="C337" s="4" t="str">
        <f>IFERROR(IF(A337&lt;&gt;"",VLOOKUP($A337,calculation!$A$10:$V$510,15),""),"")</f>
        <v/>
      </c>
      <c r="D337" s="4" t="str">
        <f>IFERROR(IF(A337&lt;&gt;"",VLOOKUP($A337,calculation!$A$10:$V$510,22),""),"")</f>
        <v/>
      </c>
      <c r="F337" s="4" t="s">
        <v>27</v>
      </c>
      <c r="G337" s="4">
        <f>MAX($G$9:G336)+1</f>
        <v>309</v>
      </c>
      <c r="H337" s="4" t="s">
        <v>34</v>
      </c>
      <c r="I337" s="4" t="s">
        <v>35</v>
      </c>
      <c r="J337" s="4" t="str">
        <f t="shared" si="16"/>
        <v/>
      </c>
      <c r="K337" s="4" t="s">
        <v>39</v>
      </c>
      <c r="L337" s="4">
        <f>Setup!$C$15</f>
        <v>1500</v>
      </c>
      <c r="M337" s="4" t="s">
        <v>36</v>
      </c>
      <c r="N337" s="4" t="str">
        <f t="shared" si="17"/>
        <v/>
      </c>
      <c r="O337" s="4" t="s">
        <v>40</v>
      </c>
      <c r="P337" s="4">
        <f>Setup!$C$13</f>
        <v>1200</v>
      </c>
      <c r="Q337" s="4" t="s">
        <v>37</v>
      </c>
      <c r="R337" s="4" t="str">
        <f t="shared" si="18"/>
        <v/>
      </c>
      <c r="S337" s="4" t="s">
        <v>41</v>
      </c>
      <c r="T337" s="4">
        <f>Setup!$C$14</f>
        <v>1200</v>
      </c>
      <c r="U337" s="4" t="str">
        <f t="shared" si="19"/>
        <v/>
      </c>
      <c r="V337" s="4"/>
    </row>
    <row r="338" spans="1:22" x14ac:dyDescent="0.25">
      <c r="A338" s="4"/>
      <c r="B338" s="4" t="str">
        <f>IFERROR(IF(A338&lt;&gt;"",VLOOKUP($A338,calculation!$A$10:$V$510,12),""),"")</f>
        <v/>
      </c>
      <c r="C338" s="4" t="str">
        <f>IFERROR(IF(A338&lt;&gt;"",VLOOKUP($A338,calculation!$A$10:$V$510,15),""),"")</f>
        <v/>
      </c>
      <c r="D338" s="4" t="str">
        <f>IFERROR(IF(A338&lt;&gt;"",VLOOKUP($A338,calculation!$A$10:$V$510,22),""),"")</f>
        <v/>
      </c>
      <c r="F338" s="4" t="s">
        <v>27</v>
      </c>
      <c r="G338" s="4">
        <f>MAX($G$9:G337)+1</f>
        <v>310</v>
      </c>
      <c r="H338" s="4" t="s">
        <v>34</v>
      </c>
      <c r="I338" s="4" t="s">
        <v>35</v>
      </c>
      <c r="J338" s="4" t="str">
        <f t="shared" si="16"/>
        <v/>
      </c>
      <c r="K338" s="4" t="s">
        <v>39</v>
      </c>
      <c r="L338" s="4">
        <f>Setup!$C$15</f>
        <v>1500</v>
      </c>
      <c r="M338" s="4" t="s">
        <v>36</v>
      </c>
      <c r="N338" s="4" t="str">
        <f t="shared" si="17"/>
        <v/>
      </c>
      <c r="O338" s="4" t="s">
        <v>40</v>
      </c>
      <c r="P338" s="4">
        <f>Setup!$C$13</f>
        <v>1200</v>
      </c>
      <c r="Q338" s="4" t="s">
        <v>37</v>
      </c>
      <c r="R338" s="4" t="str">
        <f t="shared" si="18"/>
        <v/>
      </c>
      <c r="S338" s="4" t="s">
        <v>41</v>
      </c>
      <c r="T338" s="4">
        <f>Setup!$C$14</f>
        <v>1200</v>
      </c>
      <c r="U338" s="4" t="str">
        <f t="shared" si="19"/>
        <v/>
      </c>
      <c r="V338" s="4"/>
    </row>
    <row r="339" spans="1:22" x14ac:dyDescent="0.25">
      <c r="A339" s="4"/>
      <c r="B339" s="4" t="str">
        <f>IFERROR(IF(A339&lt;&gt;"",VLOOKUP($A339,calculation!$A$10:$V$510,12),""),"")</f>
        <v/>
      </c>
      <c r="C339" s="4" t="str">
        <f>IFERROR(IF(A339&lt;&gt;"",VLOOKUP($A339,calculation!$A$10:$V$510,15),""),"")</f>
        <v/>
      </c>
      <c r="D339" s="4" t="str">
        <f>IFERROR(IF(A339&lt;&gt;"",VLOOKUP($A339,calculation!$A$10:$V$510,22),""),"")</f>
        <v/>
      </c>
      <c r="F339" s="4" t="s">
        <v>27</v>
      </c>
      <c r="G339" s="4">
        <f>MAX($G$9:G338)+1</f>
        <v>311</v>
      </c>
      <c r="H339" s="4" t="s">
        <v>34</v>
      </c>
      <c r="I339" s="4" t="s">
        <v>35</v>
      </c>
      <c r="J339" s="4" t="str">
        <f t="shared" si="16"/>
        <v/>
      </c>
      <c r="K339" s="4" t="s">
        <v>39</v>
      </c>
      <c r="L339" s="4">
        <f>Setup!$C$15</f>
        <v>1500</v>
      </c>
      <c r="M339" s="4" t="s">
        <v>36</v>
      </c>
      <c r="N339" s="4" t="str">
        <f t="shared" si="17"/>
        <v/>
      </c>
      <c r="O339" s="4" t="s">
        <v>40</v>
      </c>
      <c r="P339" s="4">
        <f>Setup!$C$13</f>
        <v>1200</v>
      </c>
      <c r="Q339" s="4" t="s">
        <v>37</v>
      </c>
      <c r="R339" s="4" t="str">
        <f t="shared" si="18"/>
        <v/>
      </c>
      <c r="S339" s="4" t="s">
        <v>41</v>
      </c>
      <c r="T339" s="4">
        <f>Setup!$C$14</f>
        <v>1200</v>
      </c>
      <c r="U339" s="4" t="str">
        <f t="shared" si="19"/>
        <v/>
      </c>
      <c r="V339" s="4"/>
    </row>
    <row r="340" spans="1:22" x14ac:dyDescent="0.25">
      <c r="A340" s="4"/>
      <c r="B340" s="4" t="str">
        <f>IFERROR(IF(A340&lt;&gt;"",VLOOKUP($A340,calculation!$A$10:$V$510,12),""),"")</f>
        <v/>
      </c>
      <c r="C340" s="4" t="str">
        <f>IFERROR(IF(A340&lt;&gt;"",VLOOKUP($A340,calculation!$A$10:$V$510,15),""),"")</f>
        <v/>
      </c>
      <c r="D340" s="4" t="str">
        <f>IFERROR(IF(A340&lt;&gt;"",VLOOKUP($A340,calculation!$A$10:$V$510,22),""),"")</f>
        <v/>
      </c>
      <c r="F340" s="4" t="s">
        <v>27</v>
      </c>
      <c r="G340" s="4">
        <f>MAX($G$9:G339)+1</f>
        <v>312</v>
      </c>
      <c r="H340" s="4" t="s">
        <v>34</v>
      </c>
      <c r="I340" s="4" t="s">
        <v>35</v>
      </c>
      <c r="J340" s="4" t="str">
        <f t="shared" si="16"/>
        <v/>
      </c>
      <c r="K340" s="4" t="s">
        <v>39</v>
      </c>
      <c r="L340" s="4">
        <f>Setup!$C$15</f>
        <v>1500</v>
      </c>
      <c r="M340" s="4" t="s">
        <v>36</v>
      </c>
      <c r="N340" s="4" t="str">
        <f t="shared" si="17"/>
        <v/>
      </c>
      <c r="O340" s="4" t="s">
        <v>40</v>
      </c>
      <c r="P340" s="4">
        <f>Setup!$C$13</f>
        <v>1200</v>
      </c>
      <c r="Q340" s="4" t="s">
        <v>37</v>
      </c>
      <c r="R340" s="4" t="str">
        <f t="shared" si="18"/>
        <v/>
      </c>
      <c r="S340" s="4" t="s">
        <v>41</v>
      </c>
      <c r="T340" s="4">
        <f>Setup!$C$14</f>
        <v>1200</v>
      </c>
      <c r="U340" s="4" t="str">
        <f t="shared" si="19"/>
        <v/>
      </c>
      <c r="V340" s="4"/>
    </row>
    <row r="341" spans="1:22" x14ac:dyDescent="0.25">
      <c r="A341" s="4"/>
      <c r="B341" s="4" t="str">
        <f>IFERROR(IF(A341&lt;&gt;"",VLOOKUP($A341,calculation!$A$10:$V$510,12),""),"")</f>
        <v/>
      </c>
      <c r="C341" s="4" t="str">
        <f>IFERROR(IF(A341&lt;&gt;"",VLOOKUP($A341,calculation!$A$10:$V$510,15),""),"")</f>
        <v/>
      </c>
      <c r="D341" s="4" t="str">
        <f>IFERROR(IF(A341&lt;&gt;"",VLOOKUP($A341,calculation!$A$10:$V$510,22),""),"")</f>
        <v/>
      </c>
      <c r="F341" s="4" t="s">
        <v>27</v>
      </c>
      <c r="G341" s="4">
        <f>MAX($G$9:G340)+1</f>
        <v>313</v>
      </c>
      <c r="H341" s="4" t="s">
        <v>34</v>
      </c>
      <c r="I341" s="4" t="s">
        <v>35</v>
      </c>
      <c r="J341" s="4" t="str">
        <f t="shared" si="16"/>
        <v/>
      </c>
      <c r="K341" s="4" t="s">
        <v>39</v>
      </c>
      <c r="L341" s="4">
        <f>Setup!$C$15</f>
        <v>1500</v>
      </c>
      <c r="M341" s="4" t="s">
        <v>36</v>
      </c>
      <c r="N341" s="4" t="str">
        <f t="shared" si="17"/>
        <v/>
      </c>
      <c r="O341" s="4" t="s">
        <v>40</v>
      </c>
      <c r="P341" s="4">
        <f>Setup!$C$13</f>
        <v>1200</v>
      </c>
      <c r="Q341" s="4" t="s">
        <v>37</v>
      </c>
      <c r="R341" s="4" t="str">
        <f t="shared" si="18"/>
        <v/>
      </c>
      <c r="S341" s="4" t="s">
        <v>41</v>
      </c>
      <c r="T341" s="4">
        <f>Setup!$C$14</f>
        <v>1200</v>
      </c>
      <c r="U341" s="4" t="str">
        <f t="shared" si="19"/>
        <v/>
      </c>
      <c r="V341" s="4"/>
    </row>
    <row r="342" spans="1:22" x14ac:dyDescent="0.25">
      <c r="A342" s="4"/>
      <c r="B342" s="4" t="str">
        <f>IFERROR(IF(A342&lt;&gt;"",VLOOKUP($A342,calculation!$A$10:$V$510,12),""),"")</f>
        <v/>
      </c>
      <c r="C342" s="4" t="str">
        <f>IFERROR(IF(A342&lt;&gt;"",VLOOKUP($A342,calculation!$A$10:$V$510,15),""),"")</f>
        <v/>
      </c>
      <c r="D342" s="4" t="str">
        <f>IFERROR(IF(A342&lt;&gt;"",VLOOKUP($A342,calculation!$A$10:$V$510,22),""),"")</f>
        <v/>
      </c>
      <c r="F342" s="4" t="s">
        <v>27</v>
      </c>
      <c r="G342" s="4">
        <f>MAX($G$9:G341)+1</f>
        <v>314</v>
      </c>
      <c r="H342" s="4" t="s">
        <v>34</v>
      </c>
      <c r="I342" s="4" t="s">
        <v>35</v>
      </c>
      <c r="J342" s="4" t="str">
        <f t="shared" si="16"/>
        <v/>
      </c>
      <c r="K342" s="4" t="s">
        <v>39</v>
      </c>
      <c r="L342" s="4">
        <f>Setup!$C$15</f>
        <v>1500</v>
      </c>
      <c r="M342" s="4" t="s">
        <v>36</v>
      </c>
      <c r="N342" s="4" t="str">
        <f t="shared" si="17"/>
        <v/>
      </c>
      <c r="O342" s="4" t="s">
        <v>40</v>
      </c>
      <c r="P342" s="4">
        <f>Setup!$C$13</f>
        <v>1200</v>
      </c>
      <c r="Q342" s="4" t="s">
        <v>37</v>
      </c>
      <c r="R342" s="4" t="str">
        <f t="shared" si="18"/>
        <v/>
      </c>
      <c r="S342" s="4" t="s">
        <v>41</v>
      </c>
      <c r="T342" s="4">
        <f>Setup!$C$14</f>
        <v>1200</v>
      </c>
      <c r="U342" s="4" t="str">
        <f t="shared" si="19"/>
        <v/>
      </c>
      <c r="V342" s="4"/>
    </row>
    <row r="343" spans="1:22" x14ac:dyDescent="0.25">
      <c r="A343" s="4"/>
      <c r="B343" s="4" t="str">
        <f>IFERROR(IF(A343&lt;&gt;"",VLOOKUP($A343,calculation!$A$10:$V$510,12),""),"")</f>
        <v/>
      </c>
      <c r="C343" s="4" t="str">
        <f>IFERROR(IF(A343&lt;&gt;"",VLOOKUP($A343,calculation!$A$10:$V$510,15),""),"")</f>
        <v/>
      </c>
      <c r="D343" s="4" t="str">
        <f>IFERROR(IF(A343&lt;&gt;"",VLOOKUP($A343,calculation!$A$10:$V$510,22),""),"")</f>
        <v/>
      </c>
      <c r="F343" s="4" t="s">
        <v>27</v>
      </c>
      <c r="G343" s="4">
        <f>MAX($G$9:G342)+1</f>
        <v>315</v>
      </c>
      <c r="H343" s="4" t="s">
        <v>34</v>
      </c>
      <c r="I343" s="4" t="s">
        <v>35</v>
      </c>
      <c r="J343" s="4" t="str">
        <f t="shared" si="16"/>
        <v/>
      </c>
      <c r="K343" s="4" t="s">
        <v>39</v>
      </c>
      <c r="L343" s="4">
        <f>Setup!$C$15</f>
        <v>1500</v>
      </c>
      <c r="M343" s="4" t="s">
        <v>36</v>
      </c>
      <c r="N343" s="4" t="str">
        <f t="shared" si="17"/>
        <v/>
      </c>
      <c r="O343" s="4" t="s">
        <v>40</v>
      </c>
      <c r="P343" s="4">
        <f>Setup!$C$13</f>
        <v>1200</v>
      </c>
      <c r="Q343" s="4" t="s">
        <v>37</v>
      </c>
      <c r="R343" s="4" t="str">
        <f t="shared" si="18"/>
        <v/>
      </c>
      <c r="S343" s="4" t="s">
        <v>41</v>
      </c>
      <c r="T343" s="4">
        <f>Setup!$C$14</f>
        <v>1200</v>
      </c>
      <c r="U343" s="4" t="str">
        <f t="shared" si="19"/>
        <v/>
      </c>
      <c r="V343" s="4"/>
    </row>
    <row r="344" spans="1:22" x14ac:dyDescent="0.25">
      <c r="A344" s="4"/>
      <c r="B344" s="4" t="str">
        <f>IFERROR(IF(A344&lt;&gt;"",VLOOKUP($A344,calculation!$A$10:$V$510,12),""),"")</f>
        <v/>
      </c>
      <c r="C344" s="4" t="str">
        <f>IFERROR(IF(A344&lt;&gt;"",VLOOKUP($A344,calculation!$A$10:$V$510,15),""),"")</f>
        <v/>
      </c>
      <c r="D344" s="4" t="str">
        <f>IFERROR(IF(A344&lt;&gt;"",VLOOKUP($A344,calculation!$A$10:$V$510,22),""),"")</f>
        <v/>
      </c>
      <c r="F344" s="4" t="s">
        <v>27</v>
      </c>
      <c r="G344" s="4">
        <f>MAX($G$9:G343)+1</f>
        <v>316</v>
      </c>
      <c r="H344" s="4" t="s">
        <v>34</v>
      </c>
      <c r="I344" s="4" t="s">
        <v>35</v>
      </c>
      <c r="J344" s="4" t="str">
        <f t="shared" si="16"/>
        <v/>
      </c>
      <c r="K344" s="4" t="s">
        <v>39</v>
      </c>
      <c r="L344" s="4">
        <f>Setup!$C$15</f>
        <v>1500</v>
      </c>
      <c r="M344" s="4" t="s">
        <v>36</v>
      </c>
      <c r="N344" s="4" t="str">
        <f t="shared" si="17"/>
        <v/>
      </c>
      <c r="O344" s="4" t="s">
        <v>40</v>
      </c>
      <c r="P344" s="4">
        <f>Setup!$C$13</f>
        <v>1200</v>
      </c>
      <c r="Q344" s="4" t="s">
        <v>37</v>
      </c>
      <c r="R344" s="4" t="str">
        <f t="shared" si="18"/>
        <v/>
      </c>
      <c r="S344" s="4" t="s">
        <v>41</v>
      </c>
      <c r="T344" s="4">
        <f>Setup!$C$14</f>
        <v>1200</v>
      </c>
      <c r="U344" s="4" t="str">
        <f t="shared" si="19"/>
        <v/>
      </c>
      <c r="V344" s="4"/>
    </row>
    <row r="345" spans="1:22" x14ac:dyDescent="0.25">
      <c r="A345" s="4"/>
      <c r="B345" s="4" t="str">
        <f>IFERROR(IF(A345&lt;&gt;"",VLOOKUP($A345,calculation!$A$10:$V$510,12),""),"")</f>
        <v/>
      </c>
      <c r="C345" s="4" t="str">
        <f>IFERROR(IF(A345&lt;&gt;"",VLOOKUP($A345,calculation!$A$10:$V$510,15),""),"")</f>
        <v/>
      </c>
      <c r="D345" s="4" t="str">
        <f>IFERROR(IF(A345&lt;&gt;"",VLOOKUP($A345,calculation!$A$10:$V$510,22),""),"")</f>
        <v/>
      </c>
      <c r="F345" s="4" t="s">
        <v>27</v>
      </c>
      <c r="G345" s="4">
        <f>MAX($G$9:G344)+1</f>
        <v>317</v>
      </c>
      <c r="H345" s="4" t="s">
        <v>34</v>
      </c>
      <c r="I345" s="4" t="s">
        <v>35</v>
      </c>
      <c r="J345" s="4" t="str">
        <f t="shared" si="16"/>
        <v/>
      </c>
      <c r="K345" s="4" t="s">
        <v>39</v>
      </c>
      <c r="L345" s="4">
        <f>Setup!$C$15</f>
        <v>1500</v>
      </c>
      <c r="M345" s="4" t="s">
        <v>36</v>
      </c>
      <c r="N345" s="4" t="str">
        <f t="shared" si="17"/>
        <v/>
      </c>
      <c r="O345" s="4" t="s">
        <v>40</v>
      </c>
      <c r="P345" s="4">
        <f>Setup!$C$13</f>
        <v>1200</v>
      </c>
      <c r="Q345" s="4" t="s">
        <v>37</v>
      </c>
      <c r="R345" s="4" t="str">
        <f t="shared" si="18"/>
        <v/>
      </c>
      <c r="S345" s="4" t="s">
        <v>41</v>
      </c>
      <c r="T345" s="4">
        <f>Setup!$C$14</f>
        <v>1200</v>
      </c>
      <c r="U345" s="4" t="str">
        <f t="shared" si="19"/>
        <v/>
      </c>
      <c r="V345" s="4"/>
    </row>
    <row r="346" spans="1:22" x14ac:dyDescent="0.25">
      <c r="A346" s="4"/>
      <c r="B346" s="4" t="str">
        <f>IFERROR(IF(A346&lt;&gt;"",VLOOKUP($A346,calculation!$A$10:$V$510,12),""),"")</f>
        <v/>
      </c>
      <c r="C346" s="4" t="str">
        <f>IFERROR(IF(A346&lt;&gt;"",VLOOKUP($A346,calculation!$A$10:$V$510,15),""),"")</f>
        <v/>
      </c>
      <c r="D346" s="4" t="str">
        <f>IFERROR(IF(A346&lt;&gt;"",VLOOKUP($A346,calculation!$A$10:$V$510,22),""),"")</f>
        <v/>
      </c>
      <c r="F346" s="4" t="s">
        <v>27</v>
      </c>
      <c r="G346" s="4">
        <f>MAX($G$9:G345)+1</f>
        <v>318</v>
      </c>
      <c r="H346" s="4" t="s">
        <v>34</v>
      </c>
      <c r="I346" s="4" t="s">
        <v>35</v>
      </c>
      <c r="J346" s="4" t="str">
        <f t="shared" si="16"/>
        <v/>
      </c>
      <c r="K346" s="4" t="s">
        <v>39</v>
      </c>
      <c r="L346" s="4">
        <f>Setup!$C$15</f>
        <v>1500</v>
      </c>
      <c r="M346" s="4" t="s">
        <v>36</v>
      </c>
      <c r="N346" s="4" t="str">
        <f t="shared" si="17"/>
        <v/>
      </c>
      <c r="O346" s="4" t="s">
        <v>40</v>
      </c>
      <c r="P346" s="4">
        <f>Setup!$C$13</f>
        <v>1200</v>
      </c>
      <c r="Q346" s="4" t="s">
        <v>37</v>
      </c>
      <c r="R346" s="4" t="str">
        <f t="shared" si="18"/>
        <v/>
      </c>
      <c r="S346" s="4" t="s">
        <v>41</v>
      </c>
      <c r="T346" s="4">
        <f>Setup!$C$14</f>
        <v>1200</v>
      </c>
      <c r="U346" s="4" t="str">
        <f t="shared" si="19"/>
        <v/>
      </c>
      <c r="V346" s="4"/>
    </row>
    <row r="347" spans="1:22" x14ac:dyDescent="0.25">
      <c r="A347" s="4"/>
      <c r="B347" s="4" t="str">
        <f>IFERROR(IF(A347&lt;&gt;"",VLOOKUP($A347,calculation!$A$10:$V$510,12),""),"")</f>
        <v/>
      </c>
      <c r="C347" s="4" t="str">
        <f>IFERROR(IF(A347&lt;&gt;"",VLOOKUP($A347,calculation!$A$10:$V$510,15),""),"")</f>
        <v/>
      </c>
      <c r="D347" s="4" t="str">
        <f>IFERROR(IF(A347&lt;&gt;"",VLOOKUP($A347,calculation!$A$10:$V$510,22),""),"")</f>
        <v/>
      </c>
      <c r="F347" s="4" t="s">
        <v>27</v>
      </c>
      <c r="G347" s="4">
        <f>MAX($G$9:G346)+1</f>
        <v>319</v>
      </c>
      <c r="H347" s="4" t="s">
        <v>34</v>
      </c>
      <c r="I347" s="4" t="s">
        <v>35</v>
      </c>
      <c r="J347" s="4" t="str">
        <f t="shared" si="16"/>
        <v/>
      </c>
      <c r="K347" s="4" t="s">
        <v>39</v>
      </c>
      <c r="L347" s="4">
        <f>Setup!$C$15</f>
        <v>1500</v>
      </c>
      <c r="M347" s="4" t="s">
        <v>36</v>
      </c>
      <c r="N347" s="4" t="str">
        <f t="shared" si="17"/>
        <v/>
      </c>
      <c r="O347" s="4" t="s">
        <v>40</v>
      </c>
      <c r="P347" s="4">
        <f>Setup!$C$13</f>
        <v>1200</v>
      </c>
      <c r="Q347" s="4" t="s">
        <v>37</v>
      </c>
      <c r="R347" s="4" t="str">
        <f t="shared" si="18"/>
        <v/>
      </c>
      <c r="S347" s="4" t="s">
        <v>41</v>
      </c>
      <c r="T347" s="4">
        <f>Setup!$C$14</f>
        <v>1200</v>
      </c>
      <c r="U347" s="4" t="str">
        <f t="shared" si="19"/>
        <v/>
      </c>
      <c r="V347" s="4"/>
    </row>
    <row r="348" spans="1:22" x14ac:dyDescent="0.25">
      <c r="A348" s="4"/>
      <c r="B348" s="4" t="str">
        <f>IFERROR(IF(A348&lt;&gt;"",VLOOKUP($A348,calculation!$A$10:$V$510,12),""),"")</f>
        <v/>
      </c>
      <c r="C348" s="4" t="str">
        <f>IFERROR(IF(A348&lt;&gt;"",VLOOKUP($A348,calculation!$A$10:$V$510,15),""),"")</f>
        <v/>
      </c>
      <c r="D348" s="4" t="str">
        <f>IFERROR(IF(A348&lt;&gt;"",VLOOKUP($A348,calculation!$A$10:$V$510,22),""),"")</f>
        <v/>
      </c>
      <c r="F348" s="4" t="s">
        <v>27</v>
      </c>
      <c r="G348" s="4">
        <f>MAX($G$9:G347)+1</f>
        <v>320</v>
      </c>
      <c r="H348" s="4" t="s">
        <v>34</v>
      </c>
      <c r="I348" s="4" t="s">
        <v>35</v>
      </c>
      <c r="J348" s="4" t="str">
        <f t="shared" si="16"/>
        <v/>
      </c>
      <c r="K348" s="4" t="s">
        <v>39</v>
      </c>
      <c r="L348" s="4">
        <f>Setup!$C$15</f>
        <v>1500</v>
      </c>
      <c r="M348" s="4" t="s">
        <v>36</v>
      </c>
      <c r="N348" s="4" t="str">
        <f t="shared" si="17"/>
        <v/>
      </c>
      <c r="O348" s="4" t="s">
        <v>40</v>
      </c>
      <c r="P348" s="4">
        <f>Setup!$C$13</f>
        <v>1200</v>
      </c>
      <c r="Q348" s="4" t="s">
        <v>37</v>
      </c>
      <c r="R348" s="4" t="str">
        <f t="shared" si="18"/>
        <v/>
      </c>
      <c r="S348" s="4" t="s">
        <v>41</v>
      </c>
      <c r="T348" s="4">
        <f>Setup!$C$14</f>
        <v>1200</v>
      </c>
      <c r="U348" s="4" t="str">
        <f t="shared" si="19"/>
        <v/>
      </c>
      <c r="V348" s="4"/>
    </row>
    <row r="349" spans="1:22" x14ac:dyDescent="0.25">
      <c r="A349" s="4"/>
      <c r="B349" s="4" t="str">
        <f>IFERROR(IF(A349&lt;&gt;"",VLOOKUP($A349,calculation!$A$10:$V$510,12),""),"")</f>
        <v/>
      </c>
      <c r="C349" s="4" t="str">
        <f>IFERROR(IF(A349&lt;&gt;"",VLOOKUP($A349,calculation!$A$10:$V$510,15),""),"")</f>
        <v/>
      </c>
      <c r="D349" s="4" t="str">
        <f>IFERROR(IF(A349&lt;&gt;"",VLOOKUP($A349,calculation!$A$10:$V$510,22),""),"")</f>
        <v/>
      </c>
      <c r="F349" s="4" t="s">
        <v>27</v>
      </c>
      <c r="G349" s="4">
        <f>MAX($G$9:G348)+1</f>
        <v>321</v>
      </c>
      <c r="H349" s="4" t="s">
        <v>34</v>
      </c>
      <c r="I349" s="4" t="s">
        <v>35</v>
      </c>
      <c r="J349" s="4" t="str">
        <f t="shared" si="16"/>
        <v/>
      </c>
      <c r="K349" s="4" t="s">
        <v>39</v>
      </c>
      <c r="L349" s="4">
        <f>Setup!$C$15</f>
        <v>1500</v>
      </c>
      <c r="M349" s="4" t="s">
        <v>36</v>
      </c>
      <c r="N349" s="4" t="str">
        <f t="shared" si="17"/>
        <v/>
      </c>
      <c r="O349" s="4" t="s">
        <v>40</v>
      </c>
      <c r="P349" s="4">
        <f>Setup!$C$13</f>
        <v>1200</v>
      </c>
      <c r="Q349" s="4" t="s">
        <v>37</v>
      </c>
      <c r="R349" s="4" t="str">
        <f t="shared" si="18"/>
        <v/>
      </c>
      <c r="S349" s="4" t="s">
        <v>41</v>
      </c>
      <c r="T349" s="4">
        <f>Setup!$C$14</f>
        <v>1200</v>
      </c>
      <c r="U349" s="4" t="str">
        <f t="shared" si="19"/>
        <v/>
      </c>
      <c r="V349" s="4"/>
    </row>
    <row r="350" spans="1:22" x14ac:dyDescent="0.25">
      <c r="A350" s="4"/>
      <c r="B350" s="4" t="str">
        <f>IFERROR(IF(A350&lt;&gt;"",VLOOKUP($A350,calculation!$A$10:$V$510,12),""),"")</f>
        <v/>
      </c>
      <c r="C350" s="4" t="str">
        <f>IFERROR(IF(A350&lt;&gt;"",VLOOKUP($A350,calculation!$A$10:$V$510,15),""),"")</f>
        <v/>
      </c>
      <c r="D350" s="4" t="str">
        <f>IFERROR(IF(A350&lt;&gt;"",VLOOKUP($A350,calculation!$A$10:$V$510,22),""),"")</f>
        <v/>
      </c>
      <c r="F350" s="4" t="s">
        <v>27</v>
      </c>
      <c r="G350" s="4">
        <f>MAX($G$9:G349)+1</f>
        <v>322</v>
      </c>
      <c r="H350" s="4" t="s">
        <v>34</v>
      </c>
      <c r="I350" s="4" t="s">
        <v>35</v>
      </c>
      <c r="J350" s="4" t="str">
        <f t="shared" si="16"/>
        <v/>
      </c>
      <c r="K350" s="4" t="s">
        <v>39</v>
      </c>
      <c r="L350" s="4">
        <f>Setup!$C$15</f>
        <v>1500</v>
      </c>
      <c r="M350" s="4" t="s">
        <v>36</v>
      </c>
      <c r="N350" s="4" t="str">
        <f t="shared" si="17"/>
        <v/>
      </c>
      <c r="O350" s="4" t="s">
        <v>40</v>
      </c>
      <c r="P350" s="4">
        <f>Setup!$C$13</f>
        <v>1200</v>
      </c>
      <c r="Q350" s="4" t="s">
        <v>37</v>
      </c>
      <c r="R350" s="4" t="str">
        <f t="shared" si="18"/>
        <v/>
      </c>
      <c r="S350" s="4" t="s">
        <v>41</v>
      </c>
      <c r="T350" s="4">
        <f>Setup!$C$14</f>
        <v>1200</v>
      </c>
      <c r="U350" s="4" t="str">
        <f t="shared" si="19"/>
        <v/>
      </c>
      <c r="V350" s="4"/>
    </row>
    <row r="351" spans="1:22" x14ac:dyDescent="0.25">
      <c r="A351" s="4"/>
      <c r="B351" s="4" t="str">
        <f>IFERROR(IF(A351&lt;&gt;"",VLOOKUP($A351,calculation!$A$10:$V$510,12),""),"")</f>
        <v/>
      </c>
      <c r="C351" s="4" t="str">
        <f>IFERROR(IF(A351&lt;&gt;"",VLOOKUP($A351,calculation!$A$10:$V$510,15),""),"")</f>
        <v/>
      </c>
      <c r="D351" s="4" t="str">
        <f>IFERROR(IF(A351&lt;&gt;"",VLOOKUP($A351,calculation!$A$10:$V$510,22),""),"")</f>
        <v/>
      </c>
      <c r="F351" s="4" t="s">
        <v>27</v>
      </c>
      <c r="G351" s="4">
        <f>MAX($G$9:G350)+1</f>
        <v>323</v>
      </c>
      <c r="H351" s="4" t="s">
        <v>34</v>
      </c>
      <c r="I351" s="4" t="s">
        <v>35</v>
      </c>
      <c r="J351" s="4" t="str">
        <f t="shared" si="16"/>
        <v/>
      </c>
      <c r="K351" s="4" t="s">
        <v>39</v>
      </c>
      <c r="L351" s="4">
        <f>Setup!$C$15</f>
        <v>1500</v>
      </c>
      <c r="M351" s="4" t="s">
        <v>36</v>
      </c>
      <c r="N351" s="4" t="str">
        <f t="shared" si="17"/>
        <v/>
      </c>
      <c r="O351" s="4" t="s">
        <v>40</v>
      </c>
      <c r="P351" s="4">
        <f>Setup!$C$13</f>
        <v>1200</v>
      </c>
      <c r="Q351" s="4" t="s">
        <v>37</v>
      </c>
      <c r="R351" s="4" t="str">
        <f t="shared" si="18"/>
        <v/>
      </c>
      <c r="S351" s="4" t="s">
        <v>41</v>
      </c>
      <c r="T351" s="4">
        <f>Setup!$C$14</f>
        <v>1200</v>
      </c>
      <c r="U351" s="4" t="str">
        <f t="shared" si="19"/>
        <v/>
      </c>
      <c r="V351" s="4"/>
    </row>
    <row r="352" spans="1:22" x14ac:dyDescent="0.25">
      <c r="A352" s="4"/>
      <c r="B352" s="4" t="str">
        <f>IFERROR(IF(A352&lt;&gt;"",VLOOKUP($A352,calculation!$A$10:$V$510,12),""),"")</f>
        <v/>
      </c>
      <c r="C352" s="4" t="str">
        <f>IFERROR(IF(A352&lt;&gt;"",VLOOKUP($A352,calculation!$A$10:$V$510,15),""),"")</f>
        <v/>
      </c>
      <c r="D352" s="4" t="str">
        <f>IFERROR(IF(A352&lt;&gt;"",VLOOKUP($A352,calculation!$A$10:$V$510,22),""),"")</f>
        <v/>
      </c>
      <c r="F352" s="4" t="s">
        <v>27</v>
      </c>
      <c r="G352" s="4">
        <f>MAX($G$9:G351)+1</f>
        <v>324</v>
      </c>
      <c r="H352" s="4" t="s">
        <v>34</v>
      </c>
      <c r="I352" s="4" t="s">
        <v>35</v>
      </c>
      <c r="J352" s="4" t="str">
        <f t="shared" ref="J352:J415" si="20">B352</f>
        <v/>
      </c>
      <c r="K352" s="4" t="s">
        <v>39</v>
      </c>
      <c r="L352" s="4">
        <f>Setup!$C$15</f>
        <v>1500</v>
      </c>
      <c r="M352" s="4" t="s">
        <v>36</v>
      </c>
      <c r="N352" s="4" t="str">
        <f t="shared" ref="N352:N415" si="21">C352</f>
        <v/>
      </c>
      <c r="O352" s="4" t="s">
        <v>40</v>
      </c>
      <c r="P352" s="4">
        <f>Setup!$C$13</f>
        <v>1200</v>
      </c>
      <c r="Q352" s="4" t="s">
        <v>37</v>
      </c>
      <c r="R352" s="4" t="str">
        <f t="shared" ref="R352:R415" si="22">D352</f>
        <v/>
      </c>
      <c r="S352" s="4" t="s">
        <v>41</v>
      </c>
      <c r="T352" s="4">
        <f>Setup!$C$14</f>
        <v>1200</v>
      </c>
      <c r="U352" s="4" t="str">
        <f t="shared" ref="U352:U415" si="23">IF(A352&lt;&gt;"",F352&amp;G352&amp;" "&amp;H352&amp;" "&amp;I352&amp;J352&amp;" "&amp;K352&amp;L352&amp;" "&amp;M352&amp;N352&amp;" "&amp;O352&amp;P352&amp;" "&amp;Q352&amp;R352&amp;" "&amp;S352&amp;T352,"")</f>
        <v/>
      </c>
      <c r="V352" s="4"/>
    </row>
    <row r="353" spans="1:22" x14ac:dyDescent="0.25">
      <c r="A353" s="4"/>
      <c r="B353" s="4" t="str">
        <f>IFERROR(IF(A353&lt;&gt;"",VLOOKUP($A353,calculation!$A$10:$V$510,12),""),"")</f>
        <v/>
      </c>
      <c r="C353" s="4" t="str">
        <f>IFERROR(IF(A353&lt;&gt;"",VLOOKUP($A353,calculation!$A$10:$V$510,15),""),"")</f>
        <v/>
      </c>
      <c r="D353" s="4" t="str">
        <f>IFERROR(IF(A353&lt;&gt;"",VLOOKUP($A353,calculation!$A$10:$V$510,22),""),"")</f>
        <v/>
      </c>
      <c r="F353" s="4" t="s">
        <v>27</v>
      </c>
      <c r="G353" s="4">
        <f>MAX($G$9:G352)+1</f>
        <v>325</v>
      </c>
      <c r="H353" s="4" t="s">
        <v>34</v>
      </c>
      <c r="I353" s="4" t="s">
        <v>35</v>
      </c>
      <c r="J353" s="4" t="str">
        <f t="shared" si="20"/>
        <v/>
      </c>
      <c r="K353" s="4" t="s">
        <v>39</v>
      </c>
      <c r="L353" s="4">
        <f>Setup!$C$15</f>
        <v>1500</v>
      </c>
      <c r="M353" s="4" t="s">
        <v>36</v>
      </c>
      <c r="N353" s="4" t="str">
        <f t="shared" si="21"/>
        <v/>
      </c>
      <c r="O353" s="4" t="s">
        <v>40</v>
      </c>
      <c r="P353" s="4">
        <f>Setup!$C$13</f>
        <v>1200</v>
      </c>
      <c r="Q353" s="4" t="s">
        <v>37</v>
      </c>
      <c r="R353" s="4" t="str">
        <f t="shared" si="22"/>
        <v/>
      </c>
      <c r="S353" s="4" t="s">
        <v>41</v>
      </c>
      <c r="T353" s="4">
        <f>Setup!$C$14</f>
        <v>1200</v>
      </c>
      <c r="U353" s="4" t="str">
        <f t="shared" si="23"/>
        <v/>
      </c>
      <c r="V353" s="4"/>
    </row>
    <row r="354" spans="1:22" x14ac:dyDescent="0.25">
      <c r="A354" s="4"/>
      <c r="B354" s="4" t="str">
        <f>IFERROR(IF(A354&lt;&gt;"",VLOOKUP($A354,calculation!$A$10:$V$510,12),""),"")</f>
        <v/>
      </c>
      <c r="C354" s="4" t="str">
        <f>IFERROR(IF(A354&lt;&gt;"",VLOOKUP($A354,calculation!$A$10:$V$510,15),""),"")</f>
        <v/>
      </c>
      <c r="D354" s="4" t="str">
        <f>IFERROR(IF(A354&lt;&gt;"",VLOOKUP($A354,calculation!$A$10:$V$510,22),""),"")</f>
        <v/>
      </c>
      <c r="F354" s="4" t="s">
        <v>27</v>
      </c>
      <c r="G354" s="4">
        <f>MAX($G$9:G353)+1</f>
        <v>326</v>
      </c>
      <c r="H354" s="4" t="s">
        <v>34</v>
      </c>
      <c r="I354" s="4" t="s">
        <v>35</v>
      </c>
      <c r="J354" s="4" t="str">
        <f t="shared" si="20"/>
        <v/>
      </c>
      <c r="K354" s="4" t="s">
        <v>39</v>
      </c>
      <c r="L354" s="4">
        <f>Setup!$C$15</f>
        <v>1500</v>
      </c>
      <c r="M354" s="4" t="s">
        <v>36</v>
      </c>
      <c r="N354" s="4" t="str">
        <f t="shared" si="21"/>
        <v/>
      </c>
      <c r="O354" s="4" t="s">
        <v>40</v>
      </c>
      <c r="P354" s="4">
        <f>Setup!$C$13</f>
        <v>1200</v>
      </c>
      <c r="Q354" s="4" t="s">
        <v>37</v>
      </c>
      <c r="R354" s="4" t="str">
        <f t="shared" si="22"/>
        <v/>
      </c>
      <c r="S354" s="4" t="s">
        <v>41</v>
      </c>
      <c r="T354" s="4">
        <f>Setup!$C$14</f>
        <v>1200</v>
      </c>
      <c r="U354" s="4" t="str">
        <f t="shared" si="23"/>
        <v/>
      </c>
      <c r="V354" s="4"/>
    </row>
    <row r="355" spans="1:22" x14ac:dyDescent="0.25">
      <c r="A355" s="4"/>
      <c r="B355" s="4" t="str">
        <f>IFERROR(IF(A355&lt;&gt;"",VLOOKUP($A355,calculation!$A$10:$V$510,12),""),"")</f>
        <v/>
      </c>
      <c r="C355" s="4" t="str">
        <f>IFERROR(IF(A355&lt;&gt;"",VLOOKUP($A355,calculation!$A$10:$V$510,15),""),"")</f>
        <v/>
      </c>
      <c r="D355" s="4" t="str">
        <f>IFERROR(IF(A355&lt;&gt;"",VLOOKUP($A355,calculation!$A$10:$V$510,22),""),"")</f>
        <v/>
      </c>
      <c r="F355" s="4" t="s">
        <v>27</v>
      </c>
      <c r="G355" s="4">
        <f>MAX($G$9:G354)+1</f>
        <v>327</v>
      </c>
      <c r="H355" s="4" t="s">
        <v>34</v>
      </c>
      <c r="I355" s="4" t="s">
        <v>35</v>
      </c>
      <c r="J355" s="4" t="str">
        <f t="shared" si="20"/>
        <v/>
      </c>
      <c r="K355" s="4" t="s">
        <v>39</v>
      </c>
      <c r="L355" s="4">
        <f>Setup!$C$15</f>
        <v>1500</v>
      </c>
      <c r="M355" s="4" t="s">
        <v>36</v>
      </c>
      <c r="N355" s="4" t="str">
        <f t="shared" si="21"/>
        <v/>
      </c>
      <c r="O355" s="4" t="s">
        <v>40</v>
      </c>
      <c r="P355" s="4">
        <f>Setup!$C$13</f>
        <v>1200</v>
      </c>
      <c r="Q355" s="4" t="s">
        <v>37</v>
      </c>
      <c r="R355" s="4" t="str">
        <f t="shared" si="22"/>
        <v/>
      </c>
      <c r="S355" s="4" t="s">
        <v>41</v>
      </c>
      <c r="T355" s="4">
        <f>Setup!$C$14</f>
        <v>1200</v>
      </c>
      <c r="U355" s="4" t="str">
        <f t="shared" si="23"/>
        <v/>
      </c>
      <c r="V355" s="4"/>
    </row>
    <row r="356" spans="1:22" x14ac:dyDescent="0.25">
      <c r="A356" s="4"/>
      <c r="B356" s="4" t="str">
        <f>IFERROR(IF(A356&lt;&gt;"",VLOOKUP($A356,calculation!$A$10:$V$510,12),""),"")</f>
        <v/>
      </c>
      <c r="C356" s="4" t="str">
        <f>IFERROR(IF(A356&lt;&gt;"",VLOOKUP($A356,calculation!$A$10:$V$510,15),""),"")</f>
        <v/>
      </c>
      <c r="D356" s="4" t="str">
        <f>IFERROR(IF(A356&lt;&gt;"",VLOOKUP($A356,calculation!$A$10:$V$510,22),""),"")</f>
        <v/>
      </c>
      <c r="F356" s="4" t="s">
        <v>27</v>
      </c>
      <c r="G356" s="4">
        <f>MAX($G$9:G355)+1</f>
        <v>328</v>
      </c>
      <c r="H356" s="4" t="s">
        <v>34</v>
      </c>
      <c r="I356" s="4" t="s">
        <v>35</v>
      </c>
      <c r="J356" s="4" t="str">
        <f t="shared" si="20"/>
        <v/>
      </c>
      <c r="K356" s="4" t="s">
        <v>39</v>
      </c>
      <c r="L356" s="4">
        <f>Setup!$C$15</f>
        <v>1500</v>
      </c>
      <c r="M356" s="4" t="s">
        <v>36</v>
      </c>
      <c r="N356" s="4" t="str">
        <f t="shared" si="21"/>
        <v/>
      </c>
      <c r="O356" s="4" t="s">
        <v>40</v>
      </c>
      <c r="P356" s="4">
        <f>Setup!$C$13</f>
        <v>1200</v>
      </c>
      <c r="Q356" s="4" t="s">
        <v>37</v>
      </c>
      <c r="R356" s="4" t="str">
        <f t="shared" si="22"/>
        <v/>
      </c>
      <c r="S356" s="4" t="s">
        <v>41</v>
      </c>
      <c r="T356" s="4">
        <f>Setup!$C$14</f>
        <v>1200</v>
      </c>
      <c r="U356" s="4" t="str">
        <f t="shared" si="23"/>
        <v/>
      </c>
      <c r="V356" s="4"/>
    </row>
    <row r="357" spans="1:22" x14ac:dyDescent="0.25">
      <c r="A357" s="4"/>
      <c r="B357" s="4" t="str">
        <f>IFERROR(IF(A357&lt;&gt;"",VLOOKUP($A357,calculation!$A$10:$V$510,12),""),"")</f>
        <v/>
      </c>
      <c r="C357" s="4" t="str">
        <f>IFERROR(IF(A357&lt;&gt;"",VLOOKUP($A357,calculation!$A$10:$V$510,15),""),"")</f>
        <v/>
      </c>
      <c r="D357" s="4" t="str">
        <f>IFERROR(IF(A357&lt;&gt;"",VLOOKUP($A357,calculation!$A$10:$V$510,22),""),"")</f>
        <v/>
      </c>
      <c r="F357" s="4" t="s">
        <v>27</v>
      </c>
      <c r="G357" s="4">
        <f>MAX($G$9:G356)+1</f>
        <v>329</v>
      </c>
      <c r="H357" s="4" t="s">
        <v>34</v>
      </c>
      <c r="I357" s="4" t="s">
        <v>35</v>
      </c>
      <c r="J357" s="4" t="str">
        <f t="shared" si="20"/>
        <v/>
      </c>
      <c r="K357" s="4" t="s">
        <v>39</v>
      </c>
      <c r="L357" s="4">
        <f>Setup!$C$15</f>
        <v>1500</v>
      </c>
      <c r="M357" s="4" t="s">
        <v>36</v>
      </c>
      <c r="N357" s="4" t="str">
        <f t="shared" si="21"/>
        <v/>
      </c>
      <c r="O357" s="4" t="s">
        <v>40</v>
      </c>
      <c r="P357" s="4">
        <f>Setup!$C$13</f>
        <v>1200</v>
      </c>
      <c r="Q357" s="4" t="s">
        <v>37</v>
      </c>
      <c r="R357" s="4" t="str">
        <f t="shared" si="22"/>
        <v/>
      </c>
      <c r="S357" s="4" t="s">
        <v>41</v>
      </c>
      <c r="T357" s="4">
        <f>Setup!$C$14</f>
        <v>1200</v>
      </c>
      <c r="U357" s="4" t="str">
        <f t="shared" si="23"/>
        <v/>
      </c>
      <c r="V357" s="4"/>
    </row>
    <row r="358" spans="1:22" x14ac:dyDescent="0.25">
      <c r="A358" s="4"/>
      <c r="B358" s="4" t="str">
        <f>IFERROR(IF(A358&lt;&gt;"",VLOOKUP($A358,calculation!$A$10:$V$510,12),""),"")</f>
        <v/>
      </c>
      <c r="C358" s="4" t="str">
        <f>IFERROR(IF(A358&lt;&gt;"",VLOOKUP($A358,calculation!$A$10:$V$510,15),""),"")</f>
        <v/>
      </c>
      <c r="D358" s="4" t="str">
        <f>IFERROR(IF(A358&lt;&gt;"",VLOOKUP($A358,calculation!$A$10:$V$510,22),""),"")</f>
        <v/>
      </c>
      <c r="F358" s="4" t="s">
        <v>27</v>
      </c>
      <c r="G358" s="4">
        <f>MAX($G$9:G357)+1</f>
        <v>330</v>
      </c>
      <c r="H358" s="4" t="s">
        <v>34</v>
      </c>
      <c r="I358" s="4" t="s">
        <v>35</v>
      </c>
      <c r="J358" s="4" t="str">
        <f t="shared" si="20"/>
        <v/>
      </c>
      <c r="K358" s="4" t="s">
        <v>39</v>
      </c>
      <c r="L358" s="4">
        <f>Setup!$C$15</f>
        <v>1500</v>
      </c>
      <c r="M358" s="4" t="s">
        <v>36</v>
      </c>
      <c r="N358" s="4" t="str">
        <f t="shared" si="21"/>
        <v/>
      </c>
      <c r="O358" s="4" t="s">
        <v>40</v>
      </c>
      <c r="P358" s="4">
        <f>Setup!$C$13</f>
        <v>1200</v>
      </c>
      <c r="Q358" s="4" t="s">
        <v>37</v>
      </c>
      <c r="R358" s="4" t="str">
        <f t="shared" si="22"/>
        <v/>
      </c>
      <c r="S358" s="4" t="s">
        <v>41</v>
      </c>
      <c r="T358" s="4">
        <f>Setup!$C$14</f>
        <v>1200</v>
      </c>
      <c r="U358" s="4" t="str">
        <f t="shared" si="23"/>
        <v/>
      </c>
      <c r="V358" s="4"/>
    </row>
    <row r="359" spans="1:22" x14ac:dyDescent="0.25">
      <c r="A359" s="4"/>
      <c r="B359" s="4" t="str">
        <f>IFERROR(IF(A359&lt;&gt;"",VLOOKUP($A359,calculation!$A$10:$V$510,12),""),"")</f>
        <v/>
      </c>
      <c r="C359" s="4" t="str">
        <f>IFERROR(IF(A359&lt;&gt;"",VLOOKUP($A359,calculation!$A$10:$V$510,15),""),"")</f>
        <v/>
      </c>
      <c r="D359" s="4" t="str">
        <f>IFERROR(IF(A359&lt;&gt;"",VLOOKUP($A359,calculation!$A$10:$V$510,22),""),"")</f>
        <v/>
      </c>
      <c r="F359" s="4" t="s">
        <v>27</v>
      </c>
      <c r="G359" s="4">
        <f>MAX($G$9:G358)+1</f>
        <v>331</v>
      </c>
      <c r="H359" s="4" t="s">
        <v>34</v>
      </c>
      <c r="I359" s="4" t="s">
        <v>35</v>
      </c>
      <c r="J359" s="4" t="str">
        <f t="shared" si="20"/>
        <v/>
      </c>
      <c r="K359" s="4" t="s">
        <v>39</v>
      </c>
      <c r="L359" s="4">
        <f>Setup!$C$15</f>
        <v>1500</v>
      </c>
      <c r="M359" s="4" t="s">
        <v>36</v>
      </c>
      <c r="N359" s="4" t="str">
        <f t="shared" si="21"/>
        <v/>
      </c>
      <c r="O359" s="4" t="s">
        <v>40</v>
      </c>
      <c r="P359" s="4">
        <f>Setup!$C$13</f>
        <v>1200</v>
      </c>
      <c r="Q359" s="4" t="s">
        <v>37</v>
      </c>
      <c r="R359" s="4" t="str">
        <f t="shared" si="22"/>
        <v/>
      </c>
      <c r="S359" s="4" t="s">
        <v>41</v>
      </c>
      <c r="T359" s="4">
        <f>Setup!$C$14</f>
        <v>1200</v>
      </c>
      <c r="U359" s="4" t="str">
        <f t="shared" si="23"/>
        <v/>
      </c>
      <c r="V359" s="4"/>
    </row>
    <row r="360" spans="1:22" x14ac:dyDescent="0.25">
      <c r="A360" s="4"/>
      <c r="B360" s="4" t="str">
        <f>IFERROR(IF(A360&lt;&gt;"",VLOOKUP($A360,calculation!$A$10:$V$510,12),""),"")</f>
        <v/>
      </c>
      <c r="C360" s="4" t="str">
        <f>IFERROR(IF(A360&lt;&gt;"",VLOOKUP($A360,calculation!$A$10:$V$510,15),""),"")</f>
        <v/>
      </c>
      <c r="D360" s="4" t="str">
        <f>IFERROR(IF(A360&lt;&gt;"",VLOOKUP($A360,calculation!$A$10:$V$510,22),""),"")</f>
        <v/>
      </c>
      <c r="F360" s="4" t="s">
        <v>27</v>
      </c>
      <c r="G360" s="4">
        <f>MAX($G$9:G359)+1</f>
        <v>332</v>
      </c>
      <c r="H360" s="4" t="s">
        <v>34</v>
      </c>
      <c r="I360" s="4" t="s">
        <v>35</v>
      </c>
      <c r="J360" s="4" t="str">
        <f t="shared" si="20"/>
        <v/>
      </c>
      <c r="K360" s="4" t="s">
        <v>39</v>
      </c>
      <c r="L360" s="4">
        <f>Setup!$C$15</f>
        <v>1500</v>
      </c>
      <c r="M360" s="4" t="s">
        <v>36</v>
      </c>
      <c r="N360" s="4" t="str">
        <f t="shared" si="21"/>
        <v/>
      </c>
      <c r="O360" s="4" t="s">
        <v>40</v>
      </c>
      <c r="P360" s="4">
        <f>Setup!$C$13</f>
        <v>1200</v>
      </c>
      <c r="Q360" s="4" t="s">
        <v>37</v>
      </c>
      <c r="R360" s="4" t="str">
        <f t="shared" si="22"/>
        <v/>
      </c>
      <c r="S360" s="4" t="s">
        <v>41</v>
      </c>
      <c r="T360" s="4">
        <f>Setup!$C$14</f>
        <v>1200</v>
      </c>
      <c r="U360" s="4" t="str">
        <f t="shared" si="23"/>
        <v/>
      </c>
      <c r="V360" s="4"/>
    </row>
    <row r="361" spans="1:22" x14ac:dyDescent="0.25">
      <c r="A361" s="4"/>
      <c r="B361" s="4" t="str">
        <f>IFERROR(IF(A361&lt;&gt;"",VLOOKUP($A361,calculation!$A$10:$V$510,12),""),"")</f>
        <v/>
      </c>
      <c r="C361" s="4" t="str">
        <f>IFERROR(IF(A361&lt;&gt;"",VLOOKUP($A361,calculation!$A$10:$V$510,15),""),"")</f>
        <v/>
      </c>
      <c r="D361" s="4" t="str">
        <f>IFERROR(IF(A361&lt;&gt;"",VLOOKUP($A361,calculation!$A$10:$V$510,22),""),"")</f>
        <v/>
      </c>
      <c r="F361" s="4" t="s">
        <v>27</v>
      </c>
      <c r="G361" s="4">
        <f>MAX($G$9:G360)+1</f>
        <v>333</v>
      </c>
      <c r="H361" s="4" t="s">
        <v>34</v>
      </c>
      <c r="I361" s="4" t="s">
        <v>35</v>
      </c>
      <c r="J361" s="4" t="str">
        <f t="shared" si="20"/>
        <v/>
      </c>
      <c r="K361" s="4" t="s">
        <v>39</v>
      </c>
      <c r="L361" s="4">
        <f>Setup!$C$15</f>
        <v>1500</v>
      </c>
      <c r="M361" s="4" t="s">
        <v>36</v>
      </c>
      <c r="N361" s="4" t="str">
        <f t="shared" si="21"/>
        <v/>
      </c>
      <c r="O361" s="4" t="s">
        <v>40</v>
      </c>
      <c r="P361" s="4">
        <f>Setup!$C$13</f>
        <v>1200</v>
      </c>
      <c r="Q361" s="4" t="s">
        <v>37</v>
      </c>
      <c r="R361" s="4" t="str">
        <f t="shared" si="22"/>
        <v/>
      </c>
      <c r="S361" s="4" t="s">
        <v>41</v>
      </c>
      <c r="T361" s="4">
        <f>Setup!$C$14</f>
        <v>1200</v>
      </c>
      <c r="U361" s="4" t="str">
        <f t="shared" si="23"/>
        <v/>
      </c>
      <c r="V361" s="4"/>
    </row>
    <row r="362" spans="1:22" x14ac:dyDescent="0.25">
      <c r="A362" s="4"/>
      <c r="B362" s="4" t="str">
        <f>IFERROR(IF(A362&lt;&gt;"",VLOOKUP($A362,calculation!$A$10:$V$510,12),""),"")</f>
        <v/>
      </c>
      <c r="C362" s="4" t="str">
        <f>IFERROR(IF(A362&lt;&gt;"",VLOOKUP($A362,calculation!$A$10:$V$510,15),""),"")</f>
        <v/>
      </c>
      <c r="D362" s="4" t="str">
        <f>IFERROR(IF(A362&lt;&gt;"",VLOOKUP($A362,calculation!$A$10:$V$510,22),""),"")</f>
        <v/>
      </c>
      <c r="F362" s="4" t="s">
        <v>27</v>
      </c>
      <c r="G362" s="4">
        <f>MAX($G$9:G361)+1</f>
        <v>334</v>
      </c>
      <c r="H362" s="4" t="s">
        <v>34</v>
      </c>
      <c r="I362" s="4" t="s">
        <v>35</v>
      </c>
      <c r="J362" s="4" t="str">
        <f t="shared" si="20"/>
        <v/>
      </c>
      <c r="K362" s="4" t="s">
        <v>39</v>
      </c>
      <c r="L362" s="4">
        <f>Setup!$C$15</f>
        <v>1500</v>
      </c>
      <c r="M362" s="4" t="s">
        <v>36</v>
      </c>
      <c r="N362" s="4" t="str">
        <f t="shared" si="21"/>
        <v/>
      </c>
      <c r="O362" s="4" t="s">
        <v>40</v>
      </c>
      <c r="P362" s="4">
        <f>Setup!$C$13</f>
        <v>1200</v>
      </c>
      <c r="Q362" s="4" t="s">
        <v>37</v>
      </c>
      <c r="R362" s="4" t="str">
        <f t="shared" si="22"/>
        <v/>
      </c>
      <c r="S362" s="4" t="s">
        <v>41</v>
      </c>
      <c r="T362" s="4">
        <f>Setup!$C$14</f>
        <v>1200</v>
      </c>
      <c r="U362" s="4" t="str">
        <f t="shared" si="23"/>
        <v/>
      </c>
      <c r="V362" s="4"/>
    </row>
    <row r="363" spans="1:22" x14ac:dyDescent="0.25">
      <c r="A363" s="4"/>
      <c r="B363" s="4" t="str">
        <f>IFERROR(IF(A363&lt;&gt;"",VLOOKUP($A363,calculation!$A$10:$V$510,12),""),"")</f>
        <v/>
      </c>
      <c r="C363" s="4" t="str">
        <f>IFERROR(IF(A363&lt;&gt;"",VLOOKUP($A363,calculation!$A$10:$V$510,15),""),"")</f>
        <v/>
      </c>
      <c r="D363" s="4" t="str">
        <f>IFERROR(IF(A363&lt;&gt;"",VLOOKUP($A363,calculation!$A$10:$V$510,22),""),"")</f>
        <v/>
      </c>
      <c r="F363" s="4" t="s">
        <v>27</v>
      </c>
      <c r="G363" s="4">
        <f>MAX($G$9:G362)+1</f>
        <v>335</v>
      </c>
      <c r="H363" s="4" t="s">
        <v>34</v>
      </c>
      <c r="I363" s="4" t="s">
        <v>35</v>
      </c>
      <c r="J363" s="4" t="str">
        <f t="shared" si="20"/>
        <v/>
      </c>
      <c r="K363" s="4" t="s">
        <v>39</v>
      </c>
      <c r="L363" s="4">
        <f>Setup!$C$15</f>
        <v>1500</v>
      </c>
      <c r="M363" s="4" t="s">
        <v>36</v>
      </c>
      <c r="N363" s="4" t="str">
        <f t="shared" si="21"/>
        <v/>
      </c>
      <c r="O363" s="4" t="s">
        <v>40</v>
      </c>
      <c r="P363" s="4">
        <f>Setup!$C$13</f>
        <v>1200</v>
      </c>
      <c r="Q363" s="4" t="s">
        <v>37</v>
      </c>
      <c r="R363" s="4" t="str">
        <f t="shared" si="22"/>
        <v/>
      </c>
      <c r="S363" s="4" t="s">
        <v>41</v>
      </c>
      <c r="T363" s="4">
        <f>Setup!$C$14</f>
        <v>1200</v>
      </c>
      <c r="U363" s="4" t="str">
        <f t="shared" si="23"/>
        <v/>
      </c>
      <c r="V363" s="4"/>
    </row>
    <row r="364" spans="1:22" x14ac:dyDescent="0.25">
      <c r="A364" s="4"/>
      <c r="B364" s="4" t="str">
        <f>IFERROR(IF(A364&lt;&gt;"",VLOOKUP($A364,calculation!$A$10:$V$510,12),""),"")</f>
        <v/>
      </c>
      <c r="C364" s="4" t="str">
        <f>IFERROR(IF(A364&lt;&gt;"",VLOOKUP($A364,calculation!$A$10:$V$510,15),""),"")</f>
        <v/>
      </c>
      <c r="D364" s="4" t="str">
        <f>IFERROR(IF(A364&lt;&gt;"",VLOOKUP($A364,calculation!$A$10:$V$510,22),""),"")</f>
        <v/>
      </c>
      <c r="F364" s="4" t="s">
        <v>27</v>
      </c>
      <c r="G364" s="4">
        <f>MAX($G$9:G363)+1</f>
        <v>336</v>
      </c>
      <c r="H364" s="4" t="s">
        <v>34</v>
      </c>
      <c r="I364" s="4" t="s">
        <v>35</v>
      </c>
      <c r="J364" s="4" t="str">
        <f t="shared" si="20"/>
        <v/>
      </c>
      <c r="K364" s="4" t="s">
        <v>39</v>
      </c>
      <c r="L364" s="4">
        <f>Setup!$C$15</f>
        <v>1500</v>
      </c>
      <c r="M364" s="4" t="s">
        <v>36</v>
      </c>
      <c r="N364" s="4" t="str">
        <f t="shared" si="21"/>
        <v/>
      </c>
      <c r="O364" s="4" t="s">
        <v>40</v>
      </c>
      <c r="P364" s="4">
        <f>Setup!$C$13</f>
        <v>1200</v>
      </c>
      <c r="Q364" s="4" t="s">
        <v>37</v>
      </c>
      <c r="R364" s="4" t="str">
        <f t="shared" si="22"/>
        <v/>
      </c>
      <c r="S364" s="4" t="s">
        <v>41</v>
      </c>
      <c r="T364" s="4">
        <f>Setup!$C$14</f>
        <v>1200</v>
      </c>
      <c r="U364" s="4" t="str">
        <f t="shared" si="23"/>
        <v/>
      </c>
      <c r="V364" s="4"/>
    </row>
    <row r="365" spans="1:22" x14ac:dyDescent="0.25">
      <c r="A365" s="4"/>
      <c r="B365" s="4" t="str">
        <f>IFERROR(IF(A365&lt;&gt;"",VLOOKUP($A365,calculation!$A$10:$V$510,12),""),"")</f>
        <v/>
      </c>
      <c r="C365" s="4" t="str">
        <f>IFERROR(IF(A365&lt;&gt;"",VLOOKUP($A365,calculation!$A$10:$V$510,15),""),"")</f>
        <v/>
      </c>
      <c r="D365" s="4" t="str">
        <f>IFERROR(IF(A365&lt;&gt;"",VLOOKUP($A365,calculation!$A$10:$V$510,22),""),"")</f>
        <v/>
      </c>
      <c r="F365" s="4" t="s">
        <v>27</v>
      </c>
      <c r="G365" s="4">
        <f>MAX($G$9:G364)+1</f>
        <v>337</v>
      </c>
      <c r="H365" s="4" t="s">
        <v>34</v>
      </c>
      <c r="I365" s="4" t="s">
        <v>35</v>
      </c>
      <c r="J365" s="4" t="str">
        <f t="shared" si="20"/>
        <v/>
      </c>
      <c r="K365" s="4" t="s">
        <v>39</v>
      </c>
      <c r="L365" s="4">
        <f>Setup!$C$15</f>
        <v>1500</v>
      </c>
      <c r="M365" s="4" t="s">
        <v>36</v>
      </c>
      <c r="N365" s="4" t="str">
        <f t="shared" si="21"/>
        <v/>
      </c>
      <c r="O365" s="4" t="s">
        <v>40</v>
      </c>
      <c r="P365" s="4">
        <f>Setup!$C$13</f>
        <v>1200</v>
      </c>
      <c r="Q365" s="4" t="s">
        <v>37</v>
      </c>
      <c r="R365" s="4" t="str">
        <f t="shared" si="22"/>
        <v/>
      </c>
      <c r="S365" s="4" t="s">
        <v>41</v>
      </c>
      <c r="T365" s="4">
        <f>Setup!$C$14</f>
        <v>1200</v>
      </c>
      <c r="U365" s="4" t="str">
        <f t="shared" si="23"/>
        <v/>
      </c>
      <c r="V365" s="4"/>
    </row>
    <row r="366" spans="1:22" x14ac:dyDescent="0.25">
      <c r="A366" s="4"/>
      <c r="B366" s="4" t="str">
        <f>IFERROR(IF(A366&lt;&gt;"",VLOOKUP($A366,calculation!$A$10:$V$510,12),""),"")</f>
        <v/>
      </c>
      <c r="C366" s="4" t="str">
        <f>IFERROR(IF(A366&lt;&gt;"",VLOOKUP($A366,calculation!$A$10:$V$510,15),""),"")</f>
        <v/>
      </c>
      <c r="D366" s="4" t="str">
        <f>IFERROR(IF(A366&lt;&gt;"",VLOOKUP($A366,calculation!$A$10:$V$510,22),""),"")</f>
        <v/>
      </c>
      <c r="F366" s="4" t="s">
        <v>27</v>
      </c>
      <c r="G366" s="4">
        <f>MAX($G$9:G365)+1</f>
        <v>338</v>
      </c>
      <c r="H366" s="4" t="s">
        <v>34</v>
      </c>
      <c r="I366" s="4" t="s">
        <v>35</v>
      </c>
      <c r="J366" s="4" t="str">
        <f t="shared" si="20"/>
        <v/>
      </c>
      <c r="K366" s="4" t="s">
        <v>39</v>
      </c>
      <c r="L366" s="4">
        <f>Setup!$C$15</f>
        <v>1500</v>
      </c>
      <c r="M366" s="4" t="s">
        <v>36</v>
      </c>
      <c r="N366" s="4" t="str">
        <f t="shared" si="21"/>
        <v/>
      </c>
      <c r="O366" s="4" t="s">
        <v>40</v>
      </c>
      <c r="P366" s="4">
        <f>Setup!$C$13</f>
        <v>1200</v>
      </c>
      <c r="Q366" s="4" t="s">
        <v>37</v>
      </c>
      <c r="R366" s="4" t="str">
        <f t="shared" si="22"/>
        <v/>
      </c>
      <c r="S366" s="4" t="s">
        <v>41</v>
      </c>
      <c r="T366" s="4">
        <f>Setup!$C$14</f>
        <v>1200</v>
      </c>
      <c r="U366" s="4" t="str">
        <f t="shared" si="23"/>
        <v/>
      </c>
      <c r="V366" s="4"/>
    </row>
    <row r="367" spans="1:22" x14ac:dyDescent="0.25">
      <c r="A367" s="4"/>
      <c r="B367" s="4" t="str">
        <f>IFERROR(IF(A367&lt;&gt;"",VLOOKUP($A367,calculation!$A$10:$V$510,12),""),"")</f>
        <v/>
      </c>
      <c r="C367" s="4" t="str">
        <f>IFERROR(IF(A367&lt;&gt;"",VLOOKUP($A367,calculation!$A$10:$V$510,15),""),"")</f>
        <v/>
      </c>
      <c r="D367" s="4" t="str">
        <f>IFERROR(IF(A367&lt;&gt;"",VLOOKUP($A367,calculation!$A$10:$V$510,22),""),"")</f>
        <v/>
      </c>
      <c r="F367" s="4" t="s">
        <v>27</v>
      </c>
      <c r="G367" s="4">
        <f>MAX($G$9:G366)+1</f>
        <v>339</v>
      </c>
      <c r="H367" s="4" t="s">
        <v>34</v>
      </c>
      <c r="I367" s="4" t="s">
        <v>35</v>
      </c>
      <c r="J367" s="4" t="str">
        <f t="shared" si="20"/>
        <v/>
      </c>
      <c r="K367" s="4" t="s">
        <v>39</v>
      </c>
      <c r="L367" s="4">
        <f>Setup!$C$15</f>
        <v>1500</v>
      </c>
      <c r="M367" s="4" t="s">
        <v>36</v>
      </c>
      <c r="N367" s="4" t="str">
        <f t="shared" si="21"/>
        <v/>
      </c>
      <c r="O367" s="4" t="s">
        <v>40</v>
      </c>
      <c r="P367" s="4">
        <f>Setup!$C$13</f>
        <v>1200</v>
      </c>
      <c r="Q367" s="4" t="s">
        <v>37</v>
      </c>
      <c r="R367" s="4" t="str">
        <f t="shared" si="22"/>
        <v/>
      </c>
      <c r="S367" s="4" t="s">
        <v>41</v>
      </c>
      <c r="T367" s="4">
        <f>Setup!$C$14</f>
        <v>1200</v>
      </c>
      <c r="U367" s="4" t="str">
        <f t="shared" si="23"/>
        <v/>
      </c>
      <c r="V367" s="4"/>
    </row>
    <row r="368" spans="1:22" x14ac:dyDescent="0.25">
      <c r="A368" s="4"/>
      <c r="B368" s="4" t="str">
        <f>IFERROR(IF(A368&lt;&gt;"",VLOOKUP($A368,calculation!$A$10:$V$510,12),""),"")</f>
        <v/>
      </c>
      <c r="C368" s="4" t="str">
        <f>IFERROR(IF(A368&lt;&gt;"",VLOOKUP($A368,calculation!$A$10:$V$510,15),""),"")</f>
        <v/>
      </c>
      <c r="D368" s="4" t="str">
        <f>IFERROR(IF(A368&lt;&gt;"",VLOOKUP($A368,calculation!$A$10:$V$510,22),""),"")</f>
        <v/>
      </c>
      <c r="F368" s="4" t="s">
        <v>27</v>
      </c>
      <c r="G368" s="4">
        <f>MAX($G$9:G367)+1</f>
        <v>340</v>
      </c>
      <c r="H368" s="4" t="s">
        <v>34</v>
      </c>
      <c r="I368" s="4" t="s">
        <v>35</v>
      </c>
      <c r="J368" s="4" t="str">
        <f t="shared" si="20"/>
        <v/>
      </c>
      <c r="K368" s="4" t="s">
        <v>39</v>
      </c>
      <c r="L368" s="4">
        <f>Setup!$C$15</f>
        <v>1500</v>
      </c>
      <c r="M368" s="4" t="s">
        <v>36</v>
      </c>
      <c r="N368" s="4" t="str">
        <f t="shared" si="21"/>
        <v/>
      </c>
      <c r="O368" s="4" t="s">
        <v>40</v>
      </c>
      <c r="P368" s="4">
        <f>Setup!$C$13</f>
        <v>1200</v>
      </c>
      <c r="Q368" s="4" t="s">
        <v>37</v>
      </c>
      <c r="R368" s="4" t="str">
        <f t="shared" si="22"/>
        <v/>
      </c>
      <c r="S368" s="4" t="s">
        <v>41</v>
      </c>
      <c r="T368" s="4">
        <f>Setup!$C$14</f>
        <v>1200</v>
      </c>
      <c r="U368" s="4" t="str">
        <f t="shared" si="23"/>
        <v/>
      </c>
      <c r="V368" s="4"/>
    </row>
    <row r="369" spans="1:22" x14ac:dyDescent="0.25">
      <c r="A369" s="4"/>
      <c r="B369" s="4" t="str">
        <f>IFERROR(IF(A369&lt;&gt;"",VLOOKUP($A369,calculation!$A$10:$V$510,12),""),"")</f>
        <v/>
      </c>
      <c r="C369" s="4" t="str">
        <f>IFERROR(IF(A369&lt;&gt;"",VLOOKUP($A369,calculation!$A$10:$V$510,15),""),"")</f>
        <v/>
      </c>
      <c r="D369" s="4" t="str">
        <f>IFERROR(IF(A369&lt;&gt;"",VLOOKUP($A369,calculation!$A$10:$V$510,22),""),"")</f>
        <v/>
      </c>
      <c r="F369" s="4" t="s">
        <v>27</v>
      </c>
      <c r="G369" s="4">
        <f>MAX($G$9:G368)+1</f>
        <v>341</v>
      </c>
      <c r="H369" s="4" t="s">
        <v>34</v>
      </c>
      <c r="I369" s="4" t="s">
        <v>35</v>
      </c>
      <c r="J369" s="4" t="str">
        <f t="shared" si="20"/>
        <v/>
      </c>
      <c r="K369" s="4" t="s">
        <v>39</v>
      </c>
      <c r="L369" s="4">
        <f>Setup!$C$15</f>
        <v>1500</v>
      </c>
      <c r="M369" s="4" t="s">
        <v>36</v>
      </c>
      <c r="N369" s="4" t="str">
        <f t="shared" si="21"/>
        <v/>
      </c>
      <c r="O369" s="4" t="s">
        <v>40</v>
      </c>
      <c r="P369" s="4">
        <f>Setup!$C$13</f>
        <v>1200</v>
      </c>
      <c r="Q369" s="4" t="s">
        <v>37</v>
      </c>
      <c r="R369" s="4" t="str">
        <f t="shared" si="22"/>
        <v/>
      </c>
      <c r="S369" s="4" t="s">
        <v>41</v>
      </c>
      <c r="T369" s="4">
        <f>Setup!$C$14</f>
        <v>1200</v>
      </c>
      <c r="U369" s="4" t="str">
        <f t="shared" si="23"/>
        <v/>
      </c>
      <c r="V369" s="4"/>
    </row>
    <row r="370" spans="1:22" x14ac:dyDescent="0.25">
      <c r="A370" s="4"/>
      <c r="B370" s="4" t="str">
        <f>IFERROR(IF(A370&lt;&gt;"",VLOOKUP($A370,calculation!$A$10:$V$510,12),""),"")</f>
        <v/>
      </c>
      <c r="C370" s="4" t="str">
        <f>IFERROR(IF(A370&lt;&gt;"",VLOOKUP($A370,calculation!$A$10:$V$510,15),""),"")</f>
        <v/>
      </c>
      <c r="D370" s="4" t="str">
        <f>IFERROR(IF(A370&lt;&gt;"",VLOOKUP($A370,calculation!$A$10:$V$510,22),""),"")</f>
        <v/>
      </c>
      <c r="F370" s="4" t="s">
        <v>27</v>
      </c>
      <c r="G370" s="4">
        <f>MAX($G$9:G369)+1</f>
        <v>342</v>
      </c>
      <c r="H370" s="4" t="s">
        <v>34</v>
      </c>
      <c r="I370" s="4" t="s">
        <v>35</v>
      </c>
      <c r="J370" s="4" t="str">
        <f t="shared" si="20"/>
        <v/>
      </c>
      <c r="K370" s="4" t="s">
        <v>39</v>
      </c>
      <c r="L370" s="4">
        <f>Setup!$C$15</f>
        <v>1500</v>
      </c>
      <c r="M370" s="4" t="s">
        <v>36</v>
      </c>
      <c r="N370" s="4" t="str">
        <f t="shared" si="21"/>
        <v/>
      </c>
      <c r="O370" s="4" t="s">
        <v>40</v>
      </c>
      <c r="P370" s="4">
        <f>Setup!$C$13</f>
        <v>1200</v>
      </c>
      <c r="Q370" s="4" t="s">
        <v>37</v>
      </c>
      <c r="R370" s="4" t="str">
        <f t="shared" si="22"/>
        <v/>
      </c>
      <c r="S370" s="4" t="s">
        <v>41</v>
      </c>
      <c r="T370" s="4">
        <f>Setup!$C$14</f>
        <v>1200</v>
      </c>
      <c r="U370" s="4" t="str">
        <f t="shared" si="23"/>
        <v/>
      </c>
      <c r="V370" s="4"/>
    </row>
    <row r="371" spans="1:22" x14ac:dyDescent="0.25">
      <c r="A371" s="4"/>
      <c r="B371" s="4" t="str">
        <f>IFERROR(IF(A371&lt;&gt;"",VLOOKUP($A371,calculation!$A$10:$V$510,12),""),"")</f>
        <v/>
      </c>
      <c r="C371" s="4" t="str">
        <f>IFERROR(IF(A371&lt;&gt;"",VLOOKUP($A371,calculation!$A$10:$V$510,15),""),"")</f>
        <v/>
      </c>
      <c r="D371" s="4" t="str">
        <f>IFERROR(IF(A371&lt;&gt;"",VLOOKUP($A371,calculation!$A$10:$V$510,22),""),"")</f>
        <v/>
      </c>
      <c r="F371" s="4" t="s">
        <v>27</v>
      </c>
      <c r="G371" s="4">
        <f>MAX($G$9:G370)+1</f>
        <v>343</v>
      </c>
      <c r="H371" s="4" t="s">
        <v>34</v>
      </c>
      <c r="I371" s="4" t="s">
        <v>35</v>
      </c>
      <c r="J371" s="4" t="str">
        <f t="shared" si="20"/>
        <v/>
      </c>
      <c r="K371" s="4" t="s">
        <v>39</v>
      </c>
      <c r="L371" s="4">
        <f>Setup!$C$15</f>
        <v>1500</v>
      </c>
      <c r="M371" s="4" t="s">
        <v>36</v>
      </c>
      <c r="N371" s="4" t="str">
        <f t="shared" si="21"/>
        <v/>
      </c>
      <c r="O371" s="4" t="s">
        <v>40</v>
      </c>
      <c r="P371" s="4">
        <f>Setup!$C$13</f>
        <v>1200</v>
      </c>
      <c r="Q371" s="4" t="s">
        <v>37</v>
      </c>
      <c r="R371" s="4" t="str">
        <f t="shared" si="22"/>
        <v/>
      </c>
      <c r="S371" s="4" t="s">
        <v>41</v>
      </c>
      <c r="T371" s="4">
        <f>Setup!$C$14</f>
        <v>1200</v>
      </c>
      <c r="U371" s="4" t="str">
        <f t="shared" si="23"/>
        <v/>
      </c>
      <c r="V371" s="4"/>
    </row>
    <row r="372" spans="1:22" x14ac:dyDescent="0.25">
      <c r="A372" s="4"/>
      <c r="B372" s="4" t="str">
        <f>IFERROR(IF(A372&lt;&gt;"",VLOOKUP($A372,calculation!$A$10:$V$510,12),""),"")</f>
        <v/>
      </c>
      <c r="C372" s="4" t="str">
        <f>IFERROR(IF(A372&lt;&gt;"",VLOOKUP($A372,calculation!$A$10:$V$510,15),""),"")</f>
        <v/>
      </c>
      <c r="D372" s="4" t="str">
        <f>IFERROR(IF(A372&lt;&gt;"",VLOOKUP($A372,calculation!$A$10:$V$510,22),""),"")</f>
        <v/>
      </c>
      <c r="F372" s="4" t="s">
        <v>27</v>
      </c>
      <c r="G372" s="4">
        <f>MAX($G$9:G371)+1</f>
        <v>344</v>
      </c>
      <c r="H372" s="4" t="s">
        <v>34</v>
      </c>
      <c r="I372" s="4" t="s">
        <v>35</v>
      </c>
      <c r="J372" s="4" t="str">
        <f t="shared" si="20"/>
        <v/>
      </c>
      <c r="K372" s="4" t="s">
        <v>39</v>
      </c>
      <c r="L372" s="4">
        <f>Setup!$C$15</f>
        <v>1500</v>
      </c>
      <c r="M372" s="4" t="s">
        <v>36</v>
      </c>
      <c r="N372" s="4" t="str">
        <f t="shared" si="21"/>
        <v/>
      </c>
      <c r="O372" s="4" t="s">
        <v>40</v>
      </c>
      <c r="P372" s="4">
        <f>Setup!$C$13</f>
        <v>1200</v>
      </c>
      <c r="Q372" s="4" t="s">
        <v>37</v>
      </c>
      <c r="R372" s="4" t="str">
        <f t="shared" si="22"/>
        <v/>
      </c>
      <c r="S372" s="4" t="s">
        <v>41</v>
      </c>
      <c r="T372" s="4">
        <f>Setup!$C$14</f>
        <v>1200</v>
      </c>
      <c r="U372" s="4" t="str">
        <f t="shared" si="23"/>
        <v/>
      </c>
      <c r="V372" s="4"/>
    </row>
    <row r="373" spans="1:22" x14ac:dyDescent="0.25">
      <c r="A373" s="4"/>
      <c r="B373" s="4" t="str">
        <f>IFERROR(IF(A373&lt;&gt;"",VLOOKUP($A373,calculation!$A$10:$V$510,12),""),"")</f>
        <v/>
      </c>
      <c r="C373" s="4" t="str">
        <f>IFERROR(IF(A373&lt;&gt;"",VLOOKUP($A373,calculation!$A$10:$V$510,15),""),"")</f>
        <v/>
      </c>
      <c r="D373" s="4" t="str">
        <f>IFERROR(IF(A373&lt;&gt;"",VLOOKUP($A373,calculation!$A$10:$V$510,22),""),"")</f>
        <v/>
      </c>
      <c r="F373" s="4" t="s">
        <v>27</v>
      </c>
      <c r="G373" s="4">
        <f>MAX($G$9:G372)+1</f>
        <v>345</v>
      </c>
      <c r="H373" s="4" t="s">
        <v>34</v>
      </c>
      <c r="I373" s="4" t="s">
        <v>35</v>
      </c>
      <c r="J373" s="4" t="str">
        <f t="shared" si="20"/>
        <v/>
      </c>
      <c r="K373" s="4" t="s">
        <v>39</v>
      </c>
      <c r="L373" s="4">
        <f>Setup!$C$15</f>
        <v>1500</v>
      </c>
      <c r="M373" s="4" t="s">
        <v>36</v>
      </c>
      <c r="N373" s="4" t="str">
        <f t="shared" si="21"/>
        <v/>
      </c>
      <c r="O373" s="4" t="s">
        <v>40</v>
      </c>
      <c r="P373" s="4">
        <f>Setup!$C$13</f>
        <v>1200</v>
      </c>
      <c r="Q373" s="4" t="s">
        <v>37</v>
      </c>
      <c r="R373" s="4" t="str">
        <f t="shared" si="22"/>
        <v/>
      </c>
      <c r="S373" s="4" t="s">
        <v>41</v>
      </c>
      <c r="T373" s="4">
        <f>Setup!$C$14</f>
        <v>1200</v>
      </c>
      <c r="U373" s="4" t="str">
        <f t="shared" si="23"/>
        <v/>
      </c>
      <c r="V373" s="4"/>
    </row>
    <row r="374" spans="1:22" x14ac:dyDescent="0.25">
      <c r="A374" s="4"/>
      <c r="B374" s="4" t="str">
        <f>IFERROR(IF(A374&lt;&gt;"",VLOOKUP($A374,calculation!$A$10:$V$510,12),""),"")</f>
        <v/>
      </c>
      <c r="C374" s="4" t="str">
        <f>IFERROR(IF(A374&lt;&gt;"",VLOOKUP($A374,calculation!$A$10:$V$510,15),""),"")</f>
        <v/>
      </c>
      <c r="D374" s="4" t="str">
        <f>IFERROR(IF(A374&lt;&gt;"",VLOOKUP($A374,calculation!$A$10:$V$510,22),""),"")</f>
        <v/>
      </c>
      <c r="F374" s="4" t="s">
        <v>27</v>
      </c>
      <c r="G374" s="4">
        <f>MAX($G$9:G373)+1</f>
        <v>346</v>
      </c>
      <c r="H374" s="4" t="s">
        <v>34</v>
      </c>
      <c r="I374" s="4" t="s">
        <v>35</v>
      </c>
      <c r="J374" s="4" t="str">
        <f t="shared" si="20"/>
        <v/>
      </c>
      <c r="K374" s="4" t="s">
        <v>39</v>
      </c>
      <c r="L374" s="4">
        <f>Setup!$C$15</f>
        <v>1500</v>
      </c>
      <c r="M374" s="4" t="s">
        <v>36</v>
      </c>
      <c r="N374" s="4" t="str">
        <f t="shared" si="21"/>
        <v/>
      </c>
      <c r="O374" s="4" t="s">
        <v>40</v>
      </c>
      <c r="P374" s="4">
        <f>Setup!$C$13</f>
        <v>1200</v>
      </c>
      <c r="Q374" s="4" t="s">
        <v>37</v>
      </c>
      <c r="R374" s="4" t="str">
        <f t="shared" si="22"/>
        <v/>
      </c>
      <c r="S374" s="4" t="s">
        <v>41</v>
      </c>
      <c r="T374" s="4">
        <f>Setup!$C$14</f>
        <v>1200</v>
      </c>
      <c r="U374" s="4" t="str">
        <f t="shared" si="23"/>
        <v/>
      </c>
      <c r="V374" s="4"/>
    </row>
    <row r="375" spans="1:22" x14ac:dyDescent="0.25">
      <c r="A375" s="4"/>
      <c r="B375" s="4" t="str">
        <f>IFERROR(IF(A375&lt;&gt;"",VLOOKUP($A375,calculation!$A$10:$V$510,12),""),"")</f>
        <v/>
      </c>
      <c r="C375" s="4" t="str">
        <f>IFERROR(IF(A375&lt;&gt;"",VLOOKUP($A375,calculation!$A$10:$V$510,15),""),"")</f>
        <v/>
      </c>
      <c r="D375" s="4" t="str">
        <f>IFERROR(IF(A375&lt;&gt;"",VLOOKUP($A375,calculation!$A$10:$V$510,22),""),"")</f>
        <v/>
      </c>
      <c r="F375" s="4" t="s">
        <v>27</v>
      </c>
      <c r="G375" s="4">
        <f>MAX($G$9:G374)+1</f>
        <v>347</v>
      </c>
      <c r="H375" s="4" t="s">
        <v>34</v>
      </c>
      <c r="I375" s="4" t="s">
        <v>35</v>
      </c>
      <c r="J375" s="4" t="str">
        <f t="shared" si="20"/>
        <v/>
      </c>
      <c r="K375" s="4" t="s">
        <v>39</v>
      </c>
      <c r="L375" s="4">
        <f>Setup!$C$15</f>
        <v>1500</v>
      </c>
      <c r="M375" s="4" t="s">
        <v>36</v>
      </c>
      <c r="N375" s="4" t="str">
        <f t="shared" si="21"/>
        <v/>
      </c>
      <c r="O375" s="4" t="s">
        <v>40</v>
      </c>
      <c r="P375" s="4">
        <f>Setup!$C$13</f>
        <v>1200</v>
      </c>
      <c r="Q375" s="4" t="s">
        <v>37</v>
      </c>
      <c r="R375" s="4" t="str">
        <f t="shared" si="22"/>
        <v/>
      </c>
      <c r="S375" s="4" t="s">
        <v>41</v>
      </c>
      <c r="T375" s="4">
        <f>Setup!$C$14</f>
        <v>1200</v>
      </c>
      <c r="U375" s="4" t="str">
        <f t="shared" si="23"/>
        <v/>
      </c>
      <c r="V375" s="4"/>
    </row>
    <row r="376" spans="1:22" x14ac:dyDescent="0.25">
      <c r="A376" s="4"/>
      <c r="B376" s="4" t="str">
        <f>IFERROR(IF(A376&lt;&gt;"",VLOOKUP($A376,calculation!$A$10:$V$510,12),""),"")</f>
        <v/>
      </c>
      <c r="C376" s="4" t="str">
        <f>IFERROR(IF(A376&lt;&gt;"",VLOOKUP($A376,calculation!$A$10:$V$510,15),""),"")</f>
        <v/>
      </c>
      <c r="D376" s="4" t="str">
        <f>IFERROR(IF(A376&lt;&gt;"",VLOOKUP($A376,calculation!$A$10:$V$510,22),""),"")</f>
        <v/>
      </c>
      <c r="F376" s="4" t="s">
        <v>27</v>
      </c>
      <c r="G376" s="4">
        <f>MAX($G$9:G375)+1</f>
        <v>348</v>
      </c>
      <c r="H376" s="4" t="s">
        <v>34</v>
      </c>
      <c r="I376" s="4" t="s">
        <v>35</v>
      </c>
      <c r="J376" s="4" t="str">
        <f t="shared" si="20"/>
        <v/>
      </c>
      <c r="K376" s="4" t="s">
        <v>39</v>
      </c>
      <c r="L376" s="4">
        <f>Setup!$C$15</f>
        <v>1500</v>
      </c>
      <c r="M376" s="4" t="s">
        <v>36</v>
      </c>
      <c r="N376" s="4" t="str">
        <f t="shared" si="21"/>
        <v/>
      </c>
      <c r="O376" s="4" t="s">
        <v>40</v>
      </c>
      <c r="P376" s="4">
        <f>Setup!$C$13</f>
        <v>1200</v>
      </c>
      <c r="Q376" s="4" t="s">
        <v>37</v>
      </c>
      <c r="R376" s="4" t="str">
        <f t="shared" si="22"/>
        <v/>
      </c>
      <c r="S376" s="4" t="s">
        <v>41</v>
      </c>
      <c r="T376" s="4">
        <f>Setup!$C$14</f>
        <v>1200</v>
      </c>
      <c r="U376" s="4" t="str">
        <f t="shared" si="23"/>
        <v/>
      </c>
      <c r="V376" s="4"/>
    </row>
    <row r="377" spans="1:22" x14ac:dyDescent="0.25">
      <c r="A377" s="4"/>
      <c r="B377" s="4" t="str">
        <f>IFERROR(IF(A377&lt;&gt;"",VLOOKUP($A377,calculation!$A$10:$V$510,12),""),"")</f>
        <v/>
      </c>
      <c r="C377" s="4" t="str">
        <f>IFERROR(IF(A377&lt;&gt;"",VLOOKUP($A377,calculation!$A$10:$V$510,15),""),"")</f>
        <v/>
      </c>
      <c r="D377" s="4" t="str">
        <f>IFERROR(IF(A377&lt;&gt;"",VLOOKUP($A377,calculation!$A$10:$V$510,22),""),"")</f>
        <v/>
      </c>
      <c r="F377" s="4" t="s">
        <v>27</v>
      </c>
      <c r="G377" s="4">
        <f>MAX($G$9:G376)+1</f>
        <v>349</v>
      </c>
      <c r="H377" s="4" t="s">
        <v>34</v>
      </c>
      <c r="I377" s="4" t="s">
        <v>35</v>
      </c>
      <c r="J377" s="4" t="str">
        <f t="shared" si="20"/>
        <v/>
      </c>
      <c r="K377" s="4" t="s">
        <v>39</v>
      </c>
      <c r="L377" s="4">
        <f>Setup!$C$15</f>
        <v>1500</v>
      </c>
      <c r="M377" s="4" t="s">
        <v>36</v>
      </c>
      <c r="N377" s="4" t="str">
        <f t="shared" si="21"/>
        <v/>
      </c>
      <c r="O377" s="4" t="s">
        <v>40</v>
      </c>
      <c r="P377" s="4">
        <f>Setup!$C$13</f>
        <v>1200</v>
      </c>
      <c r="Q377" s="4" t="s">
        <v>37</v>
      </c>
      <c r="R377" s="4" t="str">
        <f t="shared" si="22"/>
        <v/>
      </c>
      <c r="S377" s="4" t="s">
        <v>41</v>
      </c>
      <c r="T377" s="4">
        <f>Setup!$C$14</f>
        <v>1200</v>
      </c>
      <c r="U377" s="4" t="str">
        <f t="shared" si="23"/>
        <v/>
      </c>
      <c r="V377" s="4"/>
    </row>
    <row r="378" spans="1:22" x14ac:dyDescent="0.25">
      <c r="A378" s="4"/>
      <c r="B378" s="4" t="str">
        <f>IFERROR(IF(A378&lt;&gt;"",VLOOKUP($A378,calculation!$A$10:$V$510,12),""),"")</f>
        <v/>
      </c>
      <c r="C378" s="4" t="str">
        <f>IFERROR(IF(A378&lt;&gt;"",VLOOKUP($A378,calculation!$A$10:$V$510,15),""),"")</f>
        <v/>
      </c>
      <c r="D378" s="4" t="str">
        <f>IFERROR(IF(A378&lt;&gt;"",VLOOKUP($A378,calculation!$A$10:$V$510,22),""),"")</f>
        <v/>
      </c>
      <c r="F378" s="4" t="s">
        <v>27</v>
      </c>
      <c r="G378" s="4">
        <f>MAX($G$9:G377)+1</f>
        <v>350</v>
      </c>
      <c r="H378" s="4" t="s">
        <v>34</v>
      </c>
      <c r="I378" s="4" t="s">
        <v>35</v>
      </c>
      <c r="J378" s="4" t="str">
        <f t="shared" si="20"/>
        <v/>
      </c>
      <c r="K378" s="4" t="s">
        <v>39</v>
      </c>
      <c r="L378" s="4">
        <f>Setup!$C$15</f>
        <v>1500</v>
      </c>
      <c r="M378" s="4" t="s">
        <v>36</v>
      </c>
      <c r="N378" s="4" t="str">
        <f t="shared" si="21"/>
        <v/>
      </c>
      <c r="O378" s="4" t="s">
        <v>40</v>
      </c>
      <c r="P378" s="4">
        <f>Setup!$C$13</f>
        <v>1200</v>
      </c>
      <c r="Q378" s="4" t="s">
        <v>37</v>
      </c>
      <c r="R378" s="4" t="str">
        <f t="shared" si="22"/>
        <v/>
      </c>
      <c r="S378" s="4" t="s">
        <v>41</v>
      </c>
      <c r="T378" s="4">
        <f>Setup!$C$14</f>
        <v>1200</v>
      </c>
      <c r="U378" s="4" t="str">
        <f t="shared" si="23"/>
        <v/>
      </c>
      <c r="V378" s="4"/>
    </row>
    <row r="379" spans="1:22" x14ac:dyDescent="0.25">
      <c r="A379" s="4"/>
      <c r="B379" s="4" t="str">
        <f>IFERROR(IF(A379&lt;&gt;"",VLOOKUP($A379,calculation!$A$10:$V$510,12),""),"")</f>
        <v/>
      </c>
      <c r="C379" s="4" t="str">
        <f>IFERROR(IF(A379&lt;&gt;"",VLOOKUP($A379,calculation!$A$10:$V$510,15),""),"")</f>
        <v/>
      </c>
      <c r="D379" s="4" t="str">
        <f>IFERROR(IF(A379&lt;&gt;"",VLOOKUP($A379,calculation!$A$10:$V$510,22),""),"")</f>
        <v/>
      </c>
      <c r="F379" s="4" t="s">
        <v>27</v>
      </c>
      <c r="G379" s="4">
        <f>MAX($G$9:G378)+1</f>
        <v>351</v>
      </c>
      <c r="H379" s="4" t="s">
        <v>34</v>
      </c>
      <c r="I379" s="4" t="s">
        <v>35</v>
      </c>
      <c r="J379" s="4" t="str">
        <f t="shared" si="20"/>
        <v/>
      </c>
      <c r="K379" s="4" t="s">
        <v>39</v>
      </c>
      <c r="L379" s="4">
        <f>Setup!$C$15</f>
        <v>1500</v>
      </c>
      <c r="M379" s="4" t="s">
        <v>36</v>
      </c>
      <c r="N379" s="4" t="str">
        <f t="shared" si="21"/>
        <v/>
      </c>
      <c r="O379" s="4" t="s">
        <v>40</v>
      </c>
      <c r="P379" s="4">
        <f>Setup!$C$13</f>
        <v>1200</v>
      </c>
      <c r="Q379" s="4" t="s">
        <v>37</v>
      </c>
      <c r="R379" s="4" t="str">
        <f t="shared" si="22"/>
        <v/>
      </c>
      <c r="S379" s="4" t="s">
        <v>41</v>
      </c>
      <c r="T379" s="4">
        <f>Setup!$C$14</f>
        <v>1200</v>
      </c>
      <c r="U379" s="4" t="str">
        <f t="shared" si="23"/>
        <v/>
      </c>
      <c r="V379" s="4"/>
    </row>
    <row r="380" spans="1:22" x14ac:dyDescent="0.25">
      <c r="A380" s="4"/>
      <c r="B380" s="4" t="str">
        <f>IFERROR(IF(A380&lt;&gt;"",VLOOKUP($A380,calculation!$A$10:$V$510,12),""),"")</f>
        <v/>
      </c>
      <c r="C380" s="4" t="str">
        <f>IFERROR(IF(A380&lt;&gt;"",VLOOKUP($A380,calculation!$A$10:$V$510,15),""),"")</f>
        <v/>
      </c>
      <c r="D380" s="4" t="str">
        <f>IFERROR(IF(A380&lt;&gt;"",VLOOKUP($A380,calculation!$A$10:$V$510,22),""),"")</f>
        <v/>
      </c>
      <c r="F380" s="4" t="s">
        <v>27</v>
      </c>
      <c r="G380" s="4">
        <f>MAX($G$9:G379)+1</f>
        <v>352</v>
      </c>
      <c r="H380" s="4" t="s">
        <v>34</v>
      </c>
      <c r="I380" s="4" t="s">
        <v>35</v>
      </c>
      <c r="J380" s="4" t="str">
        <f t="shared" si="20"/>
        <v/>
      </c>
      <c r="K380" s="4" t="s">
        <v>39</v>
      </c>
      <c r="L380" s="4">
        <f>Setup!$C$15</f>
        <v>1500</v>
      </c>
      <c r="M380" s="4" t="s">
        <v>36</v>
      </c>
      <c r="N380" s="4" t="str">
        <f t="shared" si="21"/>
        <v/>
      </c>
      <c r="O380" s="4" t="s">
        <v>40</v>
      </c>
      <c r="P380" s="4">
        <f>Setup!$C$13</f>
        <v>1200</v>
      </c>
      <c r="Q380" s="4" t="s">
        <v>37</v>
      </c>
      <c r="R380" s="4" t="str">
        <f t="shared" si="22"/>
        <v/>
      </c>
      <c r="S380" s="4" t="s">
        <v>41</v>
      </c>
      <c r="T380" s="4">
        <f>Setup!$C$14</f>
        <v>1200</v>
      </c>
      <c r="U380" s="4" t="str">
        <f t="shared" si="23"/>
        <v/>
      </c>
      <c r="V380" s="4"/>
    </row>
    <row r="381" spans="1:22" x14ac:dyDescent="0.25">
      <c r="A381" s="4"/>
      <c r="B381" s="4" t="str">
        <f>IFERROR(IF(A381&lt;&gt;"",VLOOKUP($A381,calculation!$A$10:$V$510,12),""),"")</f>
        <v/>
      </c>
      <c r="C381" s="4" t="str">
        <f>IFERROR(IF(A381&lt;&gt;"",VLOOKUP($A381,calculation!$A$10:$V$510,15),""),"")</f>
        <v/>
      </c>
      <c r="D381" s="4" t="str">
        <f>IFERROR(IF(A381&lt;&gt;"",VLOOKUP($A381,calculation!$A$10:$V$510,22),""),"")</f>
        <v/>
      </c>
      <c r="F381" s="4" t="s">
        <v>27</v>
      </c>
      <c r="G381" s="4">
        <f>MAX($G$9:G380)+1</f>
        <v>353</v>
      </c>
      <c r="H381" s="4" t="s">
        <v>34</v>
      </c>
      <c r="I381" s="4" t="s">
        <v>35</v>
      </c>
      <c r="J381" s="4" t="str">
        <f t="shared" si="20"/>
        <v/>
      </c>
      <c r="K381" s="4" t="s">
        <v>39</v>
      </c>
      <c r="L381" s="4">
        <f>Setup!$C$15</f>
        <v>1500</v>
      </c>
      <c r="M381" s="4" t="s">
        <v>36</v>
      </c>
      <c r="N381" s="4" t="str">
        <f t="shared" si="21"/>
        <v/>
      </c>
      <c r="O381" s="4" t="s">
        <v>40</v>
      </c>
      <c r="P381" s="4">
        <f>Setup!$C$13</f>
        <v>1200</v>
      </c>
      <c r="Q381" s="4" t="s">
        <v>37</v>
      </c>
      <c r="R381" s="4" t="str">
        <f t="shared" si="22"/>
        <v/>
      </c>
      <c r="S381" s="4" t="s">
        <v>41</v>
      </c>
      <c r="T381" s="4">
        <f>Setup!$C$14</f>
        <v>1200</v>
      </c>
      <c r="U381" s="4" t="str">
        <f t="shared" si="23"/>
        <v/>
      </c>
      <c r="V381" s="4"/>
    </row>
    <row r="382" spans="1:22" x14ac:dyDescent="0.25">
      <c r="A382" s="4"/>
      <c r="B382" s="4" t="str">
        <f>IFERROR(IF(A382&lt;&gt;"",VLOOKUP($A382,calculation!$A$10:$V$510,12),""),"")</f>
        <v/>
      </c>
      <c r="C382" s="4" t="str">
        <f>IFERROR(IF(A382&lt;&gt;"",VLOOKUP($A382,calculation!$A$10:$V$510,15),""),"")</f>
        <v/>
      </c>
      <c r="D382" s="4" t="str">
        <f>IFERROR(IF(A382&lt;&gt;"",VLOOKUP($A382,calculation!$A$10:$V$510,22),""),"")</f>
        <v/>
      </c>
      <c r="F382" s="4" t="s">
        <v>27</v>
      </c>
      <c r="G382" s="4">
        <f>MAX($G$9:G381)+1</f>
        <v>354</v>
      </c>
      <c r="H382" s="4" t="s">
        <v>34</v>
      </c>
      <c r="I382" s="4" t="s">
        <v>35</v>
      </c>
      <c r="J382" s="4" t="str">
        <f t="shared" si="20"/>
        <v/>
      </c>
      <c r="K382" s="4" t="s">
        <v>39</v>
      </c>
      <c r="L382" s="4">
        <f>Setup!$C$15</f>
        <v>1500</v>
      </c>
      <c r="M382" s="4" t="s">
        <v>36</v>
      </c>
      <c r="N382" s="4" t="str">
        <f t="shared" si="21"/>
        <v/>
      </c>
      <c r="O382" s="4" t="s">
        <v>40</v>
      </c>
      <c r="P382" s="4">
        <f>Setup!$C$13</f>
        <v>1200</v>
      </c>
      <c r="Q382" s="4" t="s">
        <v>37</v>
      </c>
      <c r="R382" s="4" t="str">
        <f t="shared" si="22"/>
        <v/>
      </c>
      <c r="S382" s="4" t="s">
        <v>41</v>
      </c>
      <c r="T382" s="4">
        <f>Setup!$C$14</f>
        <v>1200</v>
      </c>
      <c r="U382" s="4" t="str">
        <f t="shared" si="23"/>
        <v/>
      </c>
      <c r="V382" s="4"/>
    </row>
    <row r="383" spans="1:22" x14ac:dyDescent="0.25">
      <c r="A383" s="4"/>
      <c r="B383" s="4" t="str">
        <f>IFERROR(IF(A383&lt;&gt;"",VLOOKUP($A383,calculation!$A$10:$V$510,12),""),"")</f>
        <v/>
      </c>
      <c r="C383" s="4" t="str">
        <f>IFERROR(IF(A383&lt;&gt;"",VLOOKUP($A383,calculation!$A$10:$V$510,15),""),"")</f>
        <v/>
      </c>
      <c r="D383" s="4" t="str">
        <f>IFERROR(IF(A383&lt;&gt;"",VLOOKUP($A383,calculation!$A$10:$V$510,22),""),"")</f>
        <v/>
      </c>
      <c r="F383" s="4" t="s">
        <v>27</v>
      </c>
      <c r="G383" s="4">
        <f>MAX($G$9:G382)+1</f>
        <v>355</v>
      </c>
      <c r="H383" s="4" t="s">
        <v>34</v>
      </c>
      <c r="I383" s="4" t="s">
        <v>35</v>
      </c>
      <c r="J383" s="4" t="str">
        <f t="shared" si="20"/>
        <v/>
      </c>
      <c r="K383" s="4" t="s">
        <v>39</v>
      </c>
      <c r="L383" s="4">
        <f>Setup!$C$15</f>
        <v>1500</v>
      </c>
      <c r="M383" s="4" t="s">
        <v>36</v>
      </c>
      <c r="N383" s="4" t="str">
        <f t="shared" si="21"/>
        <v/>
      </c>
      <c r="O383" s="4" t="s">
        <v>40</v>
      </c>
      <c r="P383" s="4">
        <f>Setup!$C$13</f>
        <v>1200</v>
      </c>
      <c r="Q383" s="4" t="s">
        <v>37</v>
      </c>
      <c r="R383" s="4" t="str">
        <f t="shared" si="22"/>
        <v/>
      </c>
      <c r="S383" s="4" t="s">
        <v>41</v>
      </c>
      <c r="T383" s="4">
        <f>Setup!$C$14</f>
        <v>1200</v>
      </c>
      <c r="U383" s="4" t="str">
        <f t="shared" si="23"/>
        <v/>
      </c>
      <c r="V383" s="4"/>
    </row>
    <row r="384" spans="1:22" x14ac:dyDescent="0.25">
      <c r="A384" s="4"/>
      <c r="B384" s="4" t="str">
        <f>IFERROR(IF(A384&lt;&gt;"",VLOOKUP($A384,calculation!$A$10:$V$510,12),""),"")</f>
        <v/>
      </c>
      <c r="C384" s="4" t="str">
        <f>IFERROR(IF(A384&lt;&gt;"",VLOOKUP($A384,calculation!$A$10:$V$510,15),""),"")</f>
        <v/>
      </c>
      <c r="D384" s="4" t="str">
        <f>IFERROR(IF(A384&lt;&gt;"",VLOOKUP($A384,calculation!$A$10:$V$510,22),""),"")</f>
        <v/>
      </c>
      <c r="F384" s="4" t="s">
        <v>27</v>
      </c>
      <c r="G384" s="4">
        <f>MAX($G$9:G383)+1</f>
        <v>356</v>
      </c>
      <c r="H384" s="4" t="s">
        <v>34</v>
      </c>
      <c r="I384" s="4" t="s">
        <v>35</v>
      </c>
      <c r="J384" s="4" t="str">
        <f t="shared" si="20"/>
        <v/>
      </c>
      <c r="K384" s="4" t="s">
        <v>39</v>
      </c>
      <c r="L384" s="4">
        <f>Setup!$C$15</f>
        <v>1500</v>
      </c>
      <c r="M384" s="4" t="s">
        <v>36</v>
      </c>
      <c r="N384" s="4" t="str">
        <f t="shared" si="21"/>
        <v/>
      </c>
      <c r="O384" s="4" t="s">
        <v>40</v>
      </c>
      <c r="P384" s="4">
        <f>Setup!$C$13</f>
        <v>1200</v>
      </c>
      <c r="Q384" s="4" t="s">
        <v>37</v>
      </c>
      <c r="R384" s="4" t="str">
        <f t="shared" si="22"/>
        <v/>
      </c>
      <c r="S384" s="4" t="s">
        <v>41</v>
      </c>
      <c r="T384" s="4">
        <f>Setup!$C$14</f>
        <v>1200</v>
      </c>
      <c r="U384" s="4" t="str">
        <f t="shared" si="23"/>
        <v/>
      </c>
      <c r="V384" s="4"/>
    </row>
    <row r="385" spans="1:22" x14ac:dyDescent="0.25">
      <c r="A385" s="4"/>
      <c r="B385" s="4" t="str">
        <f>IFERROR(IF(A385&lt;&gt;"",VLOOKUP($A385,calculation!$A$10:$V$510,12),""),"")</f>
        <v/>
      </c>
      <c r="C385" s="4" t="str">
        <f>IFERROR(IF(A385&lt;&gt;"",VLOOKUP($A385,calculation!$A$10:$V$510,15),""),"")</f>
        <v/>
      </c>
      <c r="D385" s="4" t="str">
        <f>IFERROR(IF(A385&lt;&gt;"",VLOOKUP($A385,calculation!$A$10:$V$510,22),""),"")</f>
        <v/>
      </c>
      <c r="F385" s="4" t="s">
        <v>27</v>
      </c>
      <c r="G385" s="4">
        <f>MAX($G$9:G384)+1</f>
        <v>357</v>
      </c>
      <c r="H385" s="4" t="s">
        <v>34</v>
      </c>
      <c r="I385" s="4" t="s">
        <v>35</v>
      </c>
      <c r="J385" s="4" t="str">
        <f t="shared" si="20"/>
        <v/>
      </c>
      <c r="K385" s="4" t="s">
        <v>39</v>
      </c>
      <c r="L385" s="4">
        <f>Setup!$C$15</f>
        <v>1500</v>
      </c>
      <c r="M385" s="4" t="s">
        <v>36</v>
      </c>
      <c r="N385" s="4" t="str">
        <f t="shared" si="21"/>
        <v/>
      </c>
      <c r="O385" s="4" t="s">
        <v>40</v>
      </c>
      <c r="P385" s="4">
        <f>Setup!$C$13</f>
        <v>1200</v>
      </c>
      <c r="Q385" s="4" t="s">
        <v>37</v>
      </c>
      <c r="R385" s="4" t="str">
        <f t="shared" si="22"/>
        <v/>
      </c>
      <c r="S385" s="4" t="s">
        <v>41</v>
      </c>
      <c r="T385" s="4">
        <f>Setup!$C$14</f>
        <v>1200</v>
      </c>
      <c r="U385" s="4" t="str">
        <f t="shared" si="23"/>
        <v/>
      </c>
      <c r="V385" s="4"/>
    </row>
    <row r="386" spans="1:22" x14ac:dyDescent="0.25">
      <c r="A386" s="4"/>
      <c r="B386" s="4" t="str">
        <f>IFERROR(IF(A386&lt;&gt;"",VLOOKUP($A386,calculation!$A$10:$V$510,12),""),"")</f>
        <v/>
      </c>
      <c r="C386" s="4" t="str">
        <f>IFERROR(IF(A386&lt;&gt;"",VLOOKUP($A386,calculation!$A$10:$V$510,15),""),"")</f>
        <v/>
      </c>
      <c r="D386" s="4" t="str">
        <f>IFERROR(IF(A386&lt;&gt;"",VLOOKUP($A386,calculation!$A$10:$V$510,22),""),"")</f>
        <v/>
      </c>
      <c r="F386" s="4" t="s">
        <v>27</v>
      </c>
      <c r="G386" s="4">
        <f>MAX($G$9:G385)+1</f>
        <v>358</v>
      </c>
      <c r="H386" s="4" t="s">
        <v>34</v>
      </c>
      <c r="I386" s="4" t="s">
        <v>35</v>
      </c>
      <c r="J386" s="4" t="str">
        <f t="shared" si="20"/>
        <v/>
      </c>
      <c r="K386" s="4" t="s">
        <v>39</v>
      </c>
      <c r="L386" s="4">
        <f>Setup!$C$15</f>
        <v>1500</v>
      </c>
      <c r="M386" s="4" t="s">
        <v>36</v>
      </c>
      <c r="N386" s="4" t="str">
        <f t="shared" si="21"/>
        <v/>
      </c>
      <c r="O386" s="4" t="s">
        <v>40</v>
      </c>
      <c r="P386" s="4">
        <f>Setup!$C$13</f>
        <v>1200</v>
      </c>
      <c r="Q386" s="4" t="s">
        <v>37</v>
      </c>
      <c r="R386" s="4" t="str">
        <f t="shared" si="22"/>
        <v/>
      </c>
      <c r="S386" s="4" t="s">
        <v>41</v>
      </c>
      <c r="T386" s="4">
        <f>Setup!$C$14</f>
        <v>1200</v>
      </c>
      <c r="U386" s="4" t="str">
        <f t="shared" si="23"/>
        <v/>
      </c>
      <c r="V386" s="4"/>
    </row>
    <row r="387" spans="1:22" x14ac:dyDescent="0.25">
      <c r="A387" s="4"/>
      <c r="B387" s="4" t="str">
        <f>IFERROR(IF(A387&lt;&gt;"",VLOOKUP($A387,calculation!$A$10:$V$510,12),""),"")</f>
        <v/>
      </c>
      <c r="C387" s="4" t="str">
        <f>IFERROR(IF(A387&lt;&gt;"",VLOOKUP($A387,calculation!$A$10:$V$510,15),""),"")</f>
        <v/>
      </c>
      <c r="D387" s="4" t="str">
        <f>IFERROR(IF(A387&lt;&gt;"",VLOOKUP($A387,calculation!$A$10:$V$510,22),""),"")</f>
        <v/>
      </c>
      <c r="F387" s="4" t="s">
        <v>27</v>
      </c>
      <c r="G387" s="4">
        <f>MAX($G$9:G386)+1</f>
        <v>359</v>
      </c>
      <c r="H387" s="4" t="s">
        <v>34</v>
      </c>
      <c r="I387" s="4" t="s">
        <v>35</v>
      </c>
      <c r="J387" s="4" t="str">
        <f t="shared" si="20"/>
        <v/>
      </c>
      <c r="K387" s="4" t="s">
        <v>39</v>
      </c>
      <c r="L387" s="4">
        <f>Setup!$C$15</f>
        <v>1500</v>
      </c>
      <c r="M387" s="4" t="s">
        <v>36</v>
      </c>
      <c r="N387" s="4" t="str">
        <f t="shared" si="21"/>
        <v/>
      </c>
      <c r="O387" s="4" t="s">
        <v>40</v>
      </c>
      <c r="P387" s="4">
        <f>Setup!$C$13</f>
        <v>1200</v>
      </c>
      <c r="Q387" s="4" t="s">
        <v>37</v>
      </c>
      <c r="R387" s="4" t="str">
        <f t="shared" si="22"/>
        <v/>
      </c>
      <c r="S387" s="4" t="s">
        <v>41</v>
      </c>
      <c r="T387" s="4">
        <f>Setup!$C$14</f>
        <v>1200</v>
      </c>
      <c r="U387" s="4" t="str">
        <f t="shared" si="23"/>
        <v/>
      </c>
      <c r="V387" s="4"/>
    </row>
    <row r="388" spans="1:22" x14ac:dyDescent="0.25">
      <c r="A388" s="4"/>
      <c r="B388" s="4" t="str">
        <f>IFERROR(IF(A388&lt;&gt;"",VLOOKUP($A388,calculation!$A$10:$V$510,12),""),"")</f>
        <v/>
      </c>
      <c r="C388" s="4" t="str">
        <f>IFERROR(IF(A388&lt;&gt;"",VLOOKUP($A388,calculation!$A$10:$V$510,15),""),"")</f>
        <v/>
      </c>
      <c r="D388" s="4" t="str">
        <f>IFERROR(IF(A388&lt;&gt;"",VLOOKUP($A388,calculation!$A$10:$V$510,22),""),"")</f>
        <v/>
      </c>
      <c r="F388" s="4" t="s">
        <v>27</v>
      </c>
      <c r="G388" s="4">
        <f>MAX($G$9:G387)+1</f>
        <v>360</v>
      </c>
      <c r="H388" s="4" t="s">
        <v>34</v>
      </c>
      <c r="I388" s="4" t="s">
        <v>35</v>
      </c>
      <c r="J388" s="4" t="str">
        <f t="shared" si="20"/>
        <v/>
      </c>
      <c r="K388" s="4" t="s">
        <v>39</v>
      </c>
      <c r="L388" s="4">
        <f>Setup!$C$15</f>
        <v>1500</v>
      </c>
      <c r="M388" s="4" t="s">
        <v>36</v>
      </c>
      <c r="N388" s="4" t="str">
        <f t="shared" si="21"/>
        <v/>
      </c>
      <c r="O388" s="4" t="s">
        <v>40</v>
      </c>
      <c r="P388" s="4">
        <f>Setup!$C$13</f>
        <v>1200</v>
      </c>
      <c r="Q388" s="4" t="s">
        <v>37</v>
      </c>
      <c r="R388" s="4" t="str">
        <f t="shared" si="22"/>
        <v/>
      </c>
      <c r="S388" s="4" t="s">
        <v>41</v>
      </c>
      <c r="T388" s="4">
        <f>Setup!$C$14</f>
        <v>1200</v>
      </c>
      <c r="U388" s="4" t="str">
        <f t="shared" si="23"/>
        <v/>
      </c>
      <c r="V388" s="4"/>
    </row>
    <row r="389" spans="1:22" x14ac:dyDescent="0.25">
      <c r="A389" s="4"/>
      <c r="B389" s="4" t="str">
        <f>IFERROR(IF(A389&lt;&gt;"",VLOOKUP($A389,calculation!$A$10:$V$510,12),""),"")</f>
        <v/>
      </c>
      <c r="C389" s="4" t="str">
        <f>IFERROR(IF(A389&lt;&gt;"",VLOOKUP($A389,calculation!$A$10:$V$510,15),""),"")</f>
        <v/>
      </c>
      <c r="D389" s="4" t="str">
        <f>IFERROR(IF(A389&lt;&gt;"",VLOOKUP($A389,calculation!$A$10:$V$510,22),""),"")</f>
        <v/>
      </c>
      <c r="F389" s="4" t="s">
        <v>27</v>
      </c>
      <c r="G389" s="4">
        <f>MAX($G$9:G388)+1</f>
        <v>361</v>
      </c>
      <c r="H389" s="4" t="s">
        <v>34</v>
      </c>
      <c r="I389" s="4" t="s">
        <v>35</v>
      </c>
      <c r="J389" s="4" t="str">
        <f t="shared" si="20"/>
        <v/>
      </c>
      <c r="K389" s="4" t="s">
        <v>39</v>
      </c>
      <c r="L389" s="4">
        <f>Setup!$C$15</f>
        <v>1500</v>
      </c>
      <c r="M389" s="4" t="s">
        <v>36</v>
      </c>
      <c r="N389" s="4" t="str">
        <f t="shared" si="21"/>
        <v/>
      </c>
      <c r="O389" s="4" t="s">
        <v>40</v>
      </c>
      <c r="P389" s="4">
        <f>Setup!$C$13</f>
        <v>1200</v>
      </c>
      <c r="Q389" s="4" t="s">
        <v>37</v>
      </c>
      <c r="R389" s="4" t="str">
        <f t="shared" si="22"/>
        <v/>
      </c>
      <c r="S389" s="4" t="s">
        <v>41</v>
      </c>
      <c r="T389" s="4">
        <f>Setup!$C$14</f>
        <v>1200</v>
      </c>
      <c r="U389" s="4" t="str">
        <f t="shared" si="23"/>
        <v/>
      </c>
      <c r="V389" s="4"/>
    </row>
    <row r="390" spans="1:22" x14ac:dyDescent="0.25">
      <c r="A390" s="4"/>
      <c r="B390" s="4" t="str">
        <f>IFERROR(IF(A390&lt;&gt;"",VLOOKUP($A390,calculation!$A$10:$V$510,12),""),"")</f>
        <v/>
      </c>
      <c r="C390" s="4" t="str">
        <f>IFERROR(IF(A390&lt;&gt;"",VLOOKUP($A390,calculation!$A$10:$V$510,15),""),"")</f>
        <v/>
      </c>
      <c r="D390" s="4" t="str">
        <f>IFERROR(IF(A390&lt;&gt;"",VLOOKUP($A390,calculation!$A$10:$V$510,22),""),"")</f>
        <v/>
      </c>
      <c r="F390" s="4" t="s">
        <v>27</v>
      </c>
      <c r="G390" s="4">
        <f>MAX($G$9:G389)+1</f>
        <v>362</v>
      </c>
      <c r="H390" s="4" t="s">
        <v>34</v>
      </c>
      <c r="I390" s="4" t="s">
        <v>35</v>
      </c>
      <c r="J390" s="4" t="str">
        <f t="shared" si="20"/>
        <v/>
      </c>
      <c r="K390" s="4" t="s">
        <v>39</v>
      </c>
      <c r="L390" s="4">
        <f>Setup!$C$15</f>
        <v>1500</v>
      </c>
      <c r="M390" s="4" t="s">
        <v>36</v>
      </c>
      <c r="N390" s="4" t="str">
        <f t="shared" si="21"/>
        <v/>
      </c>
      <c r="O390" s="4" t="s">
        <v>40</v>
      </c>
      <c r="P390" s="4">
        <f>Setup!$C$13</f>
        <v>1200</v>
      </c>
      <c r="Q390" s="4" t="s">
        <v>37</v>
      </c>
      <c r="R390" s="4" t="str">
        <f t="shared" si="22"/>
        <v/>
      </c>
      <c r="S390" s="4" t="s">
        <v>41</v>
      </c>
      <c r="T390" s="4">
        <f>Setup!$C$14</f>
        <v>1200</v>
      </c>
      <c r="U390" s="4" t="str">
        <f t="shared" si="23"/>
        <v/>
      </c>
      <c r="V390" s="4"/>
    </row>
    <row r="391" spans="1:22" x14ac:dyDescent="0.25">
      <c r="A391" s="4"/>
      <c r="B391" s="4" t="str">
        <f>IFERROR(IF(A391&lt;&gt;"",VLOOKUP($A391,calculation!$A$10:$V$510,12),""),"")</f>
        <v/>
      </c>
      <c r="C391" s="4" t="str">
        <f>IFERROR(IF(A391&lt;&gt;"",VLOOKUP($A391,calculation!$A$10:$V$510,15),""),"")</f>
        <v/>
      </c>
      <c r="D391" s="4" t="str">
        <f>IFERROR(IF(A391&lt;&gt;"",VLOOKUP($A391,calculation!$A$10:$V$510,22),""),"")</f>
        <v/>
      </c>
      <c r="F391" s="4" t="s">
        <v>27</v>
      </c>
      <c r="G391" s="4">
        <f>MAX($G$9:G390)+1</f>
        <v>363</v>
      </c>
      <c r="H391" s="4" t="s">
        <v>34</v>
      </c>
      <c r="I391" s="4" t="s">
        <v>35</v>
      </c>
      <c r="J391" s="4" t="str">
        <f t="shared" si="20"/>
        <v/>
      </c>
      <c r="K391" s="4" t="s">
        <v>39</v>
      </c>
      <c r="L391" s="4">
        <f>Setup!$C$15</f>
        <v>1500</v>
      </c>
      <c r="M391" s="4" t="s">
        <v>36</v>
      </c>
      <c r="N391" s="4" t="str">
        <f t="shared" si="21"/>
        <v/>
      </c>
      <c r="O391" s="4" t="s">
        <v>40</v>
      </c>
      <c r="P391" s="4">
        <f>Setup!$C$13</f>
        <v>1200</v>
      </c>
      <c r="Q391" s="4" t="s">
        <v>37</v>
      </c>
      <c r="R391" s="4" t="str">
        <f t="shared" si="22"/>
        <v/>
      </c>
      <c r="S391" s="4" t="s">
        <v>41</v>
      </c>
      <c r="T391" s="4">
        <f>Setup!$C$14</f>
        <v>1200</v>
      </c>
      <c r="U391" s="4" t="str">
        <f t="shared" si="23"/>
        <v/>
      </c>
      <c r="V391" s="4"/>
    </row>
    <row r="392" spans="1:22" x14ac:dyDescent="0.25">
      <c r="A392" s="4"/>
      <c r="B392" s="4" t="str">
        <f>IFERROR(IF(A392&lt;&gt;"",VLOOKUP($A392,calculation!$A$10:$V$510,12),""),"")</f>
        <v/>
      </c>
      <c r="C392" s="4" t="str">
        <f>IFERROR(IF(A392&lt;&gt;"",VLOOKUP($A392,calculation!$A$10:$V$510,15),""),"")</f>
        <v/>
      </c>
      <c r="D392" s="4" t="str">
        <f>IFERROR(IF(A392&lt;&gt;"",VLOOKUP($A392,calculation!$A$10:$V$510,22),""),"")</f>
        <v/>
      </c>
      <c r="F392" s="4" t="s">
        <v>27</v>
      </c>
      <c r="G392" s="4">
        <f>MAX($G$9:G391)+1</f>
        <v>364</v>
      </c>
      <c r="H392" s="4" t="s">
        <v>34</v>
      </c>
      <c r="I392" s="4" t="s">
        <v>35</v>
      </c>
      <c r="J392" s="4" t="str">
        <f t="shared" si="20"/>
        <v/>
      </c>
      <c r="K392" s="4" t="s">
        <v>39</v>
      </c>
      <c r="L392" s="4">
        <f>Setup!$C$15</f>
        <v>1500</v>
      </c>
      <c r="M392" s="4" t="s">
        <v>36</v>
      </c>
      <c r="N392" s="4" t="str">
        <f t="shared" si="21"/>
        <v/>
      </c>
      <c r="O392" s="4" t="s">
        <v>40</v>
      </c>
      <c r="P392" s="4">
        <f>Setup!$C$13</f>
        <v>1200</v>
      </c>
      <c r="Q392" s="4" t="s">
        <v>37</v>
      </c>
      <c r="R392" s="4" t="str">
        <f t="shared" si="22"/>
        <v/>
      </c>
      <c r="S392" s="4" t="s">
        <v>41</v>
      </c>
      <c r="T392" s="4">
        <f>Setup!$C$14</f>
        <v>1200</v>
      </c>
      <c r="U392" s="4" t="str">
        <f t="shared" si="23"/>
        <v/>
      </c>
      <c r="V392" s="4"/>
    </row>
    <row r="393" spans="1:22" x14ac:dyDescent="0.25">
      <c r="A393" s="4"/>
      <c r="B393" s="4" t="str">
        <f>IFERROR(IF(A393&lt;&gt;"",VLOOKUP($A393,calculation!$A$10:$V$510,12),""),"")</f>
        <v/>
      </c>
      <c r="C393" s="4" t="str">
        <f>IFERROR(IF(A393&lt;&gt;"",VLOOKUP($A393,calculation!$A$10:$V$510,15),""),"")</f>
        <v/>
      </c>
      <c r="D393" s="4" t="str">
        <f>IFERROR(IF(A393&lt;&gt;"",VLOOKUP($A393,calculation!$A$10:$V$510,22),""),"")</f>
        <v/>
      </c>
      <c r="F393" s="4" t="s">
        <v>27</v>
      </c>
      <c r="G393" s="4">
        <f>MAX($G$9:G392)+1</f>
        <v>365</v>
      </c>
      <c r="H393" s="4" t="s">
        <v>34</v>
      </c>
      <c r="I393" s="4" t="s">
        <v>35</v>
      </c>
      <c r="J393" s="4" t="str">
        <f t="shared" si="20"/>
        <v/>
      </c>
      <c r="K393" s="4" t="s">
        <v>39</v>
      </c>
      <c r="L393" s="4">
        <f>Setup!$C$15</f>
        <v>1500</v>
      </c>
      <c r="M393" s="4" t="s">
        <v>36</v>
      </c>
      <c r="N393" s="4" t="str">
        <f t="shared" si="21"/>
        <v/>
      </c>
      <c r="O393" s="4" t="s">
        <v>40</v>
      </c>
      <c r="P393" s="4">
        <f>Setup!$C$13</f>
        <v>1200</v>
      </c>
      <c r="Q393" s="4" t="s">
        <v>37</v>
      </c>
      <c r="R393" s="4" t="str">
        <f t="shared" si="22"/>
        <v/>
      </c>
      <c r="S393" s="4" t="s">
        <v>41</v>
      </c>
      <c r="T393" s="4">
        <f>Setup!$C$14</f>
        <v>1200</v>
      </c>
      <c r="U393" s="4" t="str">
        <f t="shared" si="23"/>
        <v/>
      </c>
      <c r="V393" s="4"/>
    </row>
    <row r="394" spans="1:22" x14ac:dyDescent="0.25">
      <c r="A394" s="4"/>
      <c r="B394" s="4" t="str">
        <f>IFERROR(IF(A394&lt;&gt;"",VLOOKUP($A394,calculation!$A$10:$V$510,12),""),"")</f>
        <v/>
      </c>
      <c r="C394" s="4" t="str">
        <f>IFERROR(IF(A394&lt;&gt;"",VLOOKUP($A394,calculation!$A$10:$V$510,15),""),"")</f>
        <v/>
      </c>
      <c r="D394" s="4" t="str">
        <f>IFERROR(IF(A394&lt;&gt;"",VLOOKUP($A394,calculation!$A$10:$V$510,22),""),"")</f>
        <v/>
      </c>
      <c r="F394" s="4" t="s">
        <v>27</v>
      </c>
      <c r="G394" s="4">
        <f>MAX($G$9:G393)+1</f>
        <v>366</v>
      </c>
      <c r="H394" s="4" t="s">
        <v>34</v>
      </c>
      <c r="I394" s="4" t="s">
        <v>35</v>
      </c>
      <c r="J394" s="4" t="str">
        <f t="shared" si="20"/>
        <v/>
      </c>
      <c r="K394" s="4" t="s">
        <v>39</v>
      </c>
      <c r="L394" s="4">
        <f>Setup!$C$15</f>
        <v>1500</v>
      </c>
      <c r="M394" s="4" t="s">
        <v>36</v>
      </c>
      <c r="N394" s="4" t="str">
        <f t="shared" si="21"/>
        <v/>
      </c>
      <c r="O394" s="4" t="s">
        <v>40</v>
      </c>
      <c r="P394" s="4">
        <f>Setup!$C$13</f>
        <v>1200</v>
      </c>
      <c r="Q394" s="4" t="s">
        <v>37</v>
      </c>
      <c r="R394" s="4" t="str">
        <f t="shared" si="22"/>
        <v/>
      </c>
      <c r="S394" s="4" t="s">
        <v>41</v>
      </c>
      <c r="T394" s="4">
        <f>Setup!$C$14</f>
        <v>1200</v>
      </c>
      <c r="U394" s="4" t="str">
        <f t="shared" si="23"/>
        <v/>
      </c>
      <c r="V394" s="4"/>
    </row>
    <row r="395" spans="1:22" x14ac:dyDescent="0.25">
      <c r="A395" s="4"/>
      <c r="B395" s="4" t="str">
        <f>IFERROR(IF(A395&lt;&gt;"",VLOOKUP($A395,calculation!$A$10:$V$510,12),""),"")</f>
        <v/>
      </c>
      <c r="C395" s="4" t="str">
        <f>IFERROR(IF(A395&lt;&gt;"",VLOOKUP($A395,calculation!$A$10:$V$510,15),""),"")</f>
        <v/>
      </c>
      <c r="D395" s="4" t="str">
        <f>IFERROR(IF(A395&lt;&gt;"",VLOOKUP($A395,calculation!$A$10:$V$510,22),""),"")</f>
        <v/>
      </c>
      <c r="F395" s="4" t="s">
        <v>27</v>
      </c>
      <c r="G395" s="4">
        <f>MAX($G$9:G394)+1</f>
        <v>367</v>
      </c>
      <c r="H395" s="4" t="s">
        <v>34</v>
      </c>
      <c r="I395" s="4" t="s">
        <v>35</v>
      </c>
      <c r="J395" s="4" t="str">
        <f t="shared" si="20"/>
        <v/>
      </c>
      <c r="K395" s="4" t="s">
        <v>39</v>
      </c>
      <c r="L395" s="4">
        <f>Setup!$C$15</f>
        <v>1500</v>
      </c>
      <c r="M395" s="4" t="s">
        <v>36</v>
      </c>
      <c r="N395" s="4" t="str">
        <f t="shared" si="21"/>
        <v/>
      </c>
      <c r="O395" s="4" t="s">
        <v>40</v>
      </c>
      <c r="P395" s="4">
        <f>Setup!$C$13</f>
        <v>1200</v>
      </c>
      <c r="Q395" s="4" t="s">
        <v>37</v>
      </c>
      <c r="R395" s="4" t="str">
        <f t="shared" si="22"/>
        <v/>
      </c>
      <c r="S395" s="4" t="s">
        <v>41</v>
      </c>
      <c r="T395" s="4">
        <f>Setup!$C$14</f>
        <v>1200</v>
      </c>
      <c r="U395" s="4" t="str">
        <f t="shared" si="23"/>
        <v/>
      </c>
      <c r="V395" s="4"/>
    </row>
    <row r="396" spans="1:22" x14ac:dyDescent="0.25">
      <c r="A396" s="4"/>
      <c r="B396" s="4" t="str">
        <f>IFERROR(IF(A396&lt;&gt;"",VLOOKUP($A396,calculation!$A$10:$V$510,12),""),"")</f>
        <v/>
      </c>
      <c r="C396" s="4" t="str">
        <f>IFERROR(IF(A396&lt;&gt;"",VLOOKUP($A396,calculation!$A$10:$V$510,15),""),"")</f>
        <v/>
      </c>
      <c r="D396" s="4" t="str">
        <f>IFERROR(IF(A396&lt;&gt;"",VLOOKUP($A396,calculation!$A$10:$V$510,22),""),"")</f>
        <v/>
      </c>
      <c r="F396" s="4" t="s">
        <v>27</v>
      </c>
      <c r="G396" s="4">
        <f>MAX($G$9:G395)+1</f>
        <v>368</v>
      </c>
      <c r="H396" s="4" t="s">
        <v>34</v>
      </c>
      <c r="I396" s="4" t="s">
        <v>35</v>
      </c>
      <c r="J396" s="4" t="str">
        <f t="shared" si="20"/>
        <v/>
      </c>
      <c r="K396" s="4" t="s">
        <v>39</v>
      </c>
      <c r="L396" s="4">
        <f>Setup!$C$15</f>
        <v>1500</v>
      </c>
      <c r="M396" s="4" t="s">
        <v>36</v>
      </c>
      <c r="N396" s="4" t="str">
        <f t="shared" si="21"/>
        <v/>
      </c>
      <c r="O396" s="4" t="s">
        <v>40</v>
      </c>
      <c r="P396" s="4">
        <f>Setup!$C$13</f>
        <v>1200</v>
      </c>
      <c r="Q396" s="4" t="s">
        <v>37</v>
      </c>
      <c r="R396" s="4" t="str">
        <f t="shared" si="22"/>
        <v/>
      </c>
      <c r="S396" s="4" t="s">
        <v>41</v>
      </c>
      <c r="T396" s="4">
        <f>Setup!$C$14</f>
        <v>1200</v>
      </c>
      <c r="U396" s="4" t="str">
        <f t="shared" si="23"/>
        <v/>
      </c>
      <c r="V396" s="4"/>
    </row>
    <row r="397" spans="1:22" x14ac:dyDescent="0.25">
      <c r="A397" s="4"/>
      <c r="B397" s="4" t="str">
        <f>IFERROR(IF(A397&lt;&gt;"",VLOOKUP($A397,calculation!$A$10:$V$510,12),""),"")</f>
        <v/>
      </c>
      <c r="C397" s="4" t="str">
        <f>IFERROR(IF(A397&lt;&gt;"",VLOOKUP($A397,calculation!$A$10:$V$510,15),""),"")</f>
        <v/>
      </c>
      <c r="D397" s="4" t="str">
        <f>IFERROR(IF(A397&lt;&gt;"",VLOOKUP($A397,calculation!$A$10:$V$510,22),""),"")</f>
        <v/>
      </c>
      <c r="F397" s="4" t="s">
        <v>27</v>
      </c>
      <c r="G397" s="4">
        <f>MAX($G$9:G396)+1</f>
        <v>369</v>
      </c>
      <c r="H397" s="4" t="s">
        <v>34</v>
      </c>
      <c r="I397" s="4" t="s">
        <v>35</v>
      </c>
      <c r="J397" s="4" t="str">
        <f t="shared" si="20"/>
        <v/>
      </c>
      <c r="K397" s="4" t="s">
        <v>39</v>
      </c>
      <c r="L397" s="4">
        <f>Setup!$C$15</f>
        <v>1500</v>
      </c>
      <c r="M397" s="4" t="s">
        <v>36</v>
      </c>
      <c r="N397" s="4" t="str">
        <f t="shared" si="21"/>
        <v/>
      </c>
      <c r="O397" s="4" t="s">
        <v>40</v>
      </c>
      <c r="P397" s="4">
        <f>Setup!$C$13</f>
        <v>1200</v>
      </c>
      <c r="Q397" s="4" t="s">
        <v>37</v>
      </c>
      <c r="R397" s="4" t="str">
        <f t="shared" si="22"/>
        <v/>
      </c>
      <c r="S397" s="4" t="s">
        <v>41</v>
      </c>
      <c r="T397" s="4">
        <f>Setup!$C$14</f>
        <v>1200</v>
      </c>
      <c r="U397" s="4" t="str">
        <f t="shared" si="23"/>
        <v/>
      </c>
      <c r="V397" s="4"/>
    </row>
    <row r="398" spans="1:22" x14ac:dyDescent="0.25">
      <c r="A398" s="4"/>
      <c r="B398" s="4" t="str">
        <f>IFERROR(IF(A398&lt;&gt;"",VLOOKUP($A398,calculation!$A$10:$V$510,12),""),"")</f>
        <v/>
      </c>
      <c r="C398" s="4" t="str">
        <f>IFERROR(IF(A398&lt;&gt;"",VLOOKUP($A398,calculation!$A$10:$V$510,15),""),"")</f>
        <v/>
      </c>
      <c r="D398" s="4" t="str">
        <f>IFERROR(IF(A398&lt;&gt;"",VLOOKUP($A398,calculation!$A$10:$V$510,22),""),"")</f>
        <v/>
      </c>
      <c r="F398" s="4" t="s">
        <v>27</v>
      </c>
      <c r="G398" s="4">
        <f>MAX($G$9:G397)+1</f>
        <v>370</v>
      </c>
      <c r="H398" s="4" t="s">
        <v>34</v>
      </c>
      <c r="I398" s="4" t="s">
        <v>35</v>
      </c>
      <c r="J398" s="4" t="str">
        <f t="shared" si="20"/>
        <v/>
      </c>
      <c r="K398" s="4" t="s">
        <v>39</v>
      </c>
      <c r="L398" s="4">
        <f>Setup!$C$15</f>
        <v>1500</v>
      </c>
      <c r="M398" s="4" t="s">
        <v>36</v>
      </c>
      <c r="N398" s="4" t="str">
        <f t="shared" si="21"/>
        <v/>
      </c>
      <c r="O398" s="4" t="s">
        <v>40</v>
      </c>
      <c r="P398" s="4">
        <f>Setup!$C$13</f>
        <v>1200</v>
      </c>
      <c r="Q398" s="4" t="s">
        <v>37</v>
      </c>
      <c r="R398" s="4" t="str">
        <f t="shared" si="22"/>
        <v/>
      </c>
      <c r="S398" s="4" t="s">
        <v>41</v>
      </c>
      <c r="T398" s="4">
        <f>Setup!$C$14</f>
        <v>1200</v>
      </c>
      <c r="U398" s="4" t="str">
        <f t="shared" si="23"/>
        <v/>
      </c>
      <c r="V398" s="4"/>
    </row>
    <row r="399" spans="1:22" x14ac:dyDescent="0.25">
      <c r="A399" s="4"/>
      <c r="B399" s="4" t="str">
        <f>IFERROR(IF(A399&lt;&gt;"",VLOOKUP($A399,calculation!$A$10:$V$510,12),""),"")</f>
        <v/>
      </c>
      <c r="C399" s="4" t="str">
        <f>IFERROR(IF(A399&lt;&gt;"",VLOOKUP($A399,calculation!$A$10:$V$510,15),""),"")</f>
        <v/>
      </c>
      <c r="D399" s="4" t="str">
        <f>IFERROR(IF(A399&lt;&gt;"",VLOOKUP($A399,calculation!$A$10:$V$510,22),""),"")</f>
        <v/>
      </c>
      <c r="F399" s="4" t="s">
        <v>27</v>
      </c>
      <c r="G399" s="4">
        <f>MAX($G$9:G398)+1</f>
        <v>371</v>
      </c>
      <c r="H399" s="4" t="s">
        <v>34</v>
      </c>
      <c r="I399" s="4" t="s">
        <v>35</v>
      </c>
      <c r="J399" s="4" t="str">
        <f t="shared" si="20"/>
        <v/>
      </c>
      <c r="K399" s="4" t="s">
        <v>39</v>
      </c>
      <c r="L399" s="4">
        <f>Setup!$C$15</f>
        <v>1500</v>
      </c>
      <c r="M399" s="4" t="s">
        <v>36</v>
      </c>
      <c r="N399" s="4" t="str">
        <f t="shared" si="21"/>
        <v/>
      </c>
      <c r="O399" s="4" t="s">
        <v>40</v>
      </c>
      <c r="P399" s="4">
        <f>Setup!$C$13</f>
        <v>1200</v>
      </c>
      <c r="Q399" s="4" t="s">
        <v>37</v>
      </c>
      <c r="R399" s="4" t="str">
        <f t="shared" si="22"/>
        <v/>
      </c>
      <c r="S399" s="4" t="s">
        <v>41</v>
      </c>
      <c r="T399" s="4">
        <f>Setup!$C$14</f>
        <v>1200</v>
      </c>
      <c r="U399" s="4" t="str">
        <f t="shared" si="23"/>
        <v/>
      </c>
      <c r="V399" s="4"/>
    </row>
    <row r="400" spans="1:22" x14ac:dyDescent="0.25">
      <c r="A400" s="4"/>
      <c r="B400" s="4" t="str">
        <f>IFERROR(IF(A400&lt;&gt;"",VLOOKUP($A400,calculation!$A$10:$V$510,12),""),"")</f>
        <v/>
      </c>
      <c r="C400" s="4" t="str">
        <f>IFERROR(IF(A400&lt;&gt;"",VLOOKUP($A400,calculation!$A$10:$V$510,15),""),"")</f>
        <v/>
      </c>
      <c r="D400" s="4" t="str">
        <f>IFERROR(IF(A400&lt;&gt;"",VLOOKUP($A400,calculation!$A$10:$V$510,22),""),"")</f>
        <v/>
      </c>
      <c r="F400" s="4" t="s">
        <v>27</v>
      </c>
      <c r="G400" s="4">
        <f>MAX($G$9:G399)+1</f>
        <v>372</v>
      </c>
      <c r="H400" s="4" t="s">
        <v>34</v>
      </c>
      <c r="I400" s="4" t="s">
        <v>35</v>
      </c>
      <c r="J400" s="4" t="str">
        <f t="shared" si="20"/>
        <v/>
      </c>
      <c r="K400" s="4" t="s">
        <v>39</v>
      </c>
      <c r="L400" s="4">
        <f>Setup!$C$15</f>
        <v>1500</v>
      </c>
      <c r="M400" s="4" t="s">
        <v>36</v>
      </c>
      <c r="N400" s="4" t="str">
        <f t="shared" si="21"/>
        <v/>
      </c>
      <c r="O400" s="4" t="s">
        <v>40</v>
      </c>
      <c r="P400" s="4">
        <f>Setup!$C$13</f>
        <v>1200</v>
      </c>
      <c r="Q400" s="4" t="s">
        <v>37</v>
      </c>
      <c r="R400" s="4" t="str">
        <f t="shared" si="22"/>
        <v/>
      </c>
      <c r="S400" s="4" t="s">
        <v>41</v>
      </c>
      <c r="T400" s="4">
        <f>Setup!$C$14</f>
        <v>1200</v>
      </c>
      <c r="U400" s="4" t="str">
        <f t="shared" si="23"/>
        <v/>
      </c>
      <c r="V400" s="4"/>
    </row>
    <row r="401" spans="1:22" x14ac:dyDescent="0.25">
      <c r="A401" s="4"/>
      <c r="B401" s="4" t="str">
        <f>IFERROR(IF(A401&lt;&gt;"",VLOOKUP($A401,calculation!$A$10:$V$510,12),""),"")</f>
        <v/>
      </c>
      <c r="C401" s="4" t="str">
        <f>IFERROR(IF(A401&lt;&gt;"",VLOOKUP($A401,calculation!$A$10:$V$510,15),""),"")</f>
        <v/>
      </c>
      <c r="D401" s="4" t="str">
        <f>IFERROR(IF(A401&lt;&gt;"",VLOOKUP($A401,calculation!$A$10:$V$510,22),""),"")</f>
        <v/>
      </c>
      <c r="F401" s="4" t="s">
        <v>27</v>
      </c>
      <c r="G401" s="4">
        <f>MAX($G$9:G400)+1</f>
        <v>373</v>
      </c>
      <c r="H401" s="4" t="s">
        <v>34</v>
      </c>
      <c r="I401" s="4" t="s">
        <v>35</v>
      </c>
      <c r="J401" s="4" t="str">
        <f t="shared" si="20"/>
        <v/>
      </c>
      <c r="K401" s="4" t="s">
        <v>39</v>
      </c>
      <c r="L401" s="4">
        <f>Setup!$C$15</f>
        <v>1500</v>
      </c>
      <c r="M401" s="4" t="s">
        <v>36</v>
      </c>
      <c r="N401" s="4" t="str">
        <f t="shared" si="21"/>
        <v/>
      </c>
      <c r="O401" s="4" t="s">
        <v>40</v>
      </c>
      <c r="P401" s="4">
        <f>Setup!$C$13</f>
        <v>1200</v>
      </c>
      <c r="Q401" s="4" t="s">
        <v>37</v>
      </c>
      <c r="R401" s="4" t="str">
        <f t="shared" si="22"/>
        <v/>
      </c>
      <c r="S401" s="4" t="s">
        <v>41</v>
      </c>
      <c r="T401" s="4">
        <f>Setup!$C$14</f>
        <v>1200</v>
      </c>
      <c r="U401" s="4" t="str">
        <f t="shared" si="23"/>
        <v/>
      </c>
      <c r="V401" s="4"/>
    </row>
    <row r="402" spans="1:22" x14ac:dyDescent="0.25">
      <c r="A402" s="4"/>
      <c r="B402" s="4" t="str">
        <f>IFERROR(IF(A402&lt;&gt;"",VLOOKUP($A402,calculation!$A$10:$V$510,12),""),"")</f>
        <v/>
      </c>
      <c r="C402" s="4" t="str">
        <f>IFERROR(IF(A402&lt;&gt;"",VLOOKUP($A402,calculation!$A$10:$V$510,15),""),"")</f>
        <v/>
      </c>
      <c r="D402" s="4" t="str">
        <f>IFERROR(IF(A402&lt;&gt;"",VLOOKUP($A402,calculation!$A$10:$V$510,22),""),"")</f>
        <v/>
      </c>
      <c r="F402" s="4" t="s">
        <v>27</v>
      </c>
      <c r="G402" s="4">
        <f>MAX($G$9:G401)+1</f>
        <v>374</v>
      </c>
      <c r="H402" s="4" t="s">
        <v>34</v>
      </c>
      <c r="I402" s="4" t="s">
        <v>35</v>
      </c>
      <c r="J402" s="4" t="str">
        <f t="shared" si="20"/>
        <v/>
      </c>
      <c r="K402" s="4" t="s">
        <v>39</v>
      </c>
      <c r="L402" s="4">
        <f>Setup!$C$15</f>
        <v>1500</v>
      </c>
      <c r="M402" s="4" t="s">
        <v>36</v>
      </c>
      <c r="N402" s="4" t="str">
        <f t="shared" si="21"/>
        <v/>
      </c>
      <c r="O402" s="4" t="s">
        <v>40</v>
      </c>
      <c r="P402" s="4">
        <f>Setup!$C$13</f>
        <v>1200</v>
      </c>
      <c r="Q402" s="4" t="s">
        <v>37</v>
      </c>
      <c r="R402" s="4" t="str">
        <f t="shared" si="22"/>
        <v/>
      </c>
      <c r="S402" s="4" t="s">
        <v>41</v>
      </c>
      <c r="T402" s="4">
        <f>Setup!$C$14</f>
        <v>1200</v>
      </c>
      <c r="U402" s="4" t="str">
        <f t="shared" si="23"/>
        <v/>
      </c>
      <c r="V402" s="4"/>
    </row>
    <row r="403" spans="1:22" x14ac:dyDescent="0.25">
      <c r="A403" s="4"/>
      <c r="B403" s="4" t="str">
        <f>IFERROR(IF(A403&lt;&gt;"",VLOOKUP($A403,calculation!$A$10:$V$510,12),""),"")</f>
        <v/>
      </c>
      <c r="C403" s="4" t="str">
        <f>IFERROR(IF(A403&lt;&gt;"",VLOOKUP($A403,calculation!$A$10:$V$510,15),""),"")</f>
        <v/>
      </c>
      <c r="D403" s="4" t="str">
        <f>IFERROR(IF(A403&lt;&gt;"",VLOOKUP($A403,calculation!$A$10:$V$510,22),""),"")</f>
        <v/>
      </c>
      <c r="F403" s="4" t="s">
        <v>27</v>
      </c>
      <c r="G403" s="4">
        <f>MAX($G$9:G402)+1</f>
        <v>375</v>
      </c>
      <c r="H403" s="4" t="s">
        <v>34</v>
      </c>
      <c r="I403" s="4" t="s">
        <v>35</v>
      </c>
      <c r="J403" s="4" t="str">
        <f t="shared" si="20"/>
        <v/>
      </c>
      <c r="K403" s="4" t="s">
        <v>39</v>
      </c>
      <c r="L403" s="4">
        <f>Setup!$C$15</f>
        <v>1500</v>
      </c>
      <c r="M403" s="4" t="s">
        <v>36</v>
      </c>
      <c r="N403" s="4" t="str">
        <f t="shared" si="21"/>
        <v/>
      </c>
      <c r="O403" s="4" t="s">
        <v>40</v>
      </c>
      <c r="P403" s="4">
        <f>Setup!$C$13</f>
        <v>1200</v>
      </c>
      <c r="Q403" s="4" t="s">
        <v>37</v>
      </c>
      <c r="R403" s="4" t="str">
        <f t="shared" si="22"/>
        <v/>
      </c>
      <c r="S403" s="4" t="s">
        <v>41</v>
      </c>
      <c r="T403" s="4">
        <f>Setup!$C$14</f>
        <v>1200</v>
      </c>
      <c r="U403" s="4" t="str">
        <f t="shared" si="23"/>
        <v/>
      </c>
      <c r="V403" s="4"/>
    </row>
    <row r="404" spans="1:22" x14ac:dyDescent="0.25">
      <c r="A404" s="4"/>
      <c r="B404" s="4" t="str">
        <f>IFERROR(IF(A404&lt;&gt;"",VLOOKUP($A404,calculation!$A$10:$V$510,12),""),"")</f>
        <v/>
      </c>
      <c r="C404" s="4" t="str">
        <f>IFERROR(IF(A404&lt;&gt;"",VLOOKUP($A404,calculation!$A$10:$V$510,15),""),"")</f>
        <v/>
      </c>
      <c r="D404" s="4" t="str">
        <f>IFERROR(IF(A404&lt;&gt;"",VLOOKUP($A404,calculation!$A$10:$V$510,22),""),"")</f>
        <v/>
      </c>
      <c r="F404" s="4" t="s">
        <v>27</v>
      </c>
      <c r="G404" s="4">
        <f>MAX($G$9:G403)+1</f>
        <v>376</v>
      </c>
      <c r="H404" s="4" t="s">
        <v>34</v>
      </c>
      <c r="I404" s="4" t="s">
        <v>35</v>
      </c>
      <c r="J404" s="4" t="str">
        <f t="shared" si="20"/>
        <v/>
      </c>
      <c r="K404" s="4" t="s">
        <v>39</v>
      </c>
      <c r="L404" s="4">
        <f>Setup!$C$15</f>
        <v>1500</v>
      </c>
      <c r="M404" s="4" t="s">
        <v>36</v>
      </c>
      <c r="N404" s="4" t="str">
        <f t="shared" si="21"/>
        <v/>
      </c>
      <c r="O404" s="4" t="s">
        <v>40</v>
      </c>
      <c r="P404" s="4">
        <f>Setup!$C$13</f>
        <v>1200</v>
      </c>
      <c r="Q404" s="4" t="s">
        <v>37</v>
      </c>
      <c r="R404" s="4" t="str">
        <f t="shared" si="22"/>
        <v/>
      </c>
      <c r="S404" s="4" t="s">
        <v>41</v>
      </c>
      <c r="T404" s="4">
        <f>Setup!$C$14</f>
        <v>1200</v>
      </c>
      <c r="U404" s="4" t="str">
        <f t="shared" si="23"/>
        <v/>
      </c>
      <c r="V404" s="4"/>
    </row>
    <row r="405" spans="1:22" x14ac:dyDescent="0.25">
      <c r="A405" s="4"/>
      <c r="B405" s="4" t="str">
        <f>IFERROR(IF(A405&lt;&gt;"",VLOOKUP($A405,calculation!$A$10:$V$510,12),""),"")</f>
        <v/>
      </c>
      <c r="C405" s="4" t="str">
        <f>IFERROR(IF(A405&lt;&gt;"",VLOOKUP($A405,calculation!$A$10:$V$510,15),""),"")</f>
        <v/>
      </c>
      <c r="D405" s="4" t="str">
        <f>IFERROR(IF(A405&lt;&gt;"",VLOOKUP($A405,calculation!$A$10:$V$510,22),""),"")</f>
        <v/>
      </c>
      <c r="F405" s="4" t="s">
        <v>27</v>
      </c>
      <c r="G405" s="4">
        <f>MAX($G$9:G404)+1</f>
        <v>377</v>
      </c>
      <c r="H405" s="4" t="s">
        <v>34</v>
      </c>
      <c r="I405" s="4" t="s">
        <v>35</v>
      </c>
      <c r="J405" s="4" t="str">
        <f t="shared" si="20"/>
        <v/>
      </c>
      <c r="K405" s="4" t="s">
        <v>39</v>
      </c>
      <c r="L405" s="4">
        <f>Setup!$C$15</f>
        <v>1500</v>
      </c>
      <c r="M405" s="4" t="s">
        <v>36</v>
      </c>
      <c r="N405" s="4" t="str">
        <f t="shared" si="21"/>
        <v/>
      </c>
      <c r="O405" s="4" t="s">
        <v>40</v>
      </c>
      <c r="P405" s="4">
        <f>Setup!$C$13</f>
        <v>1200</v>
      </c>
      <c r="Q405" s="4" t="s">
        <v>37</v>
      </c>
      <c r="R405" s="4" t="str">
        <f t="shared" si="22"/>
        <v/>
      </c>
      <c r="S405" s="4" t="s">
        <v>41</v>
      </c>
      <c r="T405" s="4">
        <f>Setup!$C$14</f>
        <v>1200</v>
      </c>
      <c r="U405" s="4" t="str">
        <f t="shared" si="23"/>
        <v/>
      </c>
      <c r="V405" s="4"/>
    </row>
    <row r="406" spans="1:22" x14ac:dyDescent="0.25">
      <c r="A406" s="4"/>
      <c r="B406" s="4" t="str">
        <f>IFERROR(IF(A406&lt;&gt;"",VLOOKUP($A406,calculation!$A$10:$V$510,12),""),"")</f>
        <v/>
      </c>
      <c r="C406" s="4" t="str">
        <f>IFERROR(IF(A406&lt;&gt;"",VLOOKUP($A406,calculation!$A$10:$V$510,15),""),"")</f>
        <v/>
      </c>
      <c r="D406" s="4" t="str">
        <f>IFERROR(IF(A406&lt;&gt;"",VLOOKUP($A406,calculation!$A$10:$V$510,22),""),"")</f>
        <v/>
      </c>
      <c r="F406" s="4" t="s">
        <v>27</v>
      </c>
      <c r="G406" s="4">
        <f>MAX($G$9:G405)+1</f>
        <v>378</v>
      </c>
      <c r="H406" s="4" t="s">
        <v>34</v>
      </c>
      <c r="I406" s="4" t="s">
        <v>35</v>
      </c>
      <c r="J406" s="4" t="str">
        <f t="shared" si="20"/>
        <v/>
      </c>
      <c r="K406" s="4" t="s">
        <v>39</v>
      </c>
      <c r="L406" s="4">
        <f>Setup!$C$15</f>
        <v>1500</v>
      </c>
      <c r="M406" s="4" t="s">
        <v>36</v>
      </c>
      <c r="N406" s="4" t="str">
        <f t="shared" si="21"/>
        <v/>
      </c>
      <c r="O406" s="4" t="s">
        <v>40</v>
      </c>
      <c r="P406" s="4">
        <f>Setup!$C$13</f>
        <v>1200</v>
      </c>
      <c r="Q406" s="4" t="s">
        <v>37</v>
      </c>
      <c r="R406" s="4" t="str">
        <f t="shared" si="22"/>
        <v/>
      </c>
      <c r="S406" s="4" t="s">
        <v>41</v>
      </c>
      <c r="T406" s="4">
        <f>Setup!$C$14</f>
        <v>1200</v>
      </c>
      <c r="U406" s="4" t="str">
        <f t="shared" si="23"/>
        <v/>
      </c>
      <c r="V406" s="4"/>
    </row>
    <row r="407" spans="1:22" x14ac:dyDescent="0.25">
      <c r="A407" s="4"/>
      <c r="B407" s="4" t="str">
        <f>IFERROR(IF(A407&lt;&gt;"",VLOOKUP($A407,calculation!$A$10:$V$510,12),""),"")</f>
        <v/>
      </c>
      <c r="C407" s="4" t="str">
        <f>IFERROR(IF(A407&lt;&gt;"",VLOOKUP($A407,calculation!$A$10:$V$510,15),""),"")</f>
        <v/>
      </c>
      <c r="D407" s="4" t="str">
        <f>IFERROR(IF(A407&lt;&gt;"",VLOOKUP($A407,calculation!$A$10:$V$510,22),""),"")</f>
        <v/>
      </c>
      <c r="F407" s="4" t="s">
        <v>27</v>
      </c>
      <c r="G407" s="4">
        <f>MAX($G$9:G406)+1</f>
        <v>379</v>
      </c>
      <c r="H407" s="4" t="s">
        <v>34</v>
      </c>
      <c r="I407" s="4" t="s">
        <v>35</v>
      </c>
      <c r="J407" s="4" t="str">
        <f t="shared" si="20"/>
        <v/>
      </c>
      <c r="K407" s="4" t="s">
        <v>39</v>
      </c>
      <c r="L407" s="4">
        <f>Setup!$C$15</f>
        <v>1500</v>
      </c>
      <c r="M407" s="4" t="s">
        <v>36</v>
      </c>
      <c r="N407" s="4" t="str">
        <f t="shared" si="21"/>
        <v/>
      </c>
      <c r="O407" s="4" t="s">
        <v>40</v>
      </c>
      <c r="P407" s="4">
        <f>Setup!$C$13</f>
        <v>1200</v>
      </c>
      <c r="Q407" s="4" t="s">
        <v>37</v>
      </c>
      <c r="R407" s="4" t="str">
        <f t="shared" si="22"/>
        <v/>
      </c>
      <c r="S407" s="4" t="s">
        <v>41</v>
      </c>
      <c r="T407" s="4">
        <f>Setup!$C$14</f>
        <v>1200</v>
      </c>
      <c r="U407" s="4" t="str">
        <f t="shared" si="23"/>
        <v/>
      </c>
      <c r="V407" s="4"/>
    </row>
    <row r="408" spans="1:22" x14ac:dyDescent="0.25">
      <c r="A408" s="4"/>
      <c r="B408" s="4" t="str">
        <f>IFERROR(IF(A408&lt;&gt;"",VLOOKUP($A408,calculation!$A$10:$V$510,12),""),"")</f>
        <v/>
      </c>
      <c r="C408" s="4" t="str">
        <f>IFERROR(IF(A408&lt;&gt;"",VLOOKUP($A408,calculation!$A$10:$V$510,15),""),"")</f>
        <v/>
      </c>
      <c r="D408" s="4" t="str">
        <f>IFERROR(IF(A408&lt;&gt;"",VLOOKUP($A408,calculation!$A$10:$V$510,22),""),"")</f>
        <v/>
      </c>
      <c r="F408" s="4" t="s">
        <v>27</v>
      </c>
      <c r="G408" s="4">
        <f>MAX($G$9:G407)+1</f>
        <v>380</v>
      </c>
      <c r="H408" s="4" t="s">
        <v>34</v>
      </c>
      <c r="I408" s="4" t="s">
        <v>35</v>
      </c>
      <c r="J408" s="4" t="str">
        <f t="shared" si="20"/>
        <v/>
      </c>
      <c r="K408" s="4" t="s">
        <v>39</v>
      </c>
      <c r="L408" s="4">
        <f>Setup!$C$15</f>
        <v>1500</v>
      </c>
      <c r="M408" s="4" t="s">
        <v>36</v>
      </c>
      <c r="N408" s="4" t="str">
        <f t="shared" si="21"/>
        <v/>
      </c>
      <c r="O408" s="4" t="s">
        <v>40</v>
      </c>
      <c r="P408" s="4">
        <f>Setup!$C$13</f>
        <v>1200</v>
      </c>
      <c r="Q408" s="4" t="s">
        <v>37</v>
      </c>
      <c r="R408" s="4" t="str">
        <f t="shared" si="22"/>
        <v/>
      </c>
      <c r="S408" s="4" t="s">
        <v>41</v>
      </c>
      <c r="T408" s="4">
        <f>Setup!$C$14</f>
        <v>1200</v>
      </c>
      <c r="U408" s="4" t="str">
        <f t="shared" si="23"/>
        <v/>
      </c>
      <c r="V408" s="4"/>
    </row>
    <row r="409" spans="1:22" x14ac:dyDescent="0.25">
      <c r="A409" s="4"/>
      <c r="B409" s="4" t="str">
        <f>IFERROR(IF(A409&lt;&gt;"",VLOOKUP($A409,calculation!$A$10:$V$510,12),""),"")</f>
        <v/>
      </c>
      <c r="C409" s="4" t="str">
        <f>IFERROR(IF(A409&lt;&gt;"",VLOOKUP($A409,calculation!$A$10:$V$510,15),""),"")</f>
        <v/>
      </c>
      <c r="D409" s="4" t="str">
        <f>IFERROR(IF(A409&lt;&gt;"",VLOOKUP($A409,calculation!$A$10:$V$510,22),""),"")</f>
        <v/>
      </c>
      <c r="F409" s="4" t="s">
        <v>27</v>
      </c>
      <c r="G409" s="4">
        <f>MAX($G$9:G408)+1</f>
        <v>381</v>
      </c>
      <c r="H409" s="4" t="s">
        <v>34</v>
      </c>
      <c r="I409" s="4" t="s">
        <v>35</v>
      </c>
      <c r="J409" s="4" t="str">
        <f t="shared" si="20"/>
        <v/>
      </c>
      <c r="K409" s="4" t="s">
        <v>39</v>
      </c>
      <c r="L409" s="4">
        <f>Setup!$C$15</f>
        <v>1500</v>
      </c>
      <c r="M409" s="4" t="s">
        <v>36</v>
      </c>
      <c r="N409" s="4" t="str">
        <f t="shared" si="21"/>
        <v/>
      </c>
      <c r="O409" s="4" t="s">
        <v>40</v>
      </c>
      <c r="P409" s="4">
        <f>Setup!$C$13</f>
        <v>1200</v>
      </c>
      <c r="Q409" s="4" t="s">
        <v>37</v>
      </c>
      <c r="R409" s="4" t="str">
        <f t="shared" si="22"/>
        <v/>
      </c>
      <c r="S409" s="4" t="s">
        <v>41</v>
      </c>
      <c r="T409" s="4">
        <f>Setup!$C$14</f>
        <v>1200</v>
      </c>
      <c r="U409" s="4" t="str">
        <f t="shared" si="23"/>
        <v/>
      </c>
      <c r="V409" s="4"/>
    </row>
    <row r="410" spans="1:22" x14ac:dyDescent="0.25">
      <c r="A410" s="4"/>
      <c r="B410" s="4" t="str">
        <f>IFERROR(IF(A410&lt;&gt;"",VLOOKUP($A410,calculation!$A$10:$V$510,12),""),"")</f>
        <v/>
      </c>
      <c r="C410" s="4" t="str">
        <f>IFERROR(IF(A410&lt;&gt;"",VLOOKUP($A410,calculation!$A$10:$V$510,15),""),"")</f>
        <v/>
      </c>
      <c r="D410" s="4" t="str">
        <f>IFERROR(IF(A410&lt;&gt;"",VLOOKUP($A410,calculation!$A$10:$V$510,22),""),"")</f>
        <v/>
      </c>
      <c r="F410" s="4" t="s">
        <v>27</v>
      </c>
      <c r="G410" s="4">
        <f>MAX($G$9:G409)+1</f>
        <v>382</v>
      </c>
      <c r="H410" s="4" t="s">
        <v>34</v>
      </c>
      <c r="I410" s="4" t="s">
        <v>35</v>
      </c>
      <c r="J410" s="4" t="str">
        <f t="shared" si="20"/>
        <v/>
      </c>
      <c r="K410" s="4" t="s">
        <v>39</v>
      </c>
      <c r="L410" s="4">
        <f>Setup!$C$15</f>
        <v>1500</v>
      </c>
      <c r="M410" s="4" t="s">
        <v>36</v>
      </c>
      <c r="N410" s="4" t="str">
        <f t="shared" si="21"/>
        <v/>
      </c>
      <c r="O410" s="4" t="s">
        <v>40</v>
      </c>
      <c r="P410" s="4">
        <f>Setup!$C$13</f>
        <v>1200</v>
      </c>
      <c r="Q410" s="4" t="s">
        <v>37</v>
      </c>
      <c r="R410" s="4" t="str">
        <f t="shared" si="22"/>
        <v/>
      </c>
      <c r="S410" s="4" t="s">
        <v>41</v>
      </c>
      <c r="T410" s="4">
        <f>Setup!$C$14</f>
        <v>1200</v>
      </c>
      <c r="U410" s="4" t="str">
        <f t="shared" si="23"/>
        <v/>
      </c>
      <c r="V410" s="4"/>
    </row>
    <row r="411" spans="1:22" x14ac:dyDescent="0.25">
      <c r="A411" s="4"/>
      <c r="B411" s="4" t="str">
        <f>IFERROR(IF(A411&lt;&gt;"",VLOOKUP($A411,calculation!$A$10:$V$510,12),""),"")</f>
        <v/>
      </c>
      <c r="C411" s="4" t="str">
        <f>IFERROR(IF(A411&lt;&gt;"",VLOOKUP($A411,calculation!$A$10:$V$510,15),""),"")</f>
        <v/>
      </c>
      <c r="D411" s="4" t="str">
        <f>IFERROR(IF(A411&lt;&gt;"",VLOOKUP($A411,calculation!$A$10:$V$510,22),""),"")</f>
        <v/>
      </c>
      <c r="F411" s="4" t="s">
        <v>27</v>
      </c>
      <c r="G411" s="4">
        <f>MAX($G$9:G410)+1</f>
        <v>383</v>
      </c>
      <c r="H411" s="4" t="s">
        <v>34</v>
      </c>
      <c r="I411" s="4" t="s">
        <v>35</v>
      </c>
      <c r="J411" s="4" t="str">
        <f t="shared" si="20"/>
        <v/>
      </c>
      <c r="K411" s="4" t="s">
        <v>39</v>
      </c>
      <c r="L411" s="4">
        <f>Setup!$C$15</f>
        <v>1500</v>
      </c>
      <c r="M411" s="4" t="s">
        <v>36</v>
      </c>
      <c r="N411" s="4" t="str">
        <f t="shared" si="21"/>
        <v/>
      </c>
      <c r="O411" s="4" t="s">
        <v>40</v>
      </c>
      <c r="P411" s="4">
        <f>Setup!$C$13</f>
        <v>1200</v>
      </c>
      <c r="Q411" s="4" t="s">
        <v>37</v>
      </c>
      <c r="R411" s="4" t="str">
        <f t="shared" si="22"/>
        <v/>
      </c>
      <c r="S411" s="4" t="s">
        <v>41</v>
      </c>
      <c r="T411" s="4">
        <f>Setup!$C$14</f>
        <v>1200</v>
      </c>
      <c r="U411" s="4" t="str">
        <f t="shared" si="23"/>
        <v/>
      </c>
      <c r="V411" s="4"/>
    </row>
    <row r="412" spans="1:22" x14ac:dyDescent="0.25">
      <c r="A412" s="4"/>
      <c r="B412" s="4" t="str">
        <f>IFERROR(IF(A412&lt;&gt;"",VLOOKUP($A412,calculation!$A$10:$V$510,12),""),"")</f>
        <v/>
      </c>
      <c r="C412" s="4" t="str">
        <f>IFERROR(IF(A412&lt;&gt;"",VLOOKUP($A412,calculation!$A$10:$V$510,15),""),"")</f>
        <v/>
      </c>
      <c r="D412" s="4" t="str">
        <f>IFERROR(IF(A412&lt;&gt;"",VLOOKUP($A412,calculation!$A$10:$V$510,22),""),"")</f>
        <v/>
      </c>
      <c r="F412" s="4" t="s">
        <v>27</v>
      </c>
      <c r="G412" s="4">
        <f>MAX($G$9:G411)+1</f>
        <v>384</v>
      </c>
      <c r="H412" s="4" t="s">
        <v>34</v>
      </c>
      <c r="I412" s="4" t="s">
        <v>35</v>
      </c>
      <c r="J412" s="4" t="str">
        <f t="shared" si="20"/>
        <v/>
      </c>
      <c r="K412" s="4" t="s">
        <v>39</v>
      </c>
      <c r="L412" s="4">
        <f>Setup!$C$15</f>
        <v>1500</v>
      </c>
      <c r="M412" s="4" t="s">
        <v>36</v>
      </c>
      <c r="N412" s="4" t="str">
        <f t="shared" si="21"/>
        <v/>
      </c>
      <c r="O412" s="4" t="s">
        <v>40</v>
      </c>
      <c r="P412" s="4">
        <f>Setup!$C$13</f>
        <v>1200</v>
      </c>
      <c r="Q412" s="4" t="s">
        <v>37</v>
      </c>
      <c r="R412" s="4" t="str">
        <f t="shared" si="22"/>
        <v/>
      </c>
      <c r="S412" s="4" t="s">
        <v>41</v>
      </c>
      <c r="T412" s="4">
        <f>Setup!$C$14</f>
        <v>1200</v>
      </c>
      <c r="U412" s="4" t="str">
        <f t="shared" si="23"/>
        <v/>
      </c>
      <c r="V412" s="4"/>
    </row>
    <row r="413" spans="1:22" x14ac:dyDescent="0.25">
      <c r="A413" s="4"/>
      <c r="B413" s="4" t="str">
        <f>IFERROR(IF(A413&lt;&gt;"",VLOOKUP($A413,calculation!$A$10:$V$510,12),""),"")</f>
        <v/>
      </c>
      <c r="C413" s="4" t="str">
        <f>IFERROR(IF(A413&lt;&gt;"",VLOOKUP($A413,calculation!$A$10:$V$510,15),""),"")</f>
        <v/>
      </c>
      <c r="D413" s="4" t="str">
        <f>IFERROR(IF(A413&lt;&gt;"",VLOOKUP($A413,calculation!$A$10:$V$510,22),""),"")</f>
        <v/>
      </c>
      <c r="F413" s="4" t="s">
        <v>27</v>
      </c>
      <c r="G413" s="4">
        <f>MAX($G$9:G412)+1</f>
        <v>385</v>
      </c>
      <c r="H413" s="4" t="s">
        <v>34</v>
      </c>
      <c r="I413" s="4" t="s">
        <v>35</v>
      </c>
      <c r="J413" s="4" t="str">
        <f t="shared" si="20"/>
        <v/>
      </c>
      <c r="K413" s="4" t="s">
        <v>39</v>
      </c>
      <c r="L413" s="4">
        <f>Setup!$C$15</f>
        <v>1500</v>
      </c>
      <c r="M413" s="4" t="s">
        <v>36</v>
      </c>
      <c r="N413" s="4" t="str">
        <f t="shared" si="21"/>
        <v/>
      </c>
      <c r="O413" s="4" t="s">
        <v>40</v>
      </c>
      <c r="P413" s="4">
        <f>Setup!$C$13</f>
        <v>1200</v>
      </c>
      <c r="Q413" s="4" t="s">
        <v>37</v>
      </c>
      <c r="R413" s="4" t="str">
        <f t="shared" si="22"/>
        <v/>
      </c>
      <c r="S413" s="4" t="s">
        <v>41</v>
      </c>
      <c r="T413" s="4">
        <f>Setup!$C$14</f>
        <v>1200</v>
      </c>
      <c r="U413" s="4" t="str">
        <f t="shared" si="23"/>
        <v/>
      </c>
      <c r="V413" s="4"/>
    </row>
    <row r="414" spans="1:22" x14ac:dyDescent="0.25">
      <c r="A414" s="4"/>
      <c r="B414" s="4" t="str">
        <f>IFERROR(IF(A414&lt;&gt;"",VLOOKUP($A414,calculation!$A$10:$V$510,12),""),"")</f>
        <v/>
      </c>
      <c r="C414" s="4" t="str">
        <f>IFERROR(IF(A414&lt;&gt;"",VLOOKUP($A414,calculation!$A$10:$V$510,15),""),"")</f>
        <v/>
      </c>
      <c r="D414" s="4" t="str">
        <f>IFERROR(IF(A414&lt;&gt;"",VLOOKUP($A414,calculation!$A$10:$V$510,22),""),"")</f>
        <v/>
      </c>
      <c r="F414" s="4" t="s">
        <v>27</v>
      </c>
      <c r="G414" s="4">
        <f>MAX($G$9:G413)+1</f>
        <v>386</v>
      </c>
      <c r="H414" s="4" t="s">
        <v>34</v>
      </c>
      <c r="I414" s="4" t="s">
        <v>35</v>
      </c>
      <c r="J414" s="4" t="str">
        <f t="shared" si="20"/>
        <v/>
      </c>
      <c r="K414" s="4" t="s">
        <v>39</v>
      </c>
      <c r="L414" s="4">
        <f>Setup!$C$15</f>
        <v>1500</v>
      </c>
      <c r="M414" s="4" t="s">
        <v>36</v>
      </c>
      <c r="N414" s="4" t="str">
        <f t="shared" si="21"/>
        <v/>
      </c>
      <c r="O414" s="4" t="s">
        <v>40</v>
      </c>
      <c r="P414" s="4">
        <f>Setup!$C$13</f>
        <v>1200</v>
      </c>
      <c r="Q414" s="4" t="s">
        <v>37</v>
      </c>
      <c r="R414" s="4" t="str">
        <f t="shared" si="22"/>
        <v/>
      </c>
      <c r="S414" s="4" t="s">
        <v>41</v>
      </c>
      <c r="T414" s="4">
        <f>Setup!$C$14</f>
        <v>1200</v>
      </c>
      <c r="U414" s="4" t="str">
        <f t="shared" si="23"/>
        <v/>
      </c>
      <c r="V414" s="4"/>
    </row>
    <row r="415" spans="1:22" x14ac:dyDescent="0.25">
      <c r="A415" s="4"/>
      <c r="B415" s="4" t="str">
        <f>IFERROR(IF(A415&lt;&gt;"",VLOOKUP($A415,calculation!$A$10:$V$510,12),""),"")</f>
        <v/>
      </c>
      <c r="C415" s="4" t="str">
        <f>IFERROR(IF(A415&lt;&gt;"",VLOOKUP($A415,calculation!$A$10:$V$510,15),""),"")</f>
        <v/>
      </c>
      <c r="D415" s="4" t="str">
        <f>IFERROR(IF(A415&lt;&gt;"",VLOOKUP($A415,calculation!$A$10:$V$510,22),""),"")</f>
        <v/>
      </c>
      <c r="F415" s="4" t="s">
        <v>27</v>
      </c>
      <c r="G415" s="4">
        <f>MAX($G$9:G414)+1</f>
        <v>387</v>
      </c>
      <c r="H415" s="4" t="s">
        <v>34</v>
      </c>
      <c r="I415" s="4" t="s">
        <v>35</v>
      </c>
      <c r="J415" s="4" t="str">
        <f t="shared" si="20"/>
        <v/>
      </c>
      <c r="K415" s="4" t="s">
        <v>39</v>
      </c>
      <c r="L415" s="4">
        <f>Setup!$C$15</f>
        <v>1500</v>
      </c>
      <c r="M415" s="4" t="s">
        <v>36</v>
      </c>
      <c r="N415" s="4" t="str">
        <f t="shared" si="21"/>
        <v/>
      </c>
      <c r="O415" s="4" t="s">
        <v>40</v>
      </c>
      <c r="P415" s="4">
        <f>Setup!$C$13</f>
        <v>1200</v>
      </c>
      <c r="Q415" s="4" t="s">
        <v>37</v>
      </c>
      <c r="R415" s="4" t="str">
        <f t="shared" si="22"/>
        <v/>
      </c>
      <c r="S415" s="4" t="s">
        <v>41</v>
      </c>
      <c r="T415" s="4">
        <f>Setup!$C$14</f>
        <v>1200</v>
      </c>
      <c r="U415" s="4" t="str">
        <f t="shared" si="23"/>
        <v/>
      </c>
      <c r="V415" s="4"/>
    </row>
    <row r="416" spans="1:22" x14ac:dyDescent="0.25">
      <c r="A416" s="4"/>
      <c r="B416" s="4" t="str">
        <f>IFERROR(IF(A416&lt;&gt;"",VLOOKUP($A416,calculation!$A$10:$V$510,12),""),"")</f>
        <v/>
      </c>
      <c r="C416" s="4" t="str">
        <f>IFERROR(IF(A416&lt;&gt;"",VLOOKUP($A416,calculation!$A$10:$V$510,15),""),"")</f>
        <v/>
      </c>
      <c r="D416" s="4" t="str">
        <f>IFERROR(IF(A416&lt;&gt;"",VLOOKUP($A416,calculation!$A$10:$V$510,22),""),"")</f>
        <v/>
      </c>
      <c r="F416" s="4" t="s">
        <v>27</v>
      </c>
      <c r="G416" s="4">
        <f>MAX($G$9:G415)+1</f>
        <v>388</v>
      </c>
      <c r="H416" s="4" t="s">
        <v>34</v>
      </c>
      <c r="I416" s="4" t="s">
        <v>35</v>
      </c>
      <c r="J416" s="4" t="str">
        <f t="shared" ref="J416:J479" si="24">B416</f>
        <v/>
      </c>
      <c r="K416" s="4" t="s">
        <v>39</v>
      </c>
      <c r="L416" s="4">
        <f>Setup!$C$15</f>
        <v>1500</v>
      </c>
      <c r="M416" s="4" t="s">
        <v>36</v>
      </c>
      <c r="N416" s="4" t="str">
        <f t="shared" ref="N416:N479" si="25">C416</f>
        <v/>
      </c>
      <c r="O416" s="4" t="s">
        <v>40</v>
      </c>
      <c r="P416" s="4">
        <f>Setup!$C$13</f>
        <v>1200</v>
      </c>
      <c r="Q416" s="4" t="s">
        <v>37</v>
      </c>
      <c r="R416" s="4" t="str">
        <f t="shared" ref="R416:R479" si="26">D416</f>
        <v/>
      </c>
      <c r="S416" s="4" t="s">
        <v>41</v>
      </c>
      <c r="T416" s="4">
        <f>Setup!$C$14</f>
        <v>1200</v>
      </c>
      <c r="U416" s="4" t="str">
        <f t="shared" ref="U416:U479" si="27">IF(A416&lt;&gt;"",F416&amp;G416&amp;" "&amp;H416&amp;" "&amp;I416&amp;J416&amp;" "&amp;K416&amp;L416&amp;" "&amp;M416&amp;N416&amp;" "&amp;O416&amp;P416&amp;" "&amp;Q416&amp;R416&amp;" "&amp;S416&amp;T416,"")</f>
        <v/>
      </c>
      <c r="V416" s="4"/>
    </row>
    <row r="417" spans="1:22" x14ac:dyDescent="0.25">
      <c r="A417" s="4"/>
      <c r="B417" s="4" t="str">
        <f>IFERROR(IF(A417&lt;&gt;"",VLOOKUP($A417,calculation!$A$10:$V$510,12),""),"")</f>
        <v/>
      </c>
      <c r="C417" s="4" t="str">
        <f>IFERROR(IF(A417&lt;&gt;"",VLOOKUP($A417,calculation!$A$10:$V$510,15),""),"")</f>
        <v/>
      </c>
      <c r="D417" s="4" t="str">
        <f>IFERROR(IF(A417&lt;&gt;"",VLOOKUP($A417,calculation!$A$10:$V$510,22),""),"")</f>
        <v/>
      </c>
      <c r="F417" s="4" t="s">
        <v>27</v>
      </c>
      <c r="G417" s="4">
        <f>MAX($G$9:G416)+1</f>
        <v>389</v>
      </c>
      <c r="H417" s="4" t="s">
        <v>34</v>
      </c>
      <c r="I417" s="4" t="s">
        <v>35</v>
      </c>
      <c r="J417" s="4" t="str">
        <f t="shared" si="24"/>
        <v/>
      </c>
      <c r="K417" s="4" t="s">
        <v>39</v>
      </c>
      <c r="L417" s="4">
        <f>Setup!$C$15</f>
        <v>1500</v>
      </c>
      <c r="M417" s="4" t="s">
        <v>36</v>
      </c>
      <c r="N417" s="4" t="str">
        <f t="shared" si="25"/>
        <v/>
      </c>
      <c r="O417" s="4" t="s">
        <v>40</v>
      </c>
      <c r="P417" s="4">
        <f>Setup!$C$13</f>
        <v>1200</v>
      </c>
      <c r="Q417" s="4" t="s">
        <v>37</v>
      </c>
      <c r="R417" s="4" t="str">
        <f t="shared" si="26"/>
        <v/>
      </c>
      <c r="S417" s="4" t="s">
        <v>41</v>
      </c>
      <c r="T417" s="4">
        <f>Setup!$C$14</f>
        <v>1200</v>
      </c>
      <c r="U417" s="4" t="str">
        <f t="shared" si="27"/>
        <v/>
      </c>
      <c r="V417" s="4"/>
    </row>
    <row r="418" spans="1:22" x14ac:dyDescent="0.25">
      <c r="A418" s="4"/>
      <c r="B418" s="4" t="str">
        <f>IFERROR(IF(A418&lt;&gt;"",VLOOKUP($A418,calculation!$A$10:$V$510,12),""),"")</f>
        <v/>
      </c>
      <c r="C418" s="4" t="str">
        <f>IFERROR(IF(A418&lt;&gt;"",VLOOKUP($A418,calculation!$A$10:$V$510,15),""),"")</f>
        <v/>
      </c>
      <c r="D418" s="4" t="str">
        <f>IFERROR(IF(A418&lt;&gt;"",VLOOKUP($A418,calculation!$A$10:$V$510,22),""),"")</f>
        <v/>
      </c>
      <c r="F418" s="4" t="s">
        <v>27</v>
      </c>
      <c r="G418" s="4">
        <f>MAX($G$9:G417)+1</f>
        <v>390</v>
      </c>
      <c r="H418" s="4" t="s">
        <v>34</v>
      </c>
      <c r="I418" s="4" t="s">
        <v>35</v>
      </c>
      <c r="J418" s="4" t="str">
        <f t="shared" si="24"/>
        <v/>
      </c>
      <c r="K418" s="4" t="s">
        <v>39</v>
      </c>
      <c r="L418" s="4">
        <f>Setup!$C$15</f>
        <v>1500</v>
      </c>
      <c r="M418" s="4" t="s">
        <v>36</v>
      </c>
      <c r="N418" s="4" t="str">
        <f t="shared" si="25"/>
        <v/>
      </c>
      <c r="O418" s="4" t="s">
        <v>40</v>
      </c>
      <c r="P418" s="4">
        <f>Setup!$C$13</f>
        <v>1200</v>
      </c>
      <c r="Q418" s="4" t="s">
        <v>37</v>
      </c>
      <c r="R418" s="4" t="str">
        <f t="shared" si="26"/>
        <v/>
      </c>
      <c r="S418" s="4" t="s">
        <v>41</v>
      </c>
      <c r="T418" s="4">
        <f>Setup!$C$14</f>
        <v>1200</v>
      </c>
      <c r="U418" s="4" t="str">
        <f t="shared" si="27"/>
        <v/>
      </c>
      <c r="V418" s="4"/>
    </row>
    <row r="419" spans="1:22" x14ac:dyDescent="0.25">
      <c r="A419" s="4"/>
      <c r="B419" s="4" t="str">
        <f>IFERROR(IF(A419&lt;&gt;"",VLOOKUP($A419,calculation!$A$10:$V$510,12),""),"")</f>
        <v/>
      </c>
      <c r="C419" s="4" t="str">
        <f>IFERROR(IF(A419&lt;&gt;"",VLOOKUP($A419,calculation!$A$10:$V$510,15),""),"")</f>
        <v/>
      </c>
      <c r="D419" s="4" t="str">
        <f>IFERROR(IF(A419&lt;&gt;"",VLOOKUP($A419,calculation!$A$10:$V$510,22),""),"")</f>
        <v/>
      </c>
      <c r="F419" s="4" t="s">
        <v>27</v>
      </c>
      <c r="G419" s="4">
        <f>MAX($G$9:G418)+1</f>
        <v>391</v>
      </c>
      <c r="H419" s="4" t="s">
        <v>34</v>
      </c>
      <c r="I419" s="4" t="s">
        <v>35</v>
      </c>
      <c r="J419" s="4" t="str">
        <f t="shared" si="24"/>
        <v/>
      </c>
      <c r="K419" s="4" t="s">
        <v>39</v>
      </c>
      <c r="L419" s="4">
        <f>Setup!$C$15</f>
        <v>1500</v>
      </c>
      <c r="M419" s="4" t="s">
        <v>36</v>
      </c>
      <c r="N419" s="4" t="str">
        <f t="shared" si="25"/>
        <v/>
      </c>
      <c r="O419" s="4" t="s">
        <v>40</v>
      </c>
      <c r="P419" s="4">
        <f>Setup!$C$13</f>
        <v>1200</v>
      </c>
      <c r="Q419" s="4" t="s">
        <v>37</v>
      </c>
      <c r="R419" s="4" t="str">
        <f t="shared" si="26"/>
        <v/>
      </c>
      <c r="S419" s="4" t="s">
        <v>41</v>
      </c>
      <c r="T419" s="4">
        <f>Setup!$C$14</f>
        <v>1200</v>
      </c>
      <c r="U419" s="4" t="str">
        <f t="shared" si="27"/>
        <v/>
      </c>
      <c r="V419" s="4"/>
    </row>
    <row r="420" spans="1:22" x14ac:dyDescent="0.25">
      <c r="A420" s="4"/>
      <c r="B420" s="4" t="str">
        <f>IFERROR(IF(A420&lt;&gt;"",VLOOKUP($A420,calculation!$A$10:$V$510,12),""),"")</f>
        <v/>
      </c>
      <c r="C420" s="4" t="str">
        <f>IFERROR(IF(A420&lt;&gt;"",VLOOKUP($A420,calculation!$A$10:$V$510,15),""),"")</f>
        <v/>
      </c>
      <c r="D420" s="4" t="str">
        <f>IFERROR(IF(A420&lt;&gt;"",VLOOKUP($A420,calculation!$A$10:$V$510,22),""),"")</f>
        <v/>
      </c>
      <c r="F420" s="4" t="s">
        <v>27</v>
      </c>
      <c r="G420" s="4">
        <f>MAX($G$9:G419)+1</f>
        <v>392</v>
      </c>
      <c r="H420" s="4" t="s">
        <v>34</v>
      </c>
      <c r="I420" s="4" t="s">
        <v>35</v>
      </c>
      <c r="J420" s="4" t="str">
        <f t="shared" si="24"/>
        <v/>
      </c>
      <c r="K420" s="4" t="s">
        <v>39</v>
      </c>
      <c r="L420" s="4">
        <f>Setup!$C$15</f>
        <v>1500</v>
      </c>
      <c r="M420" s="4" t="s">
        <v>36</v>
      </c>
      <c r="N420" s="4" t="str">
        <f t="shared" si="25"/>
        <v/>
      </c>
      <c r="O420" s="4" t="s">
        <v>40</v>
      </c>
      <c r="P420" s="4">
        <f>Setup!$C$13</f>
        <v>1200</v>
      </c>
      <c r="Q420" s="4" t="s">
        <v>37</v>
      </c>
      <c r="R420" s="4" t="str">
        <f t="shared" si="26"/>
        <v/>
      </c>
      <c r="S420" s="4" t="s">
        <v>41</v>
      </c>
      <c r="T420" s="4">
        <f>Setup!$C$14</f>
        <v>1200</v>
      </c>
      <c r="U420" s="4" t="str">
        <f t="shared" si="27"/>
        <v/>
      </c>
      <c r="V420" s="4"/>
    </row>
    <row r="421" spans="1:22" x14ac:dyDescent="0.25">
      <c r="A421" s="4"/>
      <c r="B421" s="4" t="str">
        <f>IFERROR(IF(A421&lt;&gt;"",VLOOKUP($A421,calculation!$A$10:$V$510,12),""),"")</f>
        <v/>
      </c>
      <c r="C421" s="4" t="str">
        <f>IFERROR(IF(A421&lt;&gt;"",VLOOKUP($A421,calculation!$A$10:$V$510,15),""),"")</f>
        <v/>
      </c>
      <c r="D421" s="4" t="str">
        <f>IFERROR(IF(A421&lt;&gt;"",VLOOKUP($A421,calculation!$A$10:$V$510,22),""),"")</f>
        <v/>
      </c>
      <c r="F421" s="4" t="s">
        <v>27</v>
      </c>
      <c r="G421" s="4">
        <f>MAX($G$9:G420)+1</f>
        <v>393</v>
      </c>
      <c r="H421" s="4" t="s">
        <v>34</v>
      </c>
      <c r="I421" s="4" t="s">
        <v>35</v>
      </c>
      <c r="J421" s="4" t="str">
        <f t="shared" si="24"/>
        <v/>
      </c>
      <c r="K421" s="4" t="s">
        <v>39</v>
      </c>
      <c r="L421" s="4">
        <f>Setup!$C$15</f>
        <v>1500</v>
      </c>
      <c r="M421" s="4" t="s">
        <v>36</v>
      </c>
      <c r="N421" s="4" t="str">
        <f t="shared" si="25"/>
        <v/>
      </c>
      <c r="O421" s="4" t="s">
        <v>40</v>
      </c>
      <c r="P421" s="4">
        <f>Setup!$C$13</f>
        <v>1200</v>
      </c>
      <c r="Q421" s="4" t="s">
        <v>37</v>
      </c>
      <c r="R421" s="4" t="str">
        <f t="shared" si="26"/>
        <v/>
      </c>
      <c r="S421" s="4" t="s">
        <v>41</v>
      </c>
      <c r="T421" s="4">
        <f>Setup!$C$14</f>
        <v>1200</v>
      </c>
      <c r="U421" s="4" t="str">
        <f t="shared" si="27"/>
        <v/>
      </c>
      <c r="V421" s="4"/>
    </row>
    <row r="422" spans="1:22" x14ac:dyDescent="0.25">
      <c r="A422" s="4"/>
      <c r="B422" s="4" t="str">
        <f>IFERROR(IF(A422&lt;&gt;"",VLOOKUP($A422,calculation!$A$10:$V$510,12),""),"")</f>
        <v/>
      </c>
      <c r="C422" s="4" t="str">
        <f>IFERROR(IF(A422&lt;&gt;"",VLOOKUP($A422,calculation!$A$10:$V$510,15),""),"")</f>
        <v/>
      </c>
      <c r="D422" s="4" t="str">
        <f>IFERROR(IF(A422&lt;&gt;"",VLOOKUP($A422,calculation!$A$10:$V$510,22),""),"")</f>
        <v/>
      </c>
      <c r="F422" s="4" t="s">
        <v>27</v>
      </c>
      <c r="G422" s="4">
        <f>MAX($G$9:G421)+1</f>
        <v>394</v>
      </c>
      <c r="H422" s="4" t="s">
        <v>34</v>
      </c>
      <c r="I422" s="4" t="s">
        <v>35</v>
      </c>
      <c r="J422" s="4" t="str">
        <f t="shared" si="24"/>
        <v/>
      </c>
      <c r="K422" s="4" t="s">
        <v>39</v>
      </c>
      <c r="L422" s="4">
        <f>Setup!$C$15</f>
        <v>1500</v>
      </c>
      <c r="M422" s="4" t="s">
        <v>36</v>
      </c>
      <c r="N422" s="4" t="str">
        <f t="shared" si="25"/>
        <v/>
      </c>
      <c r="O422" s="4" t="s">
        <v>40</v>
      </c>
      <c r="P422" s="4">
        <f>Setup!$C$13</f>
        <v>1200</v>
      </c>
      <c r="Q422" s="4" t="s">
        <v>37</v>
      </c>
      <c r="R422" s="4" t="str">
        <f t="shared" si="26"/>
        <v/>
      </c>
      <c r="S422" s="4" t="s">
        <v>41</v>
      </c>
      <c r="T422" s="4">
        <f>Setup!$C$14</f>
        <v>1200</v>
      </c>
      <c r="U422" s="4" t="str">
        <f t="shared" si="27"/>
        <v/>
      </c>
      <c r="V422" s="4"/>
    </row>
    <row r="423" spans="1:22" x14ac:dyDescent="0.25">
      <c r="A423" s="4"/>
      <c r="B423" s="4" t="str">
        <f>IFERROR(IF(A423&lt;&gt;"",VLOOKUP($A423,calculation!$A$10:$V$510,12),""),"")</f>
        <v/>
      </c>
      <c r="C423" s="4" t="str">
        <f>IFERROR(IF(A423&lt;&gt;"",VLOOKUP($A423,calculation!$A$10:$V$510,15),""),"")</f>
        <v/>
      </c>
      <c r="D423" s="4" t="str">
        <f>IFERROR(IF(A423&lt;&gt;"",VLOOKUP($A423,calculation!$A$10:$V$510,22),""),"")</f>
        <v/>
      </c>
      <c r="F423" s="4" t="s">
        <v>27</v>
      </c>
      <c r="G423" s="4">
        <f>MAX($G$9:G422)+1</f>
        <v>395</v>
      </c>
      <c r="H423" s="4" t="s">
        <v>34</v>
      </c>
      <c r="I423" s="4" t="s">
        <v>35</v>
      </c>
      <c r="J423" s="4" t="str">
        <f t="shared" si="24"/>
        <v/>
      </c>
      <c r="K423" s="4" t="s">
        <v>39</v>
      </c>
      <c r="L423" s="4">
        <f>Setup!$C$15</f>
        <v>1500</v>
      </c>
      <c r="M423" s="4" t="s">
        <v>36</v>
      </c>
      <c r="N423" s="4" t="str">
        <f t="shared" si="25"/>
        <v/>
      </c>
      <c r="O423" s="4" t="s">
        <v>40</v>
      </c>
      <c r="P423" s="4">
        <f>Setup!$C$13</f>
        <v>1200</v>
      </c>
      <c r="Q423" s="4" t="s">
        <v>37</v>
      </c>
      <c r="R423" s="4" t="str">
        <f t="shared" si="26"/>
        <v/>
      </c>
      <c r="S423" s="4" t="s">
        <v>41</v>
      </c>
      <c r="T423" s="4">
        <f>Setup!$C$14</f>
        <v>1200</v>
      </c>
      <c r="U423" s="4" t="str">
        <f t="shared" si="27"/>
        <v/>
      </c>
      <c r="V423" s="4"/>
    </row>
    <row r="424" spans="1:22" x14ac:dyDescent="0.25">
      <c r="A424" s="4"/>
      <c r="B424" s="4" t="str">
        <f>IFERROR(IF(A424&lt;&gt;"",VLOOKUP($A424,calculation!$A$10:$V$510,12),""),"")</f>
        <v/>
      </c>
      <c r="C424" s="4" t="str">
        <f>IFERROR(IF(A424&lt;&gt;"",VLOOKUP($A424,calculation!$A$10:$V$510,15),""),"")</f>
        <v/>
      </c>
      <c r="D424" s="4" t="str">
        <f>IFERROR(IF(A424&lt;&gt;"",VLOOKUP($A424,calculation!$A$10:$V$510,22),""),"")</f>
        <v/>
      </c>
      <c r="F424" s="4" t="s">
        <v>27</v>
      </c>
      <c r="G424" s="4">
        <f>MAX($G$9:G423)+1</f>
        <v>396</v>
      </c>
      <c r="H424" s="4" t="s">
        <v>34</v>
      </c>
      <c r="I424" s="4" t="s">
        <v>35</v>
      </c>
      <c r="J424" s="4" t="str">
        <f t="shared" si="24"/>
        <v/>
      </c>
      <c r="K424" s="4" t="s">
        <v>39</v>
      </c>
      <c r="L424" s="4">
        <f>Setup!$C$15</f>
        <v>1500</v>
      </c>
      <c r="M424" s="4" t="s">
        <v>36</v>
      </c>
      <c r="N424" s="4" t="str">
        <f t="shared" si="25"/>
        <v/>
      </c>
      <c r="O424" s="4" t="s">
        <v>40</v>
      </c>
      <c r="P424" s="4">
        <f>Setup!$C$13</f>
        <v>1200</v>
      </c>
      <c r="Q424" s="4" t="s">
        <v>37</v>
      </c>
      <c r="R424" s="4" t="str">
        <f t="shared" si="26"/>
        <v/>
      </c>
      <c r="S424" s="4" t="s">
        <v>41</v>
      </c>
      <c r="T424" s="4">
        <f>Setup!$C$14</f>
        <v>1200</v>
      </c>
      <c r="U424" s="4" t="str">
        <f t="shared" si="27"/>
        <v/>
      </c>
      <c r="V424" s="4"/>
    </row>
    <row r="425" spans="1:22" x14ac:dyDescent="0.25">
      <c r="A425" s="4"/>
      <c r="B425" s="4" t="str">
        <f>IFERROR(IF(A425&lt;&gt;"",VLOOKUP($A425,calculation!$A$10:$V$510,12),""),"")</f>
        <v/>
      </c>
      <c r="C425" s="4" t="str">
        <f>IFERROR(IF(A425&lt;&gt;"",VLOOKUP($A425,calculation!$A$10:$V$510,15),""),"")</f>
        <v/>
      </c>
      <c r="D425" s="4" t="str">
        <f>IFERROR(IF(A425&lt;&gt;"",VLOOKUP($A425,calculation!$A$10:$V$510,22),""),"")</f>
        <v/>
      </c>
      <c r="F425" s="4" t="s">
        <v>27</v>
      </c>
      <c r="G425" s="4">
        <f>MAX($G$9:G424)+1</f>
        <v>397</v>
      </c>
      <c r="H425" s="4" t="s">
        <v>34</v>
      </c>
      <c r="I425" s="4" t="s">
        <v>35</v>
      </c>
      <c r="J425" s="4" t="str">
        <f t="shared" si="24"/>
        <v/>
      </c>
      <c r="K425" s="4" t="s">
        <v>39</v>
      </c>
      <c r="L425" s="4">
        <f>Setup!$C$15</f>
        <v>1500</v>
      </c>
      <c r="M425" s="4" t="s">
        <v>36</v>
      </c>
      <c r="N425" s="4" t="str">
        <f t="shared" si="25"/>
        <v/>
      </c>
      <c r="O425" s="4" t="s">
        <v>40</v>
      </c>
      <c r="P425" s="4">
        <f>Setup!$C$13</f>
        <v>1200</v>
      </c>
      <c r="Q425" s="4" t="s">
        <v>37</v>
      </c>
      <c r="R425" s="4" t="str">
        <f t="shared" si="26"/>
        <v/>
      </c>
      <c r="S425" s="4" t="s">
        <v>41</v>
      </c>
      <c r="T425" s="4">
        <f>Setup!$C$14</f>
        <v>1200</v>
      </c>
      <c r="U425" s="4" t="str">
        <f t="shared" si="27"/>
        <v/>
      </c>
      <c r="V425" s="4"/>
    </row>
    <row r="426" spans="1:22" x14ac:dyDescent="0.25">
      <c r="A426" s="4"/>
      <c r="B426" s="4" t="str">
        <f>IFERROR(IF(A426&lt;&gt;"",VLOOKUP($A426,calculation!$A$10:$V$510,12),""),"")</f>
        <v/>
      </c>
      <c r="C426" s="4" t="str">
        <f>IFERROR(IF(A426&lt;&gt;"",VLOOKUP($A426,calculation!$A$10:$V$510,15),""),"")</f>
        <v/>
      </c>
      <c r="D426" s="4" t="str">
        <f>IFERROR(IF(A426&lt;&gt;"",VLOOKUP($A426,calculation!$A$10:$V$510,22),""),"")</f>
        <v/>
      </c>
      <c r="F426" s="4" t="s">
        <v>27</v>
      </c>
      <c r="G426" s="4">
        <f>MAX($G$9:G425)+1</f>
        <v>398</v>
      </c>
      <c r="H426" s="4" t="s">
        <v>34</v>
      </c>
      <c r="I426" s="4" t="s">
        <v>35</v>
      </c>
      <c r="J426" s="4" t="str">
        <f t="shared" si="24"/>
        <v/>
      </c>
      <c r="K426" s="4" t="s">
        <v>39</v>
      </c>
      <c r="L426" s="4">
        <f>Setup!$C$15</f>
        <v>1500</v>
      </c>
      <c r="M426" s="4" t="s">
        <v>36</v>
      </c>
      <c r="N426" s="4" t="str">
        <f t="shared" si="25"/>
        <v/>
      </c>
      <c r="O426" s="4" t="s">
        <v>40</v>
      </c>
      <c r="P426" s="4">
        <f>Setup!$C$13</f>
        <v>1200</v>
      </c>
      <c r="Q426" s="4" t="s">
        <v>37</v>
      </c>
      <c r="R426" s="4" t="str">
        <f t="shared" si="26"/>
        <v/>
      </c>
      <c r="S426" s="4" t="s">
        <v>41</v>
      </c>
      <c r="T426" s="4">
        <f>Setup!$C$14</f>
        <v>1200</v>
      </c>
      <c r="U426" s="4" t="str">
        <f t="shared" si="27"/>
        <v/>
      </c>
      <c r="V426" s="4"/>
    </row>
    <row r="427" spans="1:22" x14ac:dyDescent="0.25">
      <c r="A427" s="4"/>
      <c r="B427" s="4" t="str">
        <f>IFERROR(IF(A427&lt;&gt;"",VLOOKUP($A427,calculation!$A$10:$V$510,12),""),"")</f>
        <v/>
      </c>
      <c r="C427" s="4" t="str">
        <f>IFERROR(IF(A427&lt;&gt;"",VLOOKUP($A427,calculation!$A$10:$V$510,15),""),"")</f>
        <v/>
      </c>
      <c r="D427" s="4" t="str">
        <f>IFERROR(IF(A427&lt;&gt;"",VLOOKUP($A427,calculation!$A$10:$V$510,22),""),"")</f>
        <v/>
      </c>
      <c r="F427" s="4" t="s">
        <v>27</v>
      </c>
      <c r="G427" s="4">
        <f>MAX($G$9:G426)+1</f>
        <v>399</v>
      </c>
      <c r="H427" s="4" t="s">
        <v>34</v>
      </c>
      <c r="I427" s="4" t="s">
        <v>35</v>
      </c>
      <c r="J427" s="4" t="str">
        <f t="shared" si="24"/>
        <v/>
      </c>
      <c r="K427" s="4" t="s">
        <v>39</v>
      </c>
      <c r="L427" s="4">
        <f>Setup!$C$15</f>
        <v>1500</v>
      </c>
      <c r="M427" s="4" t="s">
        <v>36</v>
      </c>
      <c r="N427" s="4" t="str">
        <f t="shared" si="25"/>
        <v/>
      </c>
      <c r="O427" s="4" t="s">
        <v>40</v>
      </c>
      <c r="P427" s="4">
        <f>Setup!$C$13</f>
        <v>1200</v>
      </c>
      <c r="Q427" s="4" t="s">
        <v>37</v>
      </c>
      <c r="R427" s="4" t="str">
        <f t="shared" si="26"/>
        <v/>
      </c>
      <c r="S427" s="4" t="s">
        <v>41</v>
      </c>
      <c r="T427" s="4">
        <f>Setup!$C$14</f>
        <v>1200</v>
      </c>
      <c r="U427" s="4" t="str">
        <f t="shared" si="27"/>
        <v/>
      </c>
      <c r="V427" s="4"/>
    </row>
    <row r="428" spans="1:22" x14ac:dyDescent="0.25">
      <c r="A428" s="4"/>
      <c r="B428" s="4" t="str">
        <f>IFERROR(IF(A428&lt;&gt;"",VLOOKUP($A428,calculation!$A$10:$V$510,12),""),"")</f>
        <v/>
      </c>
      <c r="C428" s="4" t="str">
        <f>IFERROR(IF(A428&lt;&gt;"",VLOOKUP($A428,calculation!$A$10:$V$510,15),""),"")</f>
        <v/>
      </c>
      <c r="D428" s="4" t="str">
        <f>IFERROR(IF(A428&lt;&gt;"",VLOOKUP($A428,calculation!$A$10:$V$510,22),""),"")</f>
        <v/>
      </c>
      <c r="F428" s="4" t="s">
        <v>27</v>
      </c>
      <c r="G428" s="4">
        <f>MAX($G$9:G427)+1</f>
        <v>400</v>
      </c>
      <c r="H428" s="4" t="s">
        <v>34</v>
      </c>
      <c r="I428" s="4" t="s">
        <v>35</v>
      </c>
      <c r="J428" s="4" t="str">
        <f t="shared" si="24"/>
        <v/>
      </c>
      <c r="K428" s="4" t="s">
        <v>39</v>
      </c>
      <c r="L428" s="4">
        <f>Setup!$C$15</f>
        <v>1500</v>
      </c>
      <c r="M428" s="4" t="s">
        <v>36</v>
      </c>
      <c r="N428" s="4" t="str">
        <f t="shared" si="25"/>
        <v/>
      </c>
      <c r="O428" s="4" t="s">
        <v>40</v>
      </c>
      <c r="P428" s="4">
        <f>Setup!$C$13</f>
        <v>1200</v>
      </c>
      <c r="Q428" s="4" t="s">
        <v>37</v>
      </c>
      <c r="R428" s="4" t="str">
        <f t="shared" si="26"/>
        <v/>
      </c>
      <c r="S428" s="4" t="s">
        <v>41</v>
      </c>
      <c r="T428" s="4">
        <f>Setup!$C$14</f>
        <v>1200</v>
      </c>
      <c r="U428" s="4" t="str">
        <f t="shared" si="27"/>
        <v/>
      </c>
      <c r="V428" s="4"/>
    </row>
    <row r="429" spans="1:22" x14ac:dyDescent="0.25">
      <c r="A429" s="4"/>
      <c r="B429" s="4" t="str">
        <f>IFERROR(IF(A429&lt;&gt;"",VLOOKUP($A429,calculation!$A$10:$V$510,12),""),"")</f>
        <v/>
      </c>
      <c r="C429" s="4" t="str">
        <f>IFERROR(IF(A429&lt;&gt;"",VLOOKUP($A429,calculation!$A$10:$V$510,15),""),"")</f>
        <v/>
      </c>
      <c r="D429" s="4" t="str">
        <f>IFERROR(IF(A429&lt;&gt;"",VLOOKUP($A429,calculation!$A$10:$V$510,22),""),"")</f>
        <v/>
      </c>
      <c r="F429" s="4" t="s">
        <v>27</v>
      </c>
      <c r="G429" s="4">
        <f>MAX($G$9:G428)+1</f>
        <v>401</v>
      </c>
      <c r="H429" s="4" t="s">
        <v>34</v>
      </c>
      <c r="I429" s="4" t="s">
        <v>35</v>
      </c>
      <c r="J429" s="4" t="str">
        <f t="shared" si="24"/>
        <v/>
      </c>
      <c r="K429" s="4" t="s">
        <v>39</v>
      </c>
      <c r="L429" s="4">
        <f>Setup!$C$15</f>
        <v>1500</v>
      </c>
      <c r="M429" s="4" t="s">
        <v>36</v>
      </c>
      <c r="N429" s="4" t="str">
        <f t="shared" si="25"/>
        <v/>
      </c>
      <c r="O429" s="4" t="s">
        <v>40</v>
      </c>
      <c r="P429" s="4">
        <f>Setup!$C$13</f>
        <v>1200</v>
      </c>
      <c r="Q429" s="4" t="s">
        <v>37</v>
      </c>
      <c r="R429" s="4" t="str">
        <f t="shared" si="26"/>
        <v/>
      </c>
      <c r="S429" s="4" t="s">
        <v>41</v>
      </c>
      <c r="T429" s="4">
        <f>Setup!$C$14</f>
        <v>1200</v>
      </c>
      <c r="U429" s="4" t="str">
        <f t="shared" si="27"/>
        <v/>
      </c>
      <c r="V429" s="4"/>
    </row>
    <row r="430" spans="1:22" x14ac:dyDescent="0.25">
      <c r="A430" s="4"/>
      <c r="B430" s="4" t="str">
        <f>IFERROR(IF(A430&lt;&gt;"",VLOOKUP($A430,calculation!$A$10:$V$510,12),""),"")</f>
        <v/>
      </c>
      <c r="C430" s="4" t="str">
        <f>IFERROR(IF(A430&lt;&gt;"",VLOOKUP($A430,calculation!$A$10:$V$510,15),""),"")</f>
        <v/>
      </c>
      <c r="D430" s="4" t="str">
        <f>IFERROR(IF(A430&lt;&gt;"",VLOOKUP($A430,calculation!$A$10:$V$510,22),""),"")</f>
        <v/>
      </c>
      <c r="F430" s="4" t="s">
        <v>27</v>
      </c>
      <c r="G430" s="4">
        <f>MAX($G$9:G429)+1</f>
        <v>402</v>
      </c>
      <c r="H430" s="4" t="s">
        <v>34</v>
      </c>
      <c r="I430" s="4" t="s">
        <v>35</v>
      </c>
      <c r="J430" s="4" t="str">
        <f t="shared" si="24"/>
        <v/>
      </c>
      <c r="K430" s="4" t="s">
        <v>39</v>
      </c>
      <c r="L430" s="4">
        <f>Setup!$C$15</f>
        <v>1500</v>
      </c>
      <c r="M430" s="4" t="s">
        <v>36</v>
      </c>
      <c r="N430" s="4" t="str">
        <f t="shared" si="25"/>
        <v/>
      </c>
      <c r="O430" s="4" t="s">
        <v>40</v>
      </c>
      <c r="P430" s="4">
        <f>Setup!$C$13</f>
        <v>1200</v>
      </c>
      <c r="Q430" s="4" t="s">
        <v>37</v>
      </c>
      <c r="R430" s="4" t="str">
        <f t="shared" si="26"/>
        <v/>
      </c>
      <c r="S430" s="4" t="s">
        <v>41</v>
      </c>
      <c r="T430" s="4">
        <f>Setup!$C$14</f>
        <v>1200</v>
      </c>
      <c r="U430" s="4" t="str">
        <f t="shared" si="27"/>
        <v/>
      </c>
      <c r="V430" s="4"/>
    </row>
    <row r="431" spans="1:22" x14ac:dyDescent="0.25">
      <c r="A431" s="4"/>
      <c r="B431" s="4" t="str">
        <f>IFERROR(IF(A431&lt;&gt;"",VLOOKUP($A431,calculation!$A$10:$V$510,12),""),"")</f>
        <v/>
      </c>
      <c r="C431" s="4" t="str">
        <f>IFERROR(IF(A431&lt;&gt;"",VLOOKUP($A431,calculation!$A$10:$V$510,15),""),"")</f>
        <v/>
      </c>
      <c r="D431" s="4" t="str">
        <f>IFERROR(IF(A431&lt;&gt;"",VLOOKUP($A431,calculation!$A$10:$V$510,22),""),"")</f>
        <v/>
      </c>
      <c r="F431" s="4" t="s">
        <v>27</v>
      </c>
      <c r="G431" s="4">
        <f>MAX($G$9:G430)+1</f>
        <v>403</v>
      </c>
      <c r="H431" s="4" t="s">
        <v>34</v>
      </c>
      <c r="I431" s="4" t="s">
        <v>35</v>
      </c>
      <c r="J431" s="4" t="str">
        <f t="shared" si="24"/>
        <v/>
      </c>
      <c r="K431" s="4" t="s">
        <v>39</v>
      </c>
      <c r="L431" s="4">
        <f>Setup!$C$15</f>
        <v>1500</v>
      </c>
      <c r="M431" s="4" t="s">
        <v>36</v>
      </c>
      <c r="N431" s="4" t="str">
        <f t="shared" si="25"/>
        <v/>
      </c>
      <c r="O431" s="4" t="s">
        <v>40</v>
      </c>
      <c r="P431" s="4">
        <f>Setup!$C$13</f>
        <v>1200</v>
      </c>
      <c r="Q431" s="4" t="s">
        <v>37</v>
      </c>
      <c r="R431" s="4" t="str">
        <f t="shared" si="26"/>
        <v/>
      </c>
      <c r="S431" s="4" t="s">
        <v>41</v>
      </c>
      <c r="T431" s="4">
        <f>Setup!$C$14</f>
        <v>1200</v>
      </c>
      <c r="U431" s="4" t="str">
        <f t="shared" si="27"/>
        <v/>
      </c>
      <c r="V431" s="4"/>
    </row>
    <row r="432" spans="1:22" x14ac:dyDescent="0.25">
      <c r="A432" s="4"/>
      <c r="B432" s="4" t="str">
        <f>IFERROR(IF(A432&lt;&gt;"",VLOOKUP($A432,calculation!$A$10:$V$510,12),""),"")</f>
        <v/>
      </c>
      <c r="C432" s="4" t="str">
        <f>IFERROR(IF(A432&lt;&gt;"",VLOOKUP($A432,calculation!$A$10:$V$510,15),""),"")</f>
        <v/>
      </c>
      <c r="D432" s="4" t="str">
        <f>IFERROR(IF(A432&lt;&gt;"",VLOOKUP($A432,calculation!$A$10:$V$510,22),""),"")</f>
        <v/>
      </c>
      <c r="F432" s="4" t="s">
        <v>27</v>
      </c>
      <c r="G432" s="4">
        <f>MAX($G$9:G431)+1</f>
        <v>404</v>
      </c>
      <c r="H432" s="4" t="s">
        <v>34</v>
      </c>
      <c r="I432" s="4" t="s">
        <v>35</v>
      </c>
      <c r="J432" s="4" t="str">
        <f t="shared" si="24"/>
        <v/>
      </c>
      <c r="K432" s="4" t="s">
        <v>39</v>
      </c>
      <c r="L432" s="4">
        <f>Setup!$C$15</f>
        <v>1500</v>
      </c>
      <c r="M432" s="4" t="s">
        <v>36</v>
      </c>
      <c r="N432" s="4" t="str">
        <f t="shared" si="25"/>
        <v/>
      </c>
      <c r="O432" s="4" t="s">
        <v>40</v>
      </c>
      <c r="P432" s="4">
        <f>Setup!$C$13</f>
        <v>1200</v>
      </c>
      <c r="Q432" s="4" t="s">
        <v>37</v>
      </c>
      <c r="R432" s="4" t="str">
        <f t="shared" si="26"/>
        <v/>
      </c>
      <c r="S432" s="4" t="s">
        <v>41</v>
      </c>
      <c r="T432" s="4">
        <f>Setup!$C$14</f>
        <v>1200</v>
      </c>
      <c r="U432" s="4" t="str">
        <f t="shared" si="27"/>
        <v/>
      </c>
      <c r="V432" s="4"/>
    </row>
    <row r="433" spans="1:22" x14ac:dyDescent="0.25">
      <c r="A433" s="4"/>
      <c r="B433" s="4" t="str">
        <f>IFERROR(IF(A433&lt;&gt;"",VLOOKUP($A433,calculation!$A$10:$V$510,12),""),"")</f>
        <v/>
      </c>
      <c r="C433" s="4" t="str">
        <f>IFERROR(IF(A433&lt;&gt;"",VLOOKUP($A433,calculation!$A$10:$V$510,15),""),"")</f>
        <v/>
      </c>
      <c r="D433" s="4" t="str">
        <f>IFERROR(IF(A433&lt;&gt;"",VLOOKUP($A433,calculation!$A$10:$V$510,22),""),"")</f>
        <v/>
      </c>
      <c r="F433" s="4" t="s">
        <v>27</v>
      </c>
      <c r="G433" s="4">
        <f>MAX($G$9:G432)+1</f>
        <v>405</v>
      </c>
      <c r="H433" s="4" t="s">
        <v>34</v>
      </c>
      <c r="I433" s="4" t="s">
        <v>35</v>
      </c>
      <c r="J433" s="4" t="str">
        <f t="shared" si="24"/>
        <v/>
      </c>
      <c r="K433" s="4" t="s">
        <v>39</v>
      </c>
      <c r="L433" s="4">
        <f>Setup!$C$15</f>
        <v>1500</v>
      </c>
      <c r="M433" s="4" t="s">
        <v>36</v>
      </c>
      <c r="N433" s="4" t="str">
        <f t="shared" si="25"/>
        <v/>
      </c>
      <c r="O433" s="4" t="s">
        <v>40</v>
      </c>
      <c r="P433" s="4">
        <f>Setup!$C$13</f>
        <v>1200</v>
      </c>
      <c r="Q433" s="4" t="s">
        <v>37</v>
      </c>
      <c r="R433" s="4" t="str">
        <f t="shared" si="26"/>
        <v/>
      </c>
      <c r="S433" s="4" t="s">
        <v>41</v>
      </c>
      <c r="T433" s="4">
        <f>Setup!$C$14</f>
        <v>1200</v>
      </c>
      <c r="U433" s="4" t="str">
        <f t="shared" si="27"/>
        <v/>
      </c>
      <c r="V433" s="4"/>
    </row>
    <row r="434" spans="1:22" x14ac:dyDescent="0.25">
      <c r="A434" s="4"/>
      <c r="B434" s="4" t="str">
        <f>IFERROR(IF(A434&lt;&gt;"",VLOOKUP($A434,calculation!$A$10:$V$510,12),""),"")</f>
        <v/>
      </c>
      <c r="C434" s="4" t="str">
        <f>IFERROR(IF(A434&lt;&gt;"",VLOOKUP($A434,calculation!$A$10:$V$510,15),""),"")</f>
        <v/>
      </c>
      <c r="D434" s="4" t="str">
        <f>IFERROR(IF(A434&lt;&gt;"",VLOOKUP($A434,calculation!$A$10:$V$510,22),""),"")</f>
        <v/>
      </c>
      <c r="F434" s="4" t="s">
        <v>27</v>
      </c>
      <c r="G434" s="4">
        <f>MAX($G$9:G433)+1</f>
        <v>406</v>
      </c>
      <c r="H434" s="4" t="s">
        <v>34</v>
      </c>
      <c r="I434" s="4" t="s">
        <v>35</v>
      </c>
      <c r="J434" s="4" t="str">
        <f t="shared" si="24"/>
        <v/>
      </c>
      <c r="K434" s="4" t="s">
        <v>39</v>
      </c>
      <c r="L434" s="4">
        <f>Setup!$C$15</f>
        <v>1500</v>
      </c>
      <c r="M434" s="4" t="s">
        <v>36</v>
      </c>
      <c r="N434" s="4" t="str">
        <f t="shared" si="25"/>
        <v/>
      </c>
      <c r="O434" s="4" t="s">
        <v>40</v>
      </c>
      <c r="P434" s="4">
        <f>Setup!$C$13</f>
        <v>1200</v>
      </c>
      <c r="Q434" s="4" t="s">
        <v>37</v>
      </c>
      <c r="R434" s="4" t="str">
        <f t="shared" si="26"/>
        <v/>
      </c>
      <c r="S434" s="4" t="s">
        <v>41</v>
      </c>
      <c r="T434" s="4">
        <f>Setup!$C$14</f>
        <v>1200</v>
      </c>
      <c r="U434" s="4" t="str">
        <f t="shared" si="27"/>
        <v/>
      </c>
      <c r="V434" s="4"/>
    </row>
    <row r="435" spans="1:22" x14ac:dyDescent="0.25">
      <c r="A435" s="4"/>
      <c r="B435" s="4" t="str">
        <f>IFERROR(IF(A435&lt;&gt;"",VLOOKUP($A435,calculation!$A$10:$V$510,12),""),"")</f>
        <v/>
      </c>
      <c r="C435" s="4" t="str">
        <f>IFERROR(IF(A435&lt;&gt;"",VLOOKUP($A435,calculation!$A$10:$V$510,15),""),"")</f>
        <v/>
      </c>
      <c r="D435" s="4" t="str">
        <f>IFERROR(IF(A435&lt;&gt;"",VLOOKUP($A435,calculation!$A$10:$V$510,22),""),"")</f>
        <v/>
      </c>
      <c r="F435" s="4" t="s">
        <v>27</v>
      </c>
      <c r="G435" s="4">
        <f>MAX($G$9:G434)+1</f>
        <v>407</v>
      </c>
      <c r="H435" s="4" t="s">
        <v>34</v>
      </c>
      <c r="I435" s="4" t="s">
        <v>35</v>
      </c>
      <c r="J435" s="4" t="str">
        <f t="shared" si="24"/>
        <v/>
      </c>
      <c r="K435" s="4" t="s">
        <v>39</v>
      </c>
      <c r="L435" s="4">
        <f>Setup!$C$15</f>
        <v>1500</v>
      </c>
      <c r="M435" s="4" t="s">
        <v>36</v>
      </c>
      <c r="N435" s="4" t="str">
        <f t="shared" si="25"/>
        <v/>
      </c>
      <c r="O435" s="4" t="s">
        <v>40</v>
      </c>
      <c r="P435" s="4">
        <f>Setup!$C$13</f>
        <v>1200</v>
      </c>
      <c r="Q435" s="4" t="s">
        <v>37</v>
      </c>
      <c r="R435" s="4" t="str">
        <f t="shared" si="26"/>
        <v/>
      </c>
      <c r="S435" s="4" t="s">
        <v>41</v>
      </c>
      <c r="T435" s="4">
        <f>Setup!$C$14</f>
        <v>1200</v>
      </c>
      <c r="U435" s="4" t="str">
        <f t="shared" si="27"/>
        <v/>
      </c>
      <c r="V435" s="4"/>
    </row>
    <row r="436" spans="1:22" x14ac:dyDescent="0.25">
      <c r="A436" s="4"/>
      <c r="B436" s="4" t="str">
        <f>IFERROR(IF(A436&lt;&gt;"",VLOOKUP($A436,calculation!$A$10:$V$510,12),""),"")</f>
        <v/>
      </c>
      <c r="C436" s="4" t="str">
        <f>IFERROR(IF(A436&lt;&gt;"",VLOOKUP($A436,calculation!$A$10:$V$510,15),""),"")</f>
        <v/>
      </c>
      <c r="D436" s="4" t="str">
        <f>IFERROR(IF(A436&lt;&gt;"",VLOOKUP($A436,calculation!$A$10:$V$510,22),""),"")</f>
        <v/>
      </c>
      <c r="F436" s="4" t="s">
        <v>27</v>
      </c>
      <c r="G436" s="4">
        <f>MAX($G$9:G435)+1</f>
        <v>408</v>
      </c>
      <c r="H436" s="4" t="s">
        <v>34</v>
      </c>
      <c r="I436" s="4" t="s">
        <v>35</v>
      </c>
      <c r="J436" s="4" t="str">
        <f t="shared" si="24"/>
        <v/>
      </c>
      <c r="K436" s="4" t="s">
        <v>39</v>
      </c>
      <c r="L436" s="4">
        <f>Setup!$C$15</f>
        <v>1500</v>
      </c>
      <c r="M436" s="4" t="s">
        <v>36</v>
      </c>
      <c r="N436" s="4" t="str">
        <f t="shared" si="25"/>
        <v/>
      </c>
      <c r="O436" s="4" t="s">
        <v>40</v>
      </c>
      <c r="P436" s="4">
        <f>Setup!$C$13</f>
        <v>1200</v>
      </c>
      <c r="Q436" s="4" t="s">
        <v>37</v>
      </c>
      <c r="R436" s="4" t="str">
        <f t="shared" si="26"/>
        <v/>
      </c>
      <c r="S436" s="4" t="s">
        <v>41</v>
      </c>
      <c r="T436" s="4">
        <f>Setup!$C$14</f>
        <v>1200</v>
      </c>
      <c r="U436" s="4" t="str">
        <f t="shared" si="27"/>
        <v/>
      </c>
      <c r="V436" s="4"/>
    </row>
    <row r="437" spans="1:22" x14ac:dyDescent="0.25">
      <c r="A437" s="4"/>
      <c r="B437" s="4" t="str">
        <f>IFERROR(IF(A437&lt;&gt;"",VLOOKUP($A437,calculation!$A$10:$V$510,12),""),"")</f>
        <v/>
      </c>
      <c r="C437" s="4" t="str">
        <f>IFERROR(IF(A437&lt;&gt;"",VLOOKUP($A437,calculation!$A$10:$V$510,15),""),"")</f>
        <v/>
      </c>
      <c r="D437" s="4" t="str">
        <f>IFERROR(IF(A437&lt;&gt;"",VLOOKUP($A437,calculation!$A$10:$V$510,22),""),"")</f>
        <v/>
      </c>
      <c r="F437" s="4" t="s">
        <v>27</v>
      </c>
      <c r="G437" s="4">
        <f>MAX($G$9:G436)+1</f>
        <v>409</v>
      </c>
      <c r="H437" s="4" t="s">
        <v>34</v>
      </c>
      <c r="I437" s="4" t="s">
        <v>35</v>
      </c>
      <c r="J437" s="4" t="str">
        <f t="shared" si="24"/>
        <v/>
      </c>
      <c r="K437" s="4" t="s">
        <v>39</v>
      </c>
      <c r="L437" s="4">
        <f>Setup!$C$15</f>
        <v>1500</v>
      </c>
      <c r="M437" s="4" t="s">
        <v>36</v>
      </c>
      <c r="N437" s="4" t="str">
        <f t="shared" si="25"/>
        <v/>
      </c>
      <c r="O437" s="4" t="s">
        <v>40</v>
      </c>
      <c r="P437" s="4">
        <f>Setup!$C$13</f>
        <v>1200</v>
      </c>
      <c r="Q437" s="4" t="s">
        <v>37</v>
      </c>
      <c r="R437" s="4" t="str">
        <f t="shared" si="26"/>
        <v/>
      </c>
      <c r="S437" s="4" t="s">
        <v>41</v>
      </c>
      <c r="T437" s="4">
        <f>Setup!$C$14</f>
        <v>1200</v>
      </c>
      <c r="U437" s="4" t="str">
        <f t="shared" si="27"/>
        <v/>
      </c>
      <c r="V437" s="4"/>
    </row>
    <row r="438" spans="1:22" x14ac:dyDescent="0.25">
      <c r="A438" s="4"/>
      <c r="B438" s="4" t="str">
        <f>IFERROR(IF(A438&lt;&gt;"",VLOOKUP($A438,calculation!$A$10:$V$510,12),""),"")</f>
        <v/>
      </c>
      <c r="C438" s="4" t="str">
        <f>IFERROR(IF(A438&lt;&gt;"",VLOOKUP($A438,calculation!$A$10:$V$510,15),""),"")</f>
        <v/>
      </c>
      <c r="D438" s="4" t="str">
        <f>IFERROR(IF(A438&lt;&gt;"",VLOOKUP($A438,calculation!$A$10:$V$510,22),""),"")</f>
        <v/>
      </c>
      <c r="F438" s="4" t="s">
        <v>27</v>
      </c>
      <c r="G438" s="4">
        <f>MAX($G$9:G437)+1</f>
        <v>410</v>
      </c>
      <c r="H438" s="4" t="s">
        <v>34</v>
      </c>
      <c r="I438" s="4" t="s">
        <v>35</v>
      </c>
      <c r="J438" s="4" t="str">
        <f t="shared" si="24"/>
        <v/>
      </c>
      <c r="K438" s="4" t="s">
        <v>39</v>
      </c>
      <c r="L438" s="4">
        <f>Setup!$C$15</f>
        <v>1500</v>
      </c>
      <c r="M438" s="4" t="s">
        <v>36</v>
      </c>
      <c r="N438" s="4" t="str">
        <f t="shared" si="25"/>
        <v/>
      </c>
      <c r="O438" s="4" t="s">
        <v>40</v>
      </c>
      <c r="P438" s="4">
        <f>Setup!$C$13</f>
        <v>1200</v>
      </c>
      <c r="Q438" s="4" t="s">
        <v>37</v>
      </c>
      <c r="R438" s="4" t="str">
        <f t="shared" si="26"/>
        <v/>
      </c>
      <c r="S438" s="4" t="s">
        <v>41</v>
      </c>
      <c r="T438" s="4">
        <f>Setup!$C$14</f>
        <v>1200</v>
      </c>
      <c r="U438" s="4" t="str">
        <f t="shared" si="27"/>
        <v/>
      </c>
      <c r="V438" s="4"/>
    </row>
    <row r="439" spans="1:22" x14ac:dyDescent="0.25">
      <c r="A439" s="4"/>
      <c r="B439" s="4" t="str">
        <f>IFERROR(IF(A439&lt;&gt;"",VLOOKUP($A439,calculation!$A$10:$V$510,12),""),"")</f>
        <v/>
      </c>
      <c r="C439" s="4" t="str">
        <f>IFERROR(IF(A439&lt;&gt;"",VLOOKUP($A439,calculation!$A$10:$V$510,15),""),"")</f>
        <v/>
      </c>
      <c r="D439" s="4" t="str">
        <f>IFERROR(IF(A439&lt;&gt;"",VLOOKUP($A439,calculation!$A$10:$V$510,22),""),"")</f>
        <v/>
      </c>
      <c r="F439" s="4" t="s">
        <v>27</v>
      </c>
      <c r="G439" s="4">
        <f>MAX($G$9:G438)+1</f>
        <v>411</v>
      </c>
      <c r="H439" s="4" t="s">
        <v>34</v>
      </c>
      <c r="I439" s="4" t="s">
        <v>35</v>
      </c>
      <c r="J439" s="4" t="str">
        <f t="shared" si="24"/>
        <v/>
      </c>
      <c r="K439" s="4" t="s">
        <v>39</v>
      </c>
      <c r="L439" s="4">
        <f>Setup!$C$15</f>
        <v>1500</v>
      </c>
      <c r="M439" s="4" t="s">
        <v>36</v>
      </c>
      <c r="N439" s="4" t="str">
        <f t="shared" si="25"/>
        <v/>
      </c>
      <c r="O439" s="4" t="s">
        <v>40</v>
      </c>
      <c r="P439" s="4">
        <f>Setup!$C$13</f>
        <v>1200</v>
      </c>
      <c r="Q439" s="4" t="s">
        <v>37</v>
      </c>
      <c r="R439" s="4" t="str">
        <f t="shared" si="26"/>
        <v/>
      </c>
      <c r="S439" s="4" t="s">
        <v>41</v>
      </c>
      <c r="T439" s="4">
        <f>Setup!$C$14</f>
        <v>1200</v>
      </c>
      <c r="U439" s="4" t="str">
        <f t="shared" si="27"/>
        <v/>
      </c>
      <c r="V439" s="4"/>
    </row>
    <row r="440" spans="1:22" x14ac:dyDescent="0.25">
      <c r="A440" s="4"/>
      <c r="B440" s="4" t="str">
        <f>IFERROR(IF(A440&lt;&gt;"",VLOOKUP($A440,calculation!$A$10:$V$510,12),""),"")</f>
        <v/>
      </c>
      <c r="C440" s="4" t="str">
        <f>IFERROR(IF(A440&lt;&gt;"",VLOOKUP($A440,calculation!$A$10:$V$510,15),""),"")</f>
        <v/>
      </c>
      <c r="D440" s="4" t="str">
        <f>IFERROR(IF(A440&lt;&gt;"",VLOOKUP($A440,calculation!$A$10:$V$510,22),""),"")</f>
        <v/>
      </c>
      <c r="F440" s="4" t="s">
        <v>27</v>
      </c>
      <c r="G440" s="4">
        <f>MAX($G$9:G439)+1</f>
        <v>412</v>
      </c>
      <c r="H440" s="4" t="s">
        <v>34</v>
      </c>
      <c r="I440" s="4" t="s">
        <v>35</v>
      </c>
      <c r="J440" s="4" t="str">
        <f t="shared" si="24"/>
        <v/>
      </c>
      <c r="K440" s="4" t="s">
        <v>39</v>
      </c>
      <c r="L440" s="4">
        <f>Setup!$C$15</f>
        <v>1500</v>
      </c>
      <c r="M440" s="4" t="s">
        <v>36</v>
      </c>
      <c r="N440" s="4" t="str">
        <f t="shared" si="25"/>
        <v/>
      </c>
      <c r="O440" s="4" t="s">
        <v>40</v>
      </c>
      <c r="P440" s="4">
        <f>Setup!$C$13</f>
        <v>1200</v>
      </c>
      <c r="Q440" s="4" t="s">
        <v>37</v>
      </c>
      <c r="R440" s="4" t="str">
        <f t="shared" si="26"/>
        <v/>
      </c>
      <c r="S440" s="4" t="s">
        <v>41</v>
      </c>
      <c r="T440" s="4">
        <f>Setup!$C$14</f>
        <v>1200</v>
      </c>
      <c r="U440" s="4" t="str">
        <f t="shared" si="27"/>
        <v/>
      </c>
      <c r="V440" s="4"/>
    </row>
    <row r="441" spans="1:22" x14ac:dyDescent="0.25">
      <c r="A441" s="4"/>
      <c r="B441" s="4" t="str">
        <f>IFERROR(IF(A441&lt;&gt;"",VLOOKUP($A441,calculation!$A$10:$V$510,12),""),"")</f>
        <v/>
      </c>
      <c r="C441" s="4" t="str">
        <f>IFERROR(IF(A441&lt;&gt;"",VLOOKUP($A441,calculation!$A$10:$V$510,15),""),"")</f>
        <v/>
      </c>
      <c r="D441" s="4" t="str">
        <f>IFERROR(IF(A441&lt;&gt;"",VLOOKUP($A441,calculation!$A$10:$V$510,22),""),"")</f>
        <v/>
      </c>
      <c r="F441" s="4" t="s">
        <v>27</v>
      </c>
      <c r="G441" s="4">
        <f>MAX($G$9:G440)+1</f>
        <v>413</v>
      </c>
      <c r="H441" s="4" t="s">
        <v>34</v>
      </c>
      <c r="I441" s="4" t="s">
        <v>35</v>
      </c>
      <c r="J441" s="4" t="str">
        <f t="shared" si="24"/>
        <v/>
      </c>
      <c r="K441" s="4" t="s">
        <v>39</v>
      </c>
      <c r="L441" s="4">
        <f>Setup!$C$15</f>
        <v>1500</v>
      </c>
      <c r="M441" s="4" t="s">
        <v>36</v>
      </c>
      <c r="N441" s="4" t="str">
        <f t="shared" si="25"/>
        <v/>
      </c>
      <c r="O441" s="4" t="s">
        <v>40</v>
      </c>
      <c r="P441" s="4">
        <f>Setup!$C$13</f>
        <v>1200</v>
      </c>
      <c r="Q441" s="4" t="s">
        <v>37</v>
      </c>
      <c r="R441" s="4" t="str">
        <f t="shared" si="26"/>
        <v/>
      </c>
      <c r="S441" s="4" t="s">
        <v>41</v>
      </c>
      <c r="T441" s="4">
        <f>Setup!$C$14</f>
        <v>1200</v>
      </c>
      <c r="U441" s="4" t="str">
        <f t="shared" si="27"/>
        <v/>
      </c>
      <c r="V441" s="4"/>
    </row>
    <row r="442" spans="1:22" x14ac:dyDescent="0.25">
      <c r="A442" s="4"/>
      <c r="B442" s="4" t="str">
        <f>IFERROR(IF(A442&lt;&gt;"",VLOOKUP($A442,calculation!$A$10:$V$510,12),""),"")</f>
        <v/>
      </c>
      <c r="C442" s="4" t="str">
        <f>IFERROR(IF(A442&lt;&gt;"",VLOOKUP($A442,calculation!$A$10:$V$510,15),""),"")</f>
        <v/>
      </c>
      <c r="D442" s="4" t="str">
        <f>IFERROR(IF(A442&lt;&gt;"",VLOOKUP($A442,calculation!$A$10:$V$510,22),""),"")</f>
        <v/>
      </c>
      <c r="F442" s="4" t="s">
        <v>27</v>
      </c>
      <c r="G442" s="4">
        <f>MAX($G$9:G441)+1</f>
        <v>414</v>
      </c>
      <c r="H442" s="4" t="s">
        <v>34</v>
      </c>
      <c r="I442" s="4" t="s">
        <v>35</v>
      </c>
      <c r="J442" s="4" t="str">
        <f t="shared" si="24"/>
        <v/>
      </c>
      <c r="K442" s="4" t="s">
        <v>39</v>
      </c>
      <c r="L442" s="4">
        <f>Setup!$C$15</f>
        <v>1500</v>
      </c>
      <c r="M442" s="4" t="s">
        <v>36</v>
      </c>
      <c r="N442" s="4" t="str">
        <f t="shared" si="25"/>
        <v/>
      </c>
      <c r="O442" s="4" t="s">
        <v>40</v>
      </c>
      <c r="P442" s="4">
        <f>Setup!$C$13</f>
        <v>1200</v>
      </c>
      <c r="Q442" s="4" t="s">
        <v>37</v>
      </c>
      <c r="R442" s="4" t="str">
        <f t="shared" si="26"/>
        <v/>
      </c>
      <c r="S442" s="4" t="s">
        <v>41</v>
      </c>
      <c r="T442" s="4">
        <f>Setup!$C$14</f>
        <v>1200</v>
      </c>
      <c r="U442" s="4" t="str">
        <f t="shared" si="27"/>
        <v/>
      </c>
      <c r="V442" s="4"/>
    </row>
    <row r="443" spans="1:22" x14ac:dyDescent="0.25">
      <c r="A443" s="4"/>
      <c r="B443" s="4" t="str">
        <f>IFERROR(IF(A443&lt;&gt;"",VLOOKUP($A443,calculation!$A$10:$V$510,12),""),"")</f>
        <v/>
      </c>
      <c r="C443" s="4" t="str">
        <f>IFERROR(IF(A443&lt;&gt;"",VLOOKUP($A443,calculation!$A$10:$V$510,15),""),"")</f>
        <v/>
      </c>
      <c r="D443" s="4" t="str">
        <f>IFERROR(IF(A443&lt;&gt;"",VLOOKUP($A443,calculation!$A$10:$V$510,22),""),"")</f>
        <v/>
      </c>
      <c r="F443" s="4" t="s">
        <v>27</v>
      </c>
      <c r="G443" s="4">
        <f>MAX($G$9:G442)+1</f>
        <v>415</v>
      </c>
      <c r="H443" s="4" t="s">
        <v>34</v>
      </c>
      <c r="I443" s="4" t="s">
        <v>35</v>
      </c>
      <c r="J443" s="4" t="str">
        <f t="shared" si="24"/>
        <v/>
      </c>
      <c r="K443" s="4" t="s">
        <v>39</v>
      </c>
      <c r="L443" s="4">
        <f>Setup!$C$15</f>
        <v>1500</v>
      </c>
      <c r="M443" s="4" t="s">
        <v>36</v>
      </c>
      <c r="N443" s="4" t="str">
        <f t="shared" si="25"/>
        <v/>
      </c>
      <c r="O443" s="4" t="s">
        <v>40</v>
      </c>
      <c r="P443" s="4">
        <f>Setup!$C$13</f>
        <v>1200</v>
      </c>
      <c r="Q443" s="4" t="s">
        <v>37</v>
      </c>
      <c r="R443" s="4" t="str">
        <f t="shared" si="26"/>
        <v/>
      </c>
      <c r="S443" s="4" t="s">
        <v>41</v>
      </c>
      <c r="T443" s="4">
        <f>Setup!$C$14</f>
        <v>1200</v>
      </c>
      <c r="U443" s="4" t="str">
        <f t="shared" si="27"/>
        <v/>
      </c>
      <c r="V443" s="4"/>
    </row>
    <row r="444" spans="1:22" x14ac:dyDescent="0.25">
      <c r="A444" s="4"/>
      <c r="B444" s="4" t="str">
        <f>IFERROR(IF(A444&lt;&gt;"",VLOOKUP($A444,calculation!$A$10:$V$510,12),""),"")</f>
        <v/>
      </c>
      <c r="C444" s="4" t="str">
        <f>IFERROR(IF(A444&lt;&gt;"",VLOOKUP($A444,calculation!$A$10:$V$510,15),""),"")</f>
        <v/>
      </c>
      <c r="D444" s="4" t="str">
        <f>IFERROR(IF(A444&lt;&gt;"",VLOOKUP($A444,calculation!$A$10:$V$510,22),""),"")</f>
        <v/>
      </c>
      <c r="F444" s="4" t="s">
        <v>27</v>
      </c>
      <c r="G444" s="4">
        <f>MAX($G$9:G443)+1</f>
        <v>416</v>
      </c>
      <c r="H444" s="4" t="s">
        <v>34</v>
      </c>
      <c r="I444" s="4" t="s">
        <v>35</v>
      </c>
      <c r="J444" s="4" t="str">
        <f t="shared" si="24"/>
        <v/>
      </c>
      <c r="K444" s="4" t="s">
        <v>39</v>
      </c>
      <c r="L444" s="4">
        <f>Setup!$C$15</f>
        <v>1500</v>
      </c>
      <c r="M444" s="4" t="s">
        <v>36</v>
      </c>
      <c r="N444" s="4" t="str">
        <f t="shared" si="25"/>
        <v/>
      </c>
      <c r="O444" s="4" t="s">
        <v>40</v>
      </c>
      <c r="P444" s="4">
        <f>Setup!$C$13</f>
        <v>1200</v>
      </c>
      <c r="Q444" s="4" t="s">
        <v>37</v>
      </c>
      <c r="R444" s="4" t="str">
        <f t="shared" si="26"/>
        <v/>
      </c>
      <c r="S444" s="4" t="s">
        <v>41</v>
      </c>
      <c r="T444" s="4">
        <f>Setup!$C$14</f>
        <v>1200</v>
      </c>
      <c r="U444" s="4" t="str">
        <f t="shared" si="27"/>
        <v/>
      </c>
      <c r="V444" s="4"/>
    </row>
    <row r="445" spans="1:22" x14ac:dyDescent="0.25">
      <c r="A445" s="4"/>
      <c r="B445" s="4" t="str">
        <f>IFERROR(IF(A445&lt;&gt;"",VLOOKUP($A445,calculation!$A$10:$V$510,12),""),"")</f>
        <v/>
      </c>
      <c r="C445" s="4" t="str">
        <f>IFERROR(IF(A445&lt;&gt;"",VLOOKUP($A445,calculation!$A$10:$V$510,15),""),"")</f>
        <v/>
      </c>
      <c r="D445" s="4" t="str">
        <f>IFERROR(IF(A445&lt;&gt;"",VLOOKUP($A445,calculation!$A$10:$V$510,22),""),"")</f>
        <v/>
      </c>
      <c r="F445" s="4" t="s">
        <v>27</v>
      </c>
      <c r="G445" s="4">
        <f>MAX($G$9:G444)+1</f>
        <v>417</v>
      </c>
      <c r="H445" s="4" t="s">
        <v>34</v>
      </c>
      <c r="I445" s="4" t="s">
        <v>35</v>
      </c>
      <c r="J445" s="4" t="str">
        <f t="shared" si="24"/>
        <v/>
      </c>
      <c r="K445" s="4" t="s">
        <v>39</v>
      </c>
      <c r="L445" s="4">
        <f>Setup!$C$15</f>
        <v>1500</v>
      </c>
      <c r="M445" s="4" t="s">
        <v>36</v>
      </c>
      <c r="N445" s="4" t="str">
        <f t="shared" si="25"/>
        <v/>
      </c>
      <c r="O445" s="4" t="s">
        <v>40</v>
      </c>
      <c r="P445" s="4">
        <f>Setup!$C$13</f>
        <v>1200</v>
      </c>
      <c r="Q445" s="4" t="s">
        <v>37</v>
      </c>
      <c r="R445" s="4" t="str">
        <f t="shared" si="26"/>
        <v/>
      </c>
      <c r="S445" s="4" t="s">
        <v>41</v>
      </c>
      <c r="T445" s="4">
        <f>Setup!$C$14</f>
        <v>1200</v>
      </c>
      <c r="U445" s="4" t="str">
        <f t="shared" si="27"/>
        <v/>
      </c>
      <c r="V445" s="4"/>
    </row>
    <row r="446" spans="1:22" x14ac:dyDescent="0.25">
      <c r="A446" s="4"/>
      <c r="B446" s="4" t="str">
        <f>IFERROR(IF(A446&lt;&gt;"",VLOOKUP($A446,calculation!$A$10:$V$510,12),""),"")</f>
        <v/>
      </c>
      <c r="C446" s="4" t="str">
        <f>IFERROR(IF(A446&lt;&gt;"",VLOOKUP($A446,calculation!$A$10:$V$510,15),""),"")</f>
        <v/>
      </c>
      <c r="D446" s="4" t="str">
        <f>IFERROR(IF(A446&lt;&gt;"",VLOOKUP($A446,calculation!$A$10:$V$510,22),""),"")</f>
        <v/>
      </c>
      <c r="F446" s="4" t="s">
        <v>27</v>
      </c>
      <c r="G446" s="4">
        <f>MAX($G$9:G445)+1</f>
        <v>418</v>
      </c>
      <c r="H446" s="4" t="s">
        <v>34</v>
      </c>
      <c r="I446" s="4" t="s">
        <v>35</v>
      </c>
      <c r="J446" s="4" t="str">
        <f t="shared" si="24"/>
        <v/>
      </c>
      <c r="K446" s="4" t="s">
        <v>39</v>
      </c>
      <c r="L446" s="4">
        <f>Setup!$C$15</f>
        <v>1500</v>
      </c>
      <c r="M446" s="4" t="s">
        <v>36</v>
      </c>
      <c r="N446" s="4" t="str">
        <f t="shared" si="25"/>
        <v/>
      </c>
      <c r="O446" s="4" t="s">
        <v>40</v>
      </c>
      <c r="P446" s="4">
        <f>Setup!$C$13</f>
        <v>1200</v>
      </c>
      <c r="Q446" s="4" t="s">
        <v>37</v>
      </c>
      <c r="R446" s="4" t="str">
        <f t="shared" si="26"/>
        <v/>
      </c>
      <c r="S446" s="4" t="s">
        <v>41</v>
      </c>
      <c r="T446" s="4">
        <f>Setup!$C$14</f>
        <v>1200</v>
      </c>
      <c r="U446" s="4" t="str">
        <f t="shared" si="27"/>
        <v/>
      </c>
      <c r="V446" s="4"/>
    </row>
    <row r="447" spans="1:22" x14ac:dyDescent="0.25">
      <c r="A447" s="4"/>
      <c r="B447" s="4" t="str">
        <f>IFERROR(IF(A447&lt;&gt;"",VLOOKUP($A447,calculation!$A$10:$V$510,12),""),"")</f>
        <v/>
      </c>
      <c r="C447" s="4" t="str">
        <f>IFERROR(IF(A447&lt;&gt;"",VLOOKUP($A447,calculation!$A$10:$V$510,15),""),"")</f>
        <v/>
      </c>
      <c r="D447" s="4" t="str">
        <f>IFERROR(IF(A447&lt;&gt;"",VLOOKUP($A447,calculation!$A$10:$V$510,22),""),"")</f>
        <v/>
      </c>
      <c r="F447" s="4" t="s">
        <v>27</v>
      </c>
      <c r="G447" s="4">
        <f>MAX($G$9:G446)+1</f>
        <v>419</v>
      </c>
      <c r="H447" s="4" t="s">
        <v>34</v>
      </c>
      <c r="I447" s="4" t="s">
        <v>35</v>
      </c>
      <c r="J447" s="4" t="str">
        <f t="shared" si="24"/>
        <v/>
      </c>
      <c r="K447" s="4" t="s">
        <v>39</v>
      </c>
      <c r="L447" s="4">
        <f>Setup!$C$15</f>
        <v>1500</v>
      </c>
      <c r="M447" s="4" t="s">
        <v>36</v>
      </c>
      <c r="N447" s="4" t="str">
        <f t="shared" si="25"/>
        <v/>
      </c>
      <c r="O447" s="4" t="s">
        <v>40</v>
      </c>
      <c r="P447" s="4">
        <f>Setup!$C$13</f>
        <v>1200</v>
      </c>
      <c r="Q447" s="4" t="s">
        <v>37</v>
      </c>
      <c r="R447" s="4" t="str">
        <f t="shared" si="26"/>
        <v/>
      </c>
      <c r="S447" s="4" t="s">
        <v>41</v>
      </c>
      <c r="T447" s="4">
        <f>Setup!$C$14</f>
        <v>1200</v>
      </c>
      <c r="U447" s="4" t="str">
        <f t="shared" si="27"/>
        <v/>
      </c>
      <c r="V447" s="4"/>
    </row>
    <row r="448" spans="1:22" x14ac:dyDescent="0.25">
      <c r="A448" s="4"/>
      <c r="B448" s="4" t="str">
        <f>IFERROR(IF(A448&lt;&gt;"",VLOOKUP($A448,calculation!$A$10:$V$510,12),""),"")</f>
        <v/>
      </c>
      <c r="C448" s="4" t="str">
        <f>IFERROR(IF(A448&lt;&gt;"",VLOOKUP($A448,calculation!$A$10:$V$510,15),""),"")</f>
        <v/>
      </c>
      <c r="D448" s="4" t="str">
        <f>IFERROR(IF(A448&lt;&gt;"",VLOOKUP($A448,calculation!$A$10:$V$510,22),""),"")</f>
        <v/>
      </c>
      <c r="F448" s="4" t="s">
        <v>27</v>
      </c>
      <c r="G448" s="4">
        <f>MAX($G$9:G447)+1</f>
        <v>420</v>
      </c>
      <c r="H448" s="4" t="s">
        <v>34</v>
      </c>
      <c r="I448" s="4" t="s">
        <v>35</v>
      </c>
      <c r="J448" s="4" t="str">
        <f t="shared" si="24"/>
        <v/>
      </c>
      <c r="K448" s="4" t="s">
        <v>39</v>
      </c>
      <c r="L448" s="4">
        <f>Setup!$C$15</f>
        <v>1500</v>
      </c>
      <c r="M448" s="4" t="s">
        <v>36</v>
      </c>
      <c r="N448" s="4" t="str">
        <f t="shared" si="25"/>
        <v/>
      </c>
      <c r="O448" s="4" t="s">
        <v>40</v>
      </c>
      <c r="P448" s="4">
        <f>Setup!$C$13</f>
        <v>1200</v>
      </c>
      <c r="Q448" s="4" t="s">
        <v>37</v>
      </c>
      <c r="R448" s="4" t="str">
        <f t="shared" si="26"/>
        <v/>
      </c>
      <c r="S448" s="4" t="s">
        <v>41</v>
      </c>
      <c r="T448" s="4">
        <f>Setup!$C$14</f>
        <v>1200</v>
      </c>
      <c r="U448" s="4" t="str">
        <f t="shared" si="27"/>
        <v/>
      </c>
      <c r="V448" s="4"/>
    </row>
    <row r="449" spans="1:22" x14ac:dyDescent="0.25">
      <c r="A449" s="4"/>
      <c r="B449" s="4" t="str">
        <f>IFERROR(IF(A449&lt;&gt;"",VLOOKUP($A449,calculation!$A$10:$V$510,12),""),"")</f>
        <v/>
      </c>
      <c r="C449" s="4" t="str">
        <f>IFERROR(IF(A449&lt;&gt;"",VLOOKUP($A449,calculation!$A$10:$V$510,15),""),"")</f>
        <v/>
      </c>
      <c r="D449" s="4" t="str">
        <f>IFERROR(IF(A449&lt;&gt;"",VLOOKUP($A449,calculation!$A$10:$V$510,22),""),"")</f>
        <v/>
      </c>
      <c r="F449" s="4" t="s">
        <v>27</v>
      </c>
      <c r="G449" s="4">
        <f>MAX($G$9:G448)+1</f>
        <v>421</v>
      </c>
      <c r="H449" s="4" t="s">
        <v>34</v>
      </c>
      <c r="I449" s="4" t="s">
        <v>35</v>
      </c>
      <c r="J449" s="4" t="str">
        <f t="shared" si="24"/>
        <v/>
      </c>
      <c r="K449" s="4" t="s">
        <v>39</v>
      </c>
      <c r="L449" s="4">
        <f>Setup!$C$15</f>
        <v>1500</v>
      </c>
      <c r="M449" s="4" t="s">
        <v>36</v>
      </c>
      <c r="N449" s="4" t="str">
        <f t="shared" si="25"/>
        <v/>
      </c>
      <c r="O449" s="4" t="s">
        <v>40</v>
      </c>
      <c r="P449" s="4">
        <f>Setup!$C$13</f>
        <v>1200</v>
      </c>
      <c r="Q449" s="4" t="s">
        <v>37</v>
      </c>
      <c r="R449" s="4" t="str">
        <f t="shared" si="26"/>
        <v/>
      </c>
      <c r="S449" s="4" t="s">
        <v>41</v>
      </c>
      <c r="T449" s="4">
        <f>Setup!$C$14</f>
        <v>1200</v>
      </c>
      <c r="U449" s="4" t="str">
        <f t="shared" si="27"/>
        <v/>
      </c>
      <c r="V449" s="4"/>
    </row>
    <row r="450" spans="1:22" x14ac:dyDescent="0.25">
      <c r="A450" s="4"/>
      <c r="B450" s="4" t="str">
        <f>IFERROR(IF(A450&lt;&gt;"",VLOOKUP($A450,calculation!$A$10:$V$510,12),""),"")</f>
        <v/>
      </c>
      <c r="C450" s="4" t="str">
        <f>IFERROR(IF(A450&lt;&gt;"",VLOOKUP($A450,calculation!$A$10:$V$510,15),""),"")</f>
        <v/>
      </c>
      <c r="D450" s="4" t="str">
        <f>IFERROR(IF(A450&lt;&gt;"",VLOOKUP($A450,calculation!$A$10:$V$510,22),""),"")</f>
        <v/>
      </c>
      <c r="F450" s="4" t="s">
        <v>27</v>
      </c>
      <c r="G450" s="4">
        <f>MAX($G$9:G449)+1</f>
        <v>422</v>
      </c>
      <c r="H450" s="4" t="s">
        <v>34</v>
      </c>
      <c r="I450" s="4" t="s">
        <v>35</v>
      </c>
      <c r="J450" s="4" t="str">
        <f t="shared" si="24"/>
        <v/>
      </c>
      <c r="K450" s="4" t="s">
        <v>39</v>
      </c>
      <c r="L450" s="4">
        <f>Setup!$C$15</f>
        <v>1500</v>
      </c>
      <c r="M450" s="4" t="s">
        <v>36</v>
      </c>
      <c r="N450" s="4" t="str">
        <f t="shared" si="25"/>
        <v/>
      </c>
      <c r="O450" s="4" t="s">
        <v>40</v>
      </c>
      <c r="P450" s="4">
        <f>Setup!$C$13</f>
        <v>1200</v>
      </c>
      <c r="Q450" s="4" t="s">
        <v>37</v>
      </c>
      <c r="R450" s="4" t="str">
        <f t="shared" si="26"/>
        <v/>
      </c>
      <c r="S450" s="4" t="s">
        <v>41</v>
      </c>
      <c r="T450" s="4">
        <f>Setup!$C$14</f>
        <v>1200</v>
      </c>
      <c r="U450" s="4" t="str">
        <f t="shared" si="27"/>
        <v/>
      </c>
      <c r="V450" s="4"/>
    </row>
    <row r="451" spans="1:22" x14ac:dyDescent="0.25">
      <c r="A451" s="4"/>
      <c r="B451" s="4" t="str">
        <f>IFERROR(IF(A451&lt;&gt;"",VLOOKUP($A451,calculation!$A$10:$V$510,12),""),"")</f>
        <v/>
      </c>
      <c r="C451" s="4" t="str">
        <f>IFERROR(IF(A451&lt;&gt;"",VLOOKUP($A451,calculation!$A$10:$V$510,15),""),"")</f>
        <v/>
      </c>
      <c r="D451" s="4" t="str">
        <f>IFERROR(IF(A451&lt;&gt;"",VLOOKUP($A451,calculation!$A$10:$V$510,22),""),"")</f>
        <v/>
      </c>
      <c r="F451" s="4" t="s">
        <v>27</v>
      </c>
      <c r="G451" s="4">
        <f>MAX($G$9:G450)+1</f>
        <v>423</v>
      </c>
      <c r="H451" s="4" t="s">
        <v>34</v>
      </c>
      <c r="I451" s="4" t="s">
        <v>35</v>
      </c>
      <c r="J451" s="4" t="str">
        <f t="shared" si="24"/>
        <v/>
      </c>
      <c r="K451" s="4" t="s">
        <v>39</v>
      </c>
      <c r="L451" s="4">
        <f>Setup!$C$15</f>
        <v>1500</v>
      </c>
      <c r="M451" s="4" t="s">
        <v>36</v>
      </c>
      <c r="N451" s="4" t="str">
        <f t="shared" si="25"/>
        <v/>
      </c>
      <c r="O451" s="4" t="s">
        <v>40</v>
      </c>
      <c r="P451" s="4">
        <f>Setup!$C$13</f>
        <v>1200</v>
      </c>
      <c r="Q451" s="4" t="s">
        <v>37</v>
      </c>
      <c r="R451" s="4" t="str">
        <f t="shared" si="26"/>
        <v/>
      </c>
      <c r="S451" s="4" t="s">
        <v>41</v>
      </c>
      <c r="T451" s="4">
        <f>Setup!$C$14</f>
        <v>1200</v>
      </c>
      <c r="U451" s="4" t="str">
        <f t="shared" si="27"/>
        <v/>
      </c>
      <c r="V451" s="4"/>
    </row>
    <row r="452" spans="1:22" x14ac:dyDescent="0.25">
      <c r="A452" s="4"/>
      <c r="B452" s="4" t="str">
        <f>IFERROR(IF(A452&lt;&gt;"",VLOOKUP($A452,calculation!$A$10:$V$510,12),""),"")</f>
        <v/>
      </c>
      <c r="C452" s="4" t="str">
        <f>IFERROR(IF(A452&lt;&gt;"",VLOOKUP($A452,calculation!$A$10:$V$510,15),""),"")</f>
        <v/>
      </c>
      <c r="D452" s="4" t="str">
        <f>IFERROR(IF(A452&lt;&gt;"",VLOOKUP($A452,calculation!$A$10:$V$510,22),""),"")</f>
        <v/>
      </c>
      <c r="F452" s="4" t="s">
        <v>27</v>
      </c>
      <c r="G452" s="4">
        <f>MAX($G$9:G451)+1</f>
        <v>424</v>
      </c>
      <c r="H452" s="4" t="s">
        <v>34</v>
      </c>
      <c r="I452" s="4" t="s">
        <v>35</v>
      </c>
      <c r="J452" s="4" t="str">
        <f t="shared" si="24"/>
        <v/>
      </c>
      <c r="K452" s="4" t="s">
        <v>39</v>
      </c>
      <c r="L452" s="4">
        <f>Setup!$C$15</f>
        <v>1500</v>
      </c>
      <c r="M452" s="4" t="s">
        <v>36</v>
      </c>
      <c r="N452" s="4" t="str">
        <f t="shared" si="25"/>
        <v/>
      </c>
      <c r="O452" s="4" t="s">
        <v>40</v>
      </c>
      <c r="P452" s="4">
        <f>Setup!$C$13</f>
        <v>1200</v>
      </c>
      <c r="Q452" s="4" t="s">
        <v>37</v>
      </c>
      <c r="R452" s="4" t="str">
        <f t="shared" si="26"/>
        <v/>
      </c>
      <c r="S452" s="4" t="s">
        <v>41</v>
      </c>
      <c r="T452" s="4">
        <f>Setup!$C$14</f>
        <v>1200</v>
      </c>
      <c r="U452" s="4" t="str">
        <f t="shared" si="27"/>
        <v/>
      </c>
      <c r="V452" s="4"/>
    </row>
    <row r="453" spans="1:22" x14ac:dyDescent="0.25">
      <c r="A453" s="4"/>
      <c r="B453" s="4" t="str">
        <f>IFERROR(IF(A453&lt;&gt;"",VLOOKUP($A453,calculation!$A$10:$V$510,12),""),"")</f>
        <v/>
      </c>
      <c r="C453" s="4" t="str">
        <f>IFERROR(IF(A453&lt;&gt;"",VLOOKUP($A453,calculation!$A$10:$V$510,15),""),"")</f>
        <v/>
      </c>
      <c r="D453" s="4" t="str">
        <f>IFERROR(IF(A453&lt;&gt;"",VLOOKUP($A453,calculation!$A$10:$V$510,22),""),"")</f>
        <v/>
      </c>
      <c r="F453" s="4" t="s">
        <v>27</v>
      </c>
      <c r="G453" s="4">
        <f>MAX($G$9:G452)+1</f>
        <v>425</v>
      </c>
      <c r="H453" s="4" t="s">
        <v>34</v>
      </c>
      <c r="I453" s="4" t="s">
        <v>35</v>
      </c>
      <c r="J453" s="4" t="str">
        <f t="shared" si="24"/>
        <v/>
      </c>
      <c r="K453" s="4" t="s">
        <v>39</v>
      </c>
      <c r="L453" s="4">
        <f>Setup!$C$15</f>
        <v>1500</v>
      </c>
      <c r="M453" s="4" t="s">
        <v>36</v>
      </c>
      <c r="N453" s="4" t="str">
        <f t="shared" si="25"/>
        <v/>
      </c>
      <c r="O453" s="4" t="s">
        <v>40</v>
      </c>
      <c r="P453" s="4">
        <f>Setup!$C$13</f>
        <v>1200</v>
      </c>
      <c r="Q453" s="4" t="s">
        <v>37</v>
      </c>
      <c r="R453" s="4" t="str">
        <f t="shared" si="26"/>
        <v/>
      </c>
      <c r="S453" s="4" t="s">
        <v>41</v>
      </c>
      <c r="T453" s="4">
        <f>Setup!$C$14</f>
        <v>1200</v>
      </c>
      <c r="U453" s="4" t="str">
        <f t="shared" si="27"/>
        <v/>
      </c>
      <c r="V453" s="4"/>
    </row>
    <row r="454" spans="1:22" x14ac:dyDescent="0.25">
      <c r="A454" s="4"/>
      <c r="B454" s="4" t="str">
        <f>IFERROR(IF(A454&lt;&gt;"",VLOOKUP($A454,calculation!$A$10:$V$510,12),""),"")</f>
        <v/>
      </c>
      <c r="C454" s="4" t="str">
        <f>IFERROR(IF(A454&lt;&gt;"",VLOOKUP($A454,calculation!$A$10:$V$510,15),""),"")</f>
        <v/>
      </c>
      <c r="D454" s="4" t="str">
        <f>IFERROR(IF(A454&lt;&gt;"",VLOOKUP($A454,calculation!$A$10:$V$510,22),""),"")</f>
        <v/>
      </c>
      <c r="F454" s="4" t="s">
        <v>27</v>
      </c>
      <c r="G454" s="4">
        <f>MAX($G$9:G453)+1</f>
        <v>426</v>
      </c>
      <c r="H454" s="4" t="s">
        <v>34</v>
      </c>
      <c r="I454" s="4" t="s">
        <v>35</v>
      </c>
      <c r="J454" s="4" t="str">
        <f t="shared" si="24"/>
        <v/>
      </c>
      <c r="K454" s="4" t="s">
        <v>39</v>
      </c>
      <c r="L454" s="4">
        <f>Setup!$C$15</f>
        <v>1500</v>
      </c>
      <c r="M454" s="4" t="s">
        <v>36</v>
      </c>
      <c r="N454" s="4" t="str">
        <f t="shared" si="25"/>
        <v/>
      </c>
      <c r="O454" s="4" t="s">
        <v>40</v>
      </c>
      <c r="P454" s="4">
        <f>Setup!$C$13</f>
        <v>1200</v>
      </c>
      <c r="Q454" s="4" t="s">
        <v>37</v>
      </c>
      <c r="R454" s="4" t="str">
        <f t="shared" si="26"/>
        <v/>
      </c>
      <c r="S454" s="4" t="s">
        <v>41</v>
      </c>
      <c r="T454" s="4">
        <f>Setup!$C$14</f>
        <v>1200</v>
      </c>
      <c r="U454" s="4" t="str">
        <f t="shared" si="27"/>
        <v/>
      </c>
      <c r="V454" s="4"/>
    </row>
    <row r="455" spans="1:22" x14ac:dyDescent="0.25">
      <c r="A455" s="4"/>
      <c r="B455" s="4" t="str">
        <f>IFERROR(IF(A455&lt;&gt;"",VLOOKUP($A455,calculation!$A$10:$V$510,12),""),"")</f>
        <v/>
      </c>
      <c r="C455" s="4" t="str">
        <f>IFERROR(IF(A455&lt;&gt;"",VLOOKUP($A455,calculation!$A$10:$V$510,15),""),"")</f>
        <v/>
      </c>
      <c r="D455" s="4" t="str">
        <f>IFERROR(IF(A455&lt;&gt;"",VLOOKUP($A455,calculation!$A$10:$V$510,22),""),"")</f>
        <v/>
      </c>
      <c r="F455" s="4" t="s">
        <v>27</v>
      </c>
      <c r="G455" s="4">
        <f>MAX($G$9:G454)+1</f>
        <v>427</v>
      </c>
      <c r="H455" s="4" t="s">
        <v>34</v>
      </c>
      <c r="I455" s="4" t="s">
        <v>35</v>
      </c>
      <c r="J455" s="4" t="str">
        <f t="shared" si="24"/>
        <v/>
      </c>
      <c r="K455" s="4" t="s">
        <v>39</v>
      </c>
      <c r="L455" s="4">
        <f>Setup!$C$15</f>
        <v>1500</v>
      </c>
      <c r="M455" s="4" t="s">
        <v>36</v>
      </c>
      <c r="N455" s="4" t="str">
        <f t="shared" si="25"/>
        <v/>
      </c>
      <c r="O455" s="4" t="s">
        <v>40</v>
      </c>
      <c r="P455" s="4">
        <f>Setup!$C$13</f>
        <v>1200</v>
      </c>
      <c r="Q455" s="4" t="s">
        <v>37</v>
      </c>
      <c r="R455" s="4" t="str">
        <f t="shared" si="26"/>
        <v/>
      </c>
      <c r="S455" s="4" t="s">
        <v>41</v>
      </c>
      <c r="T455" s="4">
        <f>Setup!$C$14</f>
        <v>1200</v>
      </c>
      <c r="U455" s="4" t="str">
        <f t="shared" si="27"/>
        <v/>
      </c>
      <c r="V455" s="4"/>
    </row>
    <row r="456" spans="1:22" x14ac:dyDescent="0.25">
      <c r="A456" s="4"/>
      <c r="B456" s="4" t="str">
        <f>IFERROR(IF(A456&lt;&gt;"",VLOOKUP($A456,calculation!$A$10:$V$510,12),""),"")</f>
        <v/>
      </c>
      <c r="C456" s="4" t="str">
        <f>IFERROR(IF(A456&lt;&gt;"",VLOOKUP($A456,calculation!$A$10:$V$510,15),""),"")</f>
        <v/>
      </c>
      <c r="D456" s="4" t="str">
        <f>IFERROR(IF(A456&lt;&gt;"",VLOOKUP($A456,calculation!$A$10:$V$510,22),""),"")</f>
        <v/>
      </c>
      <c r="F456" s="4" t="s">
        <v>27</v>
      </c>
      <c r="G456" s="4">
        <f>MAX($G$9:G455)+1</f>
        <v>428</v>
      </c>
      <c r="H456" s="4" t="s">
        <v>34</v>
      </c>
      <c r="I456" s="4" t="s">
        <v>35</v>
      </c>
      <c r="J456" s="4" t="str">
        <f t="shared" si="24"/>
        <v/>
      </c>
      <c r="K456" s="4" t="s">
        <v>39</v>
      </c>
      <c r="L456" s="4">
        <f>Setup!$C$15</f>
        <v>1500</v>
      </c>
      <c r="M456" s="4" t="s">
        <v>36</v>
      </c>
      <c r="N456" s="4" t="str">
        <f t="shared" si="25"/>
        <v/>
      </c>
      <c r="O456" s="4" t="s">
        <v>40</v>
      </c>
      <c r="P456" s="4">
        <f>Setup!$C$13</f>
        <v>1200</v>
      </c>
      <c r="Q456" s="4" t="s">
        <v>37</v>
      </c>
      <c r="R456" s="4" t="str">
        <f t="shared" si="26"/>
        <v/>
      </c>
      <c r="S456" s="4" t="s">
        <v>41</v>
      </c>
      <c r="T456" s="4">
        <f>Setup!$C$14</f>
        <v>1200</v>
      </c>
      <c r="U456" s="4" t="str">
        <f t="shared" si="27"/>
        <v/>
      </c>
      <c r="V456" s="4"/>
    </row>
    <row r="457" spans="1:22" x14ac:dyDescent="0.25">
      <c r="A457" s="4"/>
      <c r="B457" s="4" t="str">
        <f>IFERROR(IF(A457&lt;&gt;"",VLOOKUP($A457,calculation!$A$10:$V$510,12),""),"")</f>
        <v/>
      </c>
      <c r="C457" s="4" t="str">
        <f>IFERROR(IF(A457&lt;&gt;"",VLOOKUP($A457,calculation!$A$10:$V$510,15),""),"")</f>
        <v/>
      </c>
      <c r="D457" s="4" t="str">
        <f>IFERROR(IF(A457&lt;&gt;"",VLOOKUP($A457,calculation!$A$10:$V$510,22),""),"")</f>
        <v/>
      </c>
      <c r="F457" s="4" t="s">
        <v>27</v>
      </c>
      <c r="G457" s="4">
        <f>MAX($G$9:G456)+1</f>
        <v>429</v>
      </c>
      <c r="H457" s="4" t="s">
        <v>34</v>
      </c>
      <c r="I457" s="4" t="s">
        <v>35</v>
      </c>
      <c r="J457" s="4" t="str">
        <f t="shared" si="24"/>
        <v/>
      </c>
      <c r="K457" s="4" t="s">
        <v>39</v>
      </c>
      <c r="L457" s="4">
        <f>Setup!$C$15</f>
        <v>1500</v>
      </c>
      <c r="M457" s="4" t="s">
        <v>36</v>
      </c>
      <c r="N457" s="4" t="str">
        <f t="shared" si="25"/>
        <v/>
      </c>
      <c r="O457" s="4" t="s">
        <v>40</v>
      </c>
      <c r="P457" s="4">
        <f>Setup!$C$13</f>
        <v>1200</v>
      </c>
      <c r="Q457" s="4" t="s">
        <v>37</v>
      </c>
      <c r="R457" s="4" t="str">
        <f t="shared" si="26"/>
        <v/>
      </c>
      <c r="S457" s="4" t="s">
        <v>41</v>
      </c>
      <c r="T457" s="4">
        <f>Setup!$C$14</f>
        <v>1200</v>
      </c>
      <c r="U457" s="4" t="str">
        <f t="shared" si="27"/>
        <v/>
      </c>
      <c r="V457" s="4"/>
    </row>
    <row r="458" spans="1:22" x14ac:dyDescent="0.25">
      <c r="A458" s="4"/>
      <c r="B458" s="4" t="str">
        <f>IFERROR(IF(A458&lt;&gt;"",VLOOKUP($A458,calculation!$A$10:$V$510,12),""),"")</f>
        <v/>
      </c>
      <c r="C458" s="4" t="str">
        <f>IFERROR(IF(A458&lt;&gt;"",VLOOKUP($A458,calculation!$A$10:$V$510,15),""),"")</f>
        <v/>
      </c>
      <c r="D458" s="4" t="str">
        <f>IFERROR(IF(A458&lt;&gt;"",VLOOKUP($A458,calculation!$A$10:$V$510,22),""),"")</f>
        <v/>
      </c>
      <c r="F458" s="4" t="s">
        <v>27</v>
      </c>
      <c r="G458" s="4">
        <f>MAX($G$9:G457)+1</f>
        <v>430</v>
      </c>
      <c r="H458" s="4" t="s">
        <v>34</v>
      </c>
      <c r="I458" s="4" t="s">
        <v>35</v>
      </c>
      <c r="J458" s="4" t="str">
        <f t="shared" si="24"/>
        <v/>
      </c>
      <c r="K458" s="4" t="s">
        <v>39</v>
      </c>
      <c r="L458" s="4">
        <f>Setup!$C$15</f>
        <v>1500</v>
      </c>
      <c r="M458" s="4" t="s">
        <v>36</v>
      </c>
      <c r="N458" s="4" t="str">
        <f t="shared" si="25"/>
        <v/>
      </c>
      <c r="O458" s="4" t="s">
        <v>40</v>
      </c>
      <c r="P458" s="4">
        <f>Setup!$C$13</f>
        <v>1200</v>
      </c>
      <c r="Q458" s="4" t="s">
        <v>37</v>
      </c>
      <c r="R458" s="4" t="str">
        <f t="shared" si="26"/>
        <v/>
      </c>
      <c r="S458" s="4" t="s">
        <v>41</v>
      </c>
      <c r="T458" s="4">
        <f>Setup!$C$14</f>
        <v>1200</v>
      </c>
      <c r="U458" s="4" t="str">
        <f t="shared" si="27"/>
        <v/>
      </c>
      <c r="V458" s="4"/>
    </row>
    <row r="459" spans="1:22" x14ac:dyDescent="0.25">
      <c r="A459" s="4"/>
      <c r="B459" s="4" t="str">
        <f>IFERROR(IF(A459&lt;&gt;"",VLOOKUP($A459,calculation!$A$10:$V$510,12),""),"")</f>
        <v/>
      </c>
      <c r="C459" s="4" t="str">
        <f>IFERROR(IF(A459&lt;&gt;"",VLOOKUP($A459,calculation!$A$10:$V$510,15),""),"")</f>
        <v/>
      </c>
      <c r="D459" s="4" t="str">
        <f>IFERROR(IF(A459&lt;&gt;"",VLOOKUP($A459,calculation!$A$10:$V$510,22),""),"")</f>
        <v/>
      </c>
      <c r="F459" s="4" t="s">
        <v>27</v>
      </c>
      <c r="G459" s="4">
        <f>MAX($G$9:G458)+1</f>
        <v>431</v>
      </c>
      <c r="H459" s="4" t="s">
        <v>34</v>
      </c>
      <c r="I459" s="4" t="s">
        <v>35</v>
      </c>
      <c r="J459" s="4" t="str">
        <f t="shared" si="24"/>
        <v/>
      </c>
      <c r="K459" s="4" t="s">
        <v>39</v>
      </c>
      <c r="L459" s="4">
        <f>Setup!$C$15</f>
        <v>1500</v>
      </c>
      <c r="M459" s="4" t="s">
        <v>36</v>
      </c>
      <c r="N459" s="4" t="str">
        <f t="shared" si="25"/>
        <v/>
      </c>
      <c r="O459" s="4" t="s">
        <v>40</v>
      </c>
      <c r="P459" s="4">
        <f>Setup!$C$13</f>
        <v>1200</v>
      </c>
      <c r="Q459" s="4" t="s">
        <v>37</v>
      </c>
      <c r="R459" s="4" t="str">
        <f t="shared" si="26"/>
        <v/>
      </c>
      <c r="S459" s="4" t="s">
        <v>41</v>
      </c>
      <c r="T459" s="4">
        <f>Setup!$C$14</f>
        <v>1200</v>
      </c>
      <c r="U459" s="4" t="str">
        <f t="shared" si="27"/>
        <v/>
      </c>
      <c r="V459" s="4"/>
    </row>
    <row r="460" spans="1:22" x14ac:dyDescent="0.25">
      <c r="A460" s="4"/>
      <c r="B460" s="4" t="str">
        <f>IFERROR(IF(A460&lt;&gt;"",VLOOKUP($A460,calculation!$A$10:$V$510,12),""),"")</f>
        <v/>
      </c>
      <c r="C460" s="4" t="str">
        <f>IFERROR(IF(A460&lt;&gt;"",VLOOKUP($A460,calculation!$A$10:$V$510,15),""),"")</f>
        <v/>
      </c>
      <c r="D460" s="4" t="str">
        <f>IFERROR(IF(A460&lt;&gt;"",VLOOKUP($A460,calculation!$A$10:$V$510,22),""),"")</f>
        <v/>
      </c>
      <c r="F460" s="4" t="s">
        <v>27</v>
      </c>
      <c r="G460" s="4">
        <f>MAX($G$9:G459)+1</f>
        <v>432</v>
      </c>
      <c r="H460" s="4" t="s">
        <v>34</v>
      </c>
      <c r="I460" s="4" t="s">
        <v>35</v>
      </c>
      <c r="J460" s="4" t="str">
        <f t="shared" si="24"/>
        <v/>
      </c>
      <c r="K460" s="4" t="s">
        <v>39</v>
      </c>
      <c r="L460" s="4">
        <f>Setup!$C$15</f>
        <v>1500</v>
      </c>
      <c r="M460" s="4" t="s">
        <v>36</v>
      </c>
      <c r="N460" s="4" t="str">
        <f t="shared" si="25"/>
        <v/>
      </c>
      <c r="O460" s="4" t="s">
        <v>40</v>
      </c>
      <c r="P460" s="4">
        <f>Setup!$C$13</f>
        <v>1200</v>
      </c>
      <c r="Q460" s="4" t="s">
        <v>37</v>
      </c>
      <c r="R460" s="4" t="str">
        <f t="shared" si="26"/>
        <v/>
      </c>
      <c r="S460" s="4" t="s">
        <v>41</v>
      </c>
      <c r="T460" s="4">
        <f>Setup!$C$14</f>
        <v>1200</v>
      </c>
      <c r="U460" s="4" t="str">
        <f t="shared" si="27"/>
        <v/>
      </c>
      <c r="V460" s="4"/>
    </row>
    <row r="461" spans="1:22" x14ac:dyDescent="0.25">
      <c r="A461" s="4"/>
      <c r="B461" s="4" t="str">
        <f>IFERROR(IF(A461&lt;&gt;"",VLOOKUP($A461,calculation!$A$10:$V$510,12),""),"")</f>
        <v/>
      </c>
      <c r="C461" s="4" t="str">
        <f>IFERROR(IF(A461&lt;&gt;"",VLOOKUP($A461,calculation!$A$10:$V$510,15),""),"")</f>
        <v/>
      </c>
      <c r="D461" s="4" t="str">
        <f>IFERROR(IF(A461&lt;&gt;"",VLOOKUP($A461,calculation!$A$10:$V$510,22),""),"")</f>
        <v/>
      </c>
      <c r="F461" s="4" t="s">
        <v>27</v>
      </c>
      <c r="G461" s="4">
        <f>MAX($G$9:G460)+1</f>
        <v>433</v>
      </c>
      <c r="H461" s="4" t="s">
        <v>34</v>
      </c>
      <c r="I461" s="4" t="s">
        <v>35</v>
      </c>
      <c r="J461" s="4" t="str">
        <f t="shared" si="24"/>
        <v/>
      </c>
      <c r="K461" s="4" t="s">
        <v>39</v>
      </c>
      <c r="L461" s="4">
        <f>Setup!$C$15</f>
        <v>1500</v>
      </c>
      <c r="M461" s="4" t="s">
        <v>36</v>
      </c>
      <c r="N461" s="4" t="str">
        <f t="shared" si="25"/>
        <v/>
      </c>
      <c r="O461" s="4" t="s">
        <v>40</v>
      </c>
      <c r="P461" s="4">
        <f>Setup!$C$13</f>
        <v>1200</v>
      </c>
      <c r="Q461" s="4" t="s">
        <v>37</v>
      </c>
      <c r="R461" s="4" t="str">
        <f t="shared" si="26"/>
        <v/>
      </c>
      <c r="S461" s="4" t="s">
        <v>41</v>
      </c>
      <c r="T461" s="4">
        <f>Setup!$C$14</f>
        <v>1200</v>
      </c>
      <c r="U461" s="4" t="str">
        <f t="shared" si="27"/>
        <v/>
      </c>
      <c r="V461" s="4"/>
    </row>
    <row r="462" spans="1:22" x14ac:dyDescent="0.25">
      <c r="A462" s="4"/>
      <c r="B462" s="4" t="str">
        <f>IFERROR(IF(A462&lt;&gt;"",VLOOKUP($A462,calculation!$A$10:$V$510,12),""),"")</f>
        <v/>
      </c>
      <c r="C462" s="4" t="str">
        <f>IFERROR(IF(A462&lt;&gt;"",VLOOKUP($A462,calculation!$A$10:$V$510,15),""),"")</f>
        <v/>
      </c>
      <c r="D462" s="4" t="str">
        <f>IFERROR(IF(A462&lt;&gt;"",VLOOKUP($A462,calculation!$A$10:$V$510,22),""),"")</f>
        <v/>
      </c>
      <c r="F462" s="4" t="s">
        <v>27</v>
      </c>
      <c r="G462" s="4">
        <f>MAX($G$9:G461)+1</f>
        <v>434</v>
      </c>
      <c r="H462" s="4" t="s">
        <v>34</v>
      </c>
      <c r="I462" s="4" t="s">
        <v>35</v>
      </c>
      <c r="J462" s="4" t="str">
        <f t="shared" si="24"/>
        <v/>
      </c>
      <c r="K462" s="4" t="s">
        <v>39</v>
      </c>
      <c r="L462" s="4">
        <f>Setup!$C$15</f>
        <v>1500</v>
      </c>
      <c r="M462" s="4" t="s">
        <v>36</v>
      </c>
      <c r="N462" s="4" t="str">
        <f t="shared" si="25"/>
        <v/>
      </c>
      <c r="O462" s="4" t="s">
        <v>40</v>
      </c>
      <c r="P462" s="4">
        <f>Setup!$C$13</f>
        <v>1200</v>
      </c>
      <c r="Q462" s="4" t="s">
        <v>37</v>
      </c>
      <c r="R462" s="4" t="str">
        <f t="shared" si="26"/>
        <v/>
      </c>
      <c r="S462" s="4" t="s">
        <v>41</v>
      </c>
      <c r="T462" s="4">
        <f>Setup!$C$14</f>
        <v>1200</v>
      </c>
      <c r="U462" s="4" t="str">
        <f t="shared" si="27"/>
        <v/>
      </c>
      <c r="V462" s="4"/>
    </row>
    <row r="463" spans="1:22" x14ac:dyDescent="0.25">
      <c r="A463" s="4"/>
      <c r="B463" s="4" t="str">
        <f>IFERROR(IF(A463&lt;&gt;"",VLOOKUP($A463,calculation!$A$10:$V$510,12),""),"")</f>
        <v/>
      </c>
      <c r="C463" s="4" t="str">
        <f>IFERROR(IF(A463&lt;&gt;"",VLOOKUP($A463,calculation!$A$10:$V$510,15),""),"")</f>
        <v/>
      </c>
      <c r="D463" s="4" t="str">
        <f>IFERROR(IF(A463&lt;&gt;"",VLOOKUP($A463,calculation!$A$10:$V$510,22),""),"")</f>
        <v/>
      </c>
      <c r="F463" s="4" t="s">
        <v>27</v>
      </c>
      <c r="G463" s="4">
        <f>MAX($G$9:G462)+1</f>
        <v>435</v>
      </c>
      <c r="H463" s="4" t="s">
        <v>34</v>
      </c>
      <c r="I463" s="4" t="s">
        <v>35</v>
      </c>
      <c r="J463" s="4" t="str">
        <f t="shared" si="24"/>
        <v/>
      </c>
      <c r="K463" s="4" t="s">
        <v>39</v>
      </c>
      <c r="L463" s="4">
        <f>Setup!$C$15</f>
        <v>1500</v>
      </c>
      <c r="M463" s="4" t="s">
        <v>36</v>
      </c>
      <c r="N463" s="4" t="str">
        <f t="shared" si="25"/>
        <v/>
      </c>
      <c r="O463" s="4" t="s">
        <v>40</v>
      </c>
      <c r="P463" s="4">
        <f>Setup!$C$13</f>
        <v>1200</v>
      </c>
      <c r="Q463" s="4" t="s">
        <v>37</v>
      </c>
      <c r="R463" s="4" t="str">
        <f t="shared" si="26"/>
        <v/>
      </c>
      <c r="S463" s="4" t="s">
        <v>41</v>
      </c>
      <c r="T463" s="4">
        <f>Setup!$C$14</f>
        <v>1200</v>
      </c>
      <c r="U463" s="4" t="str">
        <f t="shared" si="27"/>
        <v/>
      </c>
      <c r="V463" s="4"/>
    </row>
    <row r="464" spans="1:22" x14ac:dyDescent="0.25">
      <c r="A464" s="4"/>
      <c r="B464" s="4" t="str">
        <f>IFERROR(IF(A464&lt;&gt;"",VLOOKUP($A464,calculation!$A$10:$V$510,12),""),"")</f>
        <v/>
      </c>
      <c r="C464" s="4" t="str">
        <f>IFERROR(IF(A464&lt;&gt;"",VLOOKUP($A464,calculation!$A$10:$V$510,15),""),"")</f>
        <v/>
      </c>
      <c r="D464" s="4" t="str">
        <f>IFERROR(IF(A464&lt;&gt;"",VLOOKUP($A464,calculation!$A$10:$V$510,22),""),"")</f>
        <v/>
      </c>
      <c r="F464" s="4" t="s">
        <v>27</v>
      </c>
      <c r="G464" s="4">
        <f>MAX($G$9:G463)+1</f>
        <v>436</v>
      </c>
      <c r="H464" s="4" t="s">
        <v>34</v>
      </c>
      <c r="I464" s="4" t="s">
        <v>35</v>
      </c>
      <c r="J464" s="4" t="str">
        <f t="shared" si="24"/>
        <v/>
      </c>
      <c r="K464" s="4" t="s">
        <v>39</v>
      </c>
      <c r="L464" s="4">
        <f>Setup!$C$15</f>
        <v>1500</v>
      </c>
      <c r="M464" s="4" t="s">
        <v>36</v>
      </c>
      <c r="N464" s="4" t="str">
        <f t="shared" si="25"/>
        <v/>
      </c>
      <c r="O464" s="4" t="s">
        <v>40</v>
      </c>
      <c r="P464" s="4">
        <f>Setup!$C$13</f>
        <v>1200</v>
      </c>
      <c r="Q464" s="4" t="s">
        <v>37</v>
      </c>
      <c r="R464" s="4" t="str">
        <f t="shared" si="26"/>
        <v/>
      </c>
      <c r="S464" s="4" t="s">
        <v>41</v>
      </c>
      <c r="T464" s="4">
        <f>Setup!$C$14</f>
        <v>1200</v>
      </c>
      <c r="U464" s="4" t="str">
        <f t="shared" si="27"/>
        <v/>
      </c>
      <c r="V464" s="4"/>
    </row>
    <row r="465" spans="1:22" x14ac:dyDescent="0.25">
      <c r="A465" s="4"/>
      <c r="B465" s="4" t="str">
        <f>IFERROR(IF(A465&lt;&gt;"",VLOOKUP($A465,calculation!$A$10:$V$510,12),""),"")</f>
        <v/>
      </c>
      <c r="C465" s="4" t="str">
        <f>IFERROR(IF(A465&lt;&gt;"",VLOOKUP($A465,calculation!$A$10:$V$510,15),""),"")</f>
        <v/>
      </c>
      <c r="D465" s="4" t="str">
        <f>IFERROR(IF(A465&lt;&gt;"",VLOOKUP($A465,calculation!$A$10:$V$510,22),""),"")</f>
        <v/>
      </c>
      <c r="F465" s="4" t="s">
        <v>27</v>
      </c>
      <c r="G465" s="4">
        <f>MAX($G$9:G464)+1</f>
        <v>437</v>
      </c>
      <c r="H465" s="4" t="s">
        <v>34</v>
      </c>
      <c r="I465" s="4" t="s">
        <v>35</v>
      </c>
      <c r="J465" s="4" t="str">
        <f t="shared" si="24"/>
        <v/>
      </c>
      <c r="K465" s="4" t="s">
        <v>39</v>
      </c>
      <c r="L465" s="4">
        <f>Setup!$C$15</f>
        <v>1500</v>
      </c>
      <c r="M465" s="4" t="s">
        <v>36</v>
      </c>
      <c r="N465" s="4" t="str">
        <f t="shared" si="25"/>
        <v/>
      </c>
      <c r="O465" s="4" t="s">
        <v>40</v>
      </c>
      <c r="P465" s="4">
        <f>Setup!$C$13</f>
        <v>1200</v>
      </c>
      <c r="Q465" s="4" t="s">
        <v>37</v>
      </c>
      <c r="R465" s="4" t="str">
        <f t="shared" si="26"/>
        <v/>
      </c>
      <c r="S465" s="4" t="s">
        <v>41</v>
      </c>
      <c r="T465" s="4">
        <f>Setup!$C$14</f>
        <v>1200</v>
      </c>
      <c r="U465" s="4" t="str">
        <f t="shared" si="27"/>
        <v/>
      </c>
      <c r="V465" s="4"/>
    </row>
    <row r="466" spans="1:22" x14ac:dyDescent="0.25">
      <c r="A466" s="4"/>
      <c r="B466" s="4" t="str">
        <f>IFERROR(IF(A466&lt;&gt;"",VLOOKUP($A466,calculation!$A$10:$V$510,12),""),"")</f>
        <v/>
      </c>
      <c r="C466" s="4" t="str">
        <f>IFERROR(IF(A466&lt;&gt;"",VLOOKUP($A466,calculation!$A$10:$V$510,15),""),"")</f>
        <v/>
      </c>
      <c r="D466" s="4" t="str">
        <f>IFERROR(IF(A466&lt;&gt;"",VLOOKUP($A466,calculation!$A$10:$V$510,22),""),"")</f>
        <v/>
      </c>
      <c r="F466" s="4" t="s">
        <v>27</v>
      </c>
      <c r="G466" s="4">
        <f>MAX($G$9:G465)+1</f>
        <v>438</v>
      </c>
      <c r="H466" s="4" t="s">
        <v>34</v>
      </c>
      <c r="I466" s="4" t="s">
        <v>35</v>
      </c>
      <c r="J466" s="4" t="str">
        <f t="shared" si="24"/>
        <v/>
      </c>
      <c r="K466" s="4" t="s">
        <v>39</v>
      </c>
      <c r="L466" s="4">
        <f>Setup!$C$15</f>
        <v>1500</v>
      </c>
      <c r="M466" s="4" t="s">
        <v>36</v>
      </c>
      <c r="N466" s="4" t="str">
        <f t="shared" si="25"/>
        <v/>
      </c>
      <c r="O466" s="4" t="s">
        <v>40</v>
      </c>
      <c r="P466" s="4">
        <f>Setup!$C$13</f>
        <v>1200</v>
      </c>
      <c r="Q466" s="4" t="s">
        <v>37</v>
      </c>
      <c r="R466" s="4" t="str">
        <f t="shared" si="26"/>
        <v/>
      </c>
      <c r="S466" s="4" t="s">
        <v>41</v>
      </c>
      <c r="T466" s="4">
        <f>Setup!$C$14</f>
        <v>1200</v>
      </c>
      <c r="U466" s="4" t="str">
        <f t="shared" si="27"/>
        <v/>
      </c>
      <c r="V466" s="4"/>
    </row>
    <row r="467" spans="1:22" x14ac:dyDescent="0.25">
      <c r="A467" s="4"/>
      <c r="B467" s="4" t="str">
        <f>IFERROR(IF(A467&lt;&gt;"",VLOOKUP($A467,calculation!$A$10:$V$510,12),""),"")</f>
        <v/>
      </c>
      <c r="C467" s="4" t="str">
        <f>IFERROR(IF(A467&lt;&gt;"",VLOOKUP($A467,calculation!$A$10:$V$510,15),""),"")</f>
        <v/>
      </c>
      <c r="D467" s="4" t="str">
        <f>IFERROR(IF(A467&lt;&gt;"",VLOOKUP($A467,calculation!$A$10:$V$510,22),""),"")</f>
        <v/>
      </c>
      <c r="F467" s="4" t="s">
        <v>27</v>
      </c>
      <c r="G467" s="4">
        <f>MAX($G$9:G466)+1</f>
        <v>439</v>
      </c>
      <c r="H467" s="4" t="s">
        <v>34</v>
      </c>
      <c r="I467" s="4" t="s">
        <v>35</v>
      </c>
      <c r="J467" s="4" t="str">
        <f t="shared" si="24"/>
        <v/>
      </c>
      <c r="K467" s="4" t="s">
        <v>39</v>
      </c>
      <c r="L467" s="4">
        <f>Setup!$C$15</f>
        <v>1500</v>
      </c>
      <c r="M467" s="4" t="s">
        <v>36</v>
      </c>
      <c r="N467" s="4" t="str">
        <f t="shared" si="25"/>
        <v/>
      </c>
      <c r="O467" s="4" t="s">
        <v>40</v>
      </c>
      <c r="P467" s="4">
        <f>Setup!$C$13</f>
        <v>1200</v>
      </c>
      <c r="Q467" s="4" t="s">
        <v>37</v>
      </c>
      <c r="R467" s="4" t="str">
        <f t="shared" si="26"/>
        <v/>
      </c>
      <c r="S467" s="4" t="s">
        <v>41</v>
      </c>
      <c r="T467" s="4">
        <f>Setup!$C$14</f>
        <v>1200</v>
      </c>
      <c r="U467" s="4" t="str">
        <f t="shared" si="27"/>
        <v/>
      </c>
      <c r="V467" s="4"/>
    </row>
    <row r="468" spans="1:22" x14ac:dyDescent="0.25">
      <c r="A468" s="4"/>
      <c r="B468" s="4" t="str">
        <f>IFERROR(IF(A468&lt;&gt;"",VLOOKUP($A468,calculation!$A$10:$V$510,12),""),"")</f>
        <v/>
      </c>
      <c r="C468" s="4" t="str">
        <f>IFERROR(IF(A468&lt;&gt;"",VLOOKUP($A468,calculation!$A$10:$V$510,15),""),"")</f>
        <v/>
      </c>
      <c r="D468" s="4" t="str">
        <f>IFERROR(IF(A468&lt;&gt;"",VLOOKUP($A468,calculation!$A$10:$V$510,22),""),"")</f>
        <v/>
      </c>
      <c r="F468" s="4" t="s">
        <v>27</v>
      </c>
      <c r="G468" s="4">
        <f>MAX($G$9:G467)+1</f>
        <v>440</v>
      </c>
      <c r="H468" s="4" t="s">
        <v>34</v>
      </c>
      <c r="I468" s="4" t="s">
        <v>35</v>
      </c>
      <c r="J468" s="4" t="str">
        <f t="shared" si="24"/>
        <v/>
      </c>
      <c r="K468" s="4" t="s">
        <v>39</v>
      </c>
      <c r="L468" s="4">
        <f>Setup!$C$15</f>
        <v>1500</v>
      </c>
      <c r="M468" s="4" t="s">
        <v>36</v>
      </c>
      <c r="N468" s="4" t="str">
        <f t="shared" si="25"/>
        <v/>
      </c>
      <c r="O468" s="4" t="s">
        <v>40</v>
      </c>
      <c r="P468" s="4">
        <f>Setup!$C$13</f>
        <v>1200</v>
      </c>
      <c r="Q468" s="4" t="s">
        <v>37</v>
      </c>
      <c r="R468" s="4" t="str">
        <f t="shared" si="26"/>
        <v/>
      </c>
      <c r="S468" s="4" t="s">
        <v>41</v>
      </c>
      <c r="T468" s="4">
        <f>Setup!$C$14</f>
        <v>1200</v>
      </c>
      <c r="U468" s="4" t="str">
        <f t="shared" si="27"/>
        <v/>
      </c>
      <c r="V468" s="4"/>
    </row>
    <row r="469" spans="1:22" x14ac:dyDescent="0.25">
      <c r="A469" s="4"/>
      <c r="B469" s="4" t="str">
        <f>IFERROR(IF(A469&lt;&gt;"",VLOOKUP($A469,calculation!$A$10:$V$510,12),""),"")</f>
        <v/>
      </c>
      <c r="C469" s="4" t="str">
        <f>IFERROR(IF(A469&lt;&gt;"",VLOOKUP($A469,calculation!$A$10:$V$510,15),""),"")</f>
        <v/>
      </c>
      <c r="D469" s="4" t="str">
        <f>IFERROR(IF(A469&lt;&gt;"",VLOOKUP($A469,calculation!$A$10:$V$510,22),""),"")</f>
        <v/>
      </c>
      <c r="F469" s="4" t="s">
        <v>27</v>
      </c>
      <c r="G469" s="4">
        <f>MAX($G$9:G468)+1</f>
        <v>441</v>
      </c>
      <c r="H469" s="4" t="s">
        <v>34</v>
      </c>
      <c r="I469" s="4" t="s">
        <v>35</v>
      </c>
      <c r="J469" s="4" t="str">
        <f t="shared" si="24"/>
        <v/>
      </c>
      <c r="K469" s="4" t="s">
        <v>39</v>
      </c>
      <c r="L469" s="4">
        <f>Setup!$C$15</f>
        <v>1500</v>
      </c>
      <c r="M469" s="4" t="s">
        <v>36</v>
      </c>
      <c r="N469" s="4" t="str">
        <f t="shared" si="25"/>
        <v/>
      </c>
      <c r="O469" s="4" t="s">
        <v>40</v>
      </c>
      <c r="P469" s="4">
        <f>Setup!$C$13</f>
        <v>1200</v>
      </c>
      <c r="Q469" s="4" t="s">
        <v>37</v>
      </c>
      <c r="R469" s="4" t="str">
        <f t="shared" si="26"/>
        <v/>
      </c>
      <c r="S469" s="4" t="s">
        <v>41</v>
      </c>
      <c r="T469" s="4">
        <f>Setup!$C$14</f>
        <v>1200</v>
      </c>
      <c r="U469" s="4" t="str">
        <f t="shared" si="27"/>
        <v/>
      </c>
      <c r="V469" s="4"/>
    </row>
    <row r="470" spans="1:22" x14ac:dyDescent="0.25">
      <c r="A470" s="4"/>
      <c r="B470" s="4" t="str">
        <f>IFERROR(IF(A470&lt;&gt;"",VLOOKUP($A470,calculation!$A$10:$V$510,12),""),"")</f>
        <v/>
      </c>
      <c r="C470" s="4" t="str">
        <f>IFERROR(IF(A470&lt;&gt;"",VLOOKUP($A470,calculation!$A$10:$V$510,15),""),"")</f>
        <v/>
      </c>
      <c r="D470" s="4" t="str">
        <f>IFERROR(IF(A470&lt;&gt;"",VLOOKUP($A470,calculation!$A$10:$V$510,22),""),"")</f>
        <v/>
      </c>
      <c r="F470" s="4" t="s">
        <v>27</v>
      </c>
      <c r="G470" s="4">
        <f>MAX($G$9:G469)+1</f>
        <v>442</v>
      </c>
      <c r="H470" s="4" t="s">
        <v>34</v>
      </c>
      <c r="I470" s="4" t="s">
        <v>35</v>
      </c>
      <c r="J470" s="4" t="str">
        <f t="shared" si="24"/>
        <v/>
      </c>
      <c r="K470" s="4" t="s">
        <v>39</v>
      </c>
      <c r="L470" s="4">
        <f>Setup!$C$15</f>
        <v>1500</v>
      </c>
      <c r="M470" s="4" t="s">
        <v>36</v>
      </c>
      <c r="N470" s="4" t="str">
        <f t="shared" si="25"/>
        <v/>
      </c>
      <c r="O470" s="4" t="s">
        <v>40</v>
      </c>
      <c r="P470" s="4">
        <f>Setup!$C$13</f>
        <v>1200</v>
      </c>
      <c r="Q470" s="4" t="s">
        <v>37</v>
      </c>
      <c r="R470" s="4" t="str">
        <f t="shared" si="26"/>
        <v/>
      </c>
      <c r="S470" s="4" t="s">
        <v>41</v>
      </c>
      <c r="T470" s="4">
        <f>Setup!$C$14</f>
        <v>1200</v>
      </c>
      <c r="U470" s="4" t="str">
        <f t="shared" si="27"/>
        <v/>
      </c>
      <c r="V470" s="4"/>
    </row>
    <row r="471" spans="1:22" x14ac:dyDescent="0.25">
      <c r="A471" s="4"/>
      <c r="B471" s="4" t="str">
        <f>IFERROR(IF(A471&lt;&gt;"",VLOOKUP($A471,calculation!$A$10:$V$510,12),""),"")</f>
        <v/>
      </c>
      <c r="C471" s="4" t="str">
        <f>IFERROR(IF(A471&lt;&gt;"",VLOOKUP($A471,calculation!$A$10:$V$510,15),""),"")</f>
        <v/>
      </c>
      <c r="D471" s="4" t="str">
        <f>IFERROR(IF(A471&lt;&gt;"",VLOOKUP($A471,calculation!$A$10:$V$510,22),""),"")</f>
        <v/>
      </c>
      <c r="F471" s="4" t="s">
        <v>27</v>
      </c>
      <c r="G471" s="4">
        <f>MAX($G$9:G470)+1</f>
        <v>443</v>
      </c>
      <c r="H471" s="4" t="s">
        <v>34</v>
      </c>
      <c r="I471" s="4" t="s">
        <v>35</v>
      </c>
      <c r="J471" s="4" t="str">
        <f t="shared" si="24"/>
        <v/>
      </c>
      <c r="K471" s="4" t="s">
        <v>39</v>
      </c>
      <c r="L471" s="4">
        <f>Setup!$C$15</f>
        <v>1500</v>
      </c>
      <c r="M471" s="4" t="s">
        <v>36</v>
      </c>
      <c r="N471" s="4" t="str">
        <f t="shared" si="25"/>
        <v/>
      </c>
      <c r="O471" s="4" t="s">
        <v>40</v>
      </c>
      <c r="P471" s="4">
        <f>Setup!$C$13</f>
        <v>1200</v>
      </c>
      <c r="Q471" s="4" t="s">
        <v>37</v>
      </c>
      <c r="R471" s="4" t="str">
        <f t="shared" si="26"/>
        <v/>
      </c>
      <c r="S471" s="4" t="s">
        <v>41</v>
      </c>
      <c r="T471" s="4">
        <f>Setup!$C$14</f>
        <v>1200</v>
      </c>
      <c r="U471" s="4" t="str">
        <f t="shared" si="27"/>
        <v/>
      </c>
      <c r="V471" s="4"/>
    </row>
    <row r="472" spans="1:22" x14ac:dyDescent="0.25">
      <c r="A472" s="4"/>
      <c r="B472" s="4" t="str">
        <f>IFERROR(IF(A472&lt;&gt;"",VLOOKUP($A472,calculation!$A$10:$V$510,12),""),"")</f>
        <v/>
      </c>
      <c r="C472" s="4" t="str">
        <f>IFERROR(IF(A472&lt;&gt;"",VLOOKUP($A472,calculation!$A$10:$V$510,15),""),"")</f>
        <v/>
      </c>
      <c r="D472" s="4" t="str">
        <f>IFERROR(IF(A472&lt;&gt;"",VLOOKUP($A472,calculation!$A$10:$V$510,22),""),"")</f>
        <v/>
      </c>
      <c r="F472" s="4" t="s">
        <v>27</v>
      </c>
      <c r="G472" s="4">
        <f>MAX($G$9:G471)+1</f>
        <v>444</v>
      </c>
      <c r="H472" s="4" t="s">
        <v>34</v>
      </c>
      <c r="I472" s="4" t="s">
        <v>35</v>
      </c>
      <c r="J472" s="4" t="str">
        <f t="shared" si="24"/>
        <v/>
      </c>
      <c r="K472" s="4" t="s">
        <v>39</v>
      </c>
      <c r="L472" s="4">
        <f>Setup!$C$15</f>
        <v>1500</v>
      </c>
      <c r="M472" s="4" t="s">
        <v>36</v>
      </c>
      <c r="N472" s="4" t="str">
        <f t="shared" si="25"/>
        <v/>
      </c>
      <c r="O472" s="4" t="s">
        <v>40</v>
      </c>
      <c r="P472" s="4">
        <f>Setup!$C$13</f>
        <v>1200</v>
      </c>
      <c r="Q472" s="4" t="s">
        <v>37</v>
      </c>
      <c r="R472" s="4" t="str">
        <f t="shared" si="26"/>
        <v/>
      </c>
      <c r="S472" s="4" t="s">
        <v>41</v>
      </c>
      <c r="T472" s="4">
        <f>Setup!$C$14</f>
        <v>1200</v>
      </c>
      <c r="U472" s="4" t="str">
        <f t="shared" si="27"/>
        <v/>
      </c>
      <c r="V472" s="4"/>
    </row>
    <row r="473" spans="1:22" x14ac:dyDescent="0.25">
      <c r="A473" s="4"/>
      <c r="B473" s="4" t="str">
        <f>IFERROR(IF(A473&lt;&gt;"",VLOOKUP($A473,calculation!$A$10:$V$510,12),""),"")</f>
        <v/>
      </c>
      <c r="C473" s="4" t="str">
        <f>IFERROR(IF(A473&lt;&gt;"",VLOOKUP($A473,calculation!$A$10:$V$510,15),""),"")</f>
        <v/>
      </c>
      <c r="D473" s="4" t="str">
        <f>IFERROR(IF(A473&lt;&gt;"",VLOOKUP($A473,calculation!$A$10:$V$510,22),""),"")</f>
        <v/>
      </c>
      <c r="F473" s="4" t="s">
        <v>27</v>
      </c>
      <c r="G473" s="4">
        <f>MAX($G$9:G472)+1</f>
        <v>445</v>
      </c>
      <c r="H473" s="4" t="s">
        <v>34</v>
      </c>
      <c r="I473" s="4" t="s">
        <v>35</v>
      </c>
      <c r="J473" s="4" t="str">
        <f t="shared" si="24"/>
        <v/>
      </c>
      <c r="K473" s="4" t="s">
        <v>39</v>
      </c>
      <c r="L473" s="4">
        <f>Setup!$C$15</f>
        <v>1500</v>
      </c>
      <c r="M473" s="4" t="s">
        <v>36</v>
      </c>
      <c r="N473" s="4" t="str">
        <f t="shared" si="25"/>
        <v/>
      </c>
      <c r="O473" s="4" t="s">
        <v>40</v>
      </c>
      <c r="P473" s="4">
        <f>Setup!$C$13</f>
        <v>1200</v>
      </c>
      <c r="Q473" s="4" t="s">
        <v>37</v>
      </c>
      <c r="R473" s="4" t="str">
        <f t="shared" si="26"/>
        <v/>
      </c>
      <c r="S473" s="4" t="s">
        <v>41</v>
      </c>
      <c r="T473" s="4">
        <f>Setup!$C$14</f>
        <v>1200</v>
      </c>
      <c r="U473" s="4" t="str">
        <f t="shared" si="27"/>
        <v/>
      </c>
      <c r="V473" s="4"/>
    </row>
    <row r="474" spans="1:22" x14ac:dyDescent="0.25">
      <c r="A474" s="4"/>
      <c r="B474" s="4" t="str">
        <f>IFERROR(IF(A474&lt;&gt;"",VLOOKUP($A474,calculation!$A$10:$V$510,12),""),"")</f>
        <v/>
      </c>
      <c r="C474" s="4" t="str">
        <f>IFERROR(IF(A474&lt;&gt;"",VLOOKUP($A474,calculation!$A$10:$V$510,15),""),"")</f>
        <v/>
      </c>
      <c r="D474" s="4" t="str">
        <f>IFERROR(IF(A474&lt;&gt;"",VLOOKUP($A474,calculation!$A$10:$V$510,22),""),"")</f>
        <v/>
      </c>
      <c r="F474" s="4" t="s">
        <v>27</v>
      </c>
      <c r="G474" s="4">
        <f>MAX($G$9:G473)+1</f>
        <v>446</v>
      </c>
      <c r="H474" s="4" t="s">
        <v>34</v>
      </c>
      <c r="I474" s="4" t="s">
        <v>35</v>
      </c>
      <c r="J474" s="4" t="str">
        <f t="shared" si="24"/>
        <v/>
      </c>
      <c r="K474" s="4" t="s">
        <v>39</v>
      </c>
      <c r="L474" s="4">
        <f>Setup!$C$15</f>
        <v>1500</v>
      </c>
      <c r="M474" s="4" t="s">
        <v>36</v>
      </c>
      <c r="N474" s="4" t="str">
        <f t="shared" si="25"/>
        <v/>
      </c>
      <c r="O474" s="4" t="s">
        <v>40</v>
      </c>
      <c r="P474" s="4">
        <f>Setup!$C$13</f>
        <v>1200</v>
      </c>
      <c r="Q474" s="4" t="s">
        <v>37</v>
      </c>
      <c r="R474" s="4" t="str">
        <f t="shared" si="26"/>
        <v/>
      </c>
      <c r="S474" s="4" t="s">
        <v>41</v>
      </c>
      <c r="T474" s="4">
        <f>Setup!$C$14</f>
        <v>1200</v>
      </c>
      <c r="U474" s="4" t="str">
        <f t="shared" si="27"/>
        <v/>
      </c>
      <c r="V474" s="4"/>
    </row>
    <row r="475" spans="1:22" x14ac:dyDescent="0.25">
      <c r="A475" s="4"/>
      <c r="B475" s="4" t="str">
        <f>IFERROR(IF(A475&lt;&gt;"",VLOOKUP($A475,calculation!$A$10:$V$510,12),""),"")</f>
        <v/>
      </c>
      <c r="C475" s="4" t="str">
        <f>IFERROR(IF(A475&lt;&gt;"",VLOOKUP($A475,calculation!$A$10:$V$510,15),""),"")</f>
        <v/>
      </c>
      <c r="D475" s="4" t="str">
        <f>IFERROR(IF(A475&lt;&gt;"",VLOOKUP($A475,calculation!$A$10:$V$510,22),""),"")</f>
        <v/>
      </c>
      <c r="F475" s="4" t="s">
        <v>27</v>
      </c>
      <c r="G475" s="4">
        <f>MAX($G$9:G474)+1</f>
        <v>447</v>
      </c>
      <c r="H475" s="4" t="s">
        <v>34</v>
      </c>
      <c r="I475" s="4" t="s">
        <v>35</v>
      </c>
      <c r="J475" s="4" t="str">
        <f t="shared" si="24"/>
        <v/>
      </c>
      <c r="K475" s="4" t="s">
        <v>39</v>
      </c>
      <c r="L475" s="4">
        <f>Setup!$C$15</f>
        <v>1500</v>
      </c>
      <c r="M475" s="4" t="s">
        <v>36</v>
      </c>
      <c r="N475" s="4" t="str">
        <f t="shared" si="25"/>
        <v/>
      </c>
      <c r="O475" s="4" t="s">
        <v>40</v>
      </c>
      <c r="P475" s="4">
        <f>Setup!$C$13</f>
        <v>1200</v>
      </c>
      <c r="Q475" s="4" t="s">
        <v>37</v>
      </c>
      <c r="R475" s="4" t="str">
        <f t="shared" si="26"/>
        <v/>
      </c>
      <c r="S475" s="4" t="s">
        <v>41</v>
      </c>
      <c r="T475" s="4">
        <f>Setup!$C$14</f>
        <v>1200</v>
      </c>
      <c r="U475" s="4" t="str">
        <f t="shared" si="27"/>
        <v/>
      </c>
      <c r="V475" s="4"/>
    </row>
    <row r="476" spans="1:22" x14ac:dyDescent="0.25">
      <c r="A476" s="4"/>
      <c r="B476" s="4" t="str">
        <f>IFERROR(IF(A476&lt;&gt;"",VLOOKUP($A476,calculation!$A$10:$V$510,12),""),"")</f>
        <v/>
      </c>
      <c r="C476" s="4" t="str">
        <f>IFERROR(IF(A476&lt;&gt;"",VLOOKUP($A476,calculation!$A$10:$V$510,15),""),"")</f>
        <v/>
      </c>
      <c r="D476" s="4" t="str">
        <f>IFERROR(IF(A476&lt;&gt;"",VLOOKUP($A476,calculation!$A$10:$V$510,22),""),"")</f>
        <v/>
      </c>
      <c r="F476" s="4" t="s">
        <v>27</v>
      </c>
      <c r="G476" s="4">
        <f>MAX($G$9:G475)+1</f>
        <v>448</v>
      </c>
      <c r="H476" s="4" t="s">
        <v>34</v>
      </c>
      <c r="I476" s="4" t="s">
        <v>35</v>
      </c>
      <c r="J476" s="4" t="str">
        <f t="shared" si="24"/>
        <v/>
      </c>
      <c r="K476" s="4" t="s">
        <v>39</v>
      </c>
      <c r="L476" s="4">
        <f>Setup!$C$15</f>
        <v>1500</v>
      </c>
      <c r="M476" s="4" t="s">
        <v>36</v>
      </c>
      <c r="N476" s="4" t="str">
        <f t="shared" si="25"/>
        <v/>
      </c>
      <c r="O476" s="4" t="s">
        <v>40</v>
      </c>
      <c r="P476" s="4">
        <f>Setup!$C$13</f>
        <v>1200</v>
      </c>
      <c r="Q476" s="4" t="s">
        <v>37</v>
      </c>
      <c r="R476" s="4" t="str">
        <f t="shared" si="26"/>
        <v/>
      </c>
      <c r="S476" s="4" t="s">
        <v>41</v>
      </c>
      <c r="T476" s="4">
        <f>Setup!$C$14</f>
        <v>1200</v>
      </c>
      <c r="U476" s="4" t="str">
        <f t="shared" si="27"/>
        <v/>
      </c>
      <c r="V476" s="4"/>
    </row>
    <row r="477" spans="1:22" x14ac:dyDescent="0.25">
      <c r="A477" s="4"/>
      <c r="B477" s="4" t="str">
        <f>IFERROR(IF(A477&lt;&gt;"",VLOOKUP($A477,calculation!$A$10:$V$510,12),""),"")</f>
        <v/>
      </c>
      <c r="C477" s="4" t="str">
        <f>IFERROR(IF(A477&lt;&gt;"",VLOOKUP($A477,calculation!$A$10:$V$510,15),""),"")</f>
        <v/>
      </c>
      <c r="D477" s="4" t="str">
        <f>IFERROR(IF(A477&lt;&gt;"",VLOOKUP($A477,calculation!$A$10:$V$510,22),""),"")</f>
        <v/>
      </c>
      <c r="F477" s="4" t="s">
        <v>27</v>
      </c>
      <c r="G477" s="4">
        <f>MAX($G$9:G476)+1</f>
        <v>449</v>
      </c>
      <c r="H477" s="4" t="s">
        <v>34</v>
      </c>
      <c r="I477" s="4" t="s">
        <v>35</v>
      </c>
      <c r="J477" s="4" t="str">
        <f t="shared" si="24"/>
        <v/>
      </c>
      <c r="K477" s="4" t="s">
        <v>39</v>
      </c>
      <c r="L477" s="4">
        <f>Setup!$C$15</f>
        <v>1500</v>
      </c>
      <c r="M477" s="4" t="s">
        <v>36</v>
      </c>
      <c r="N477" s="4" t="str">
        <f t="shared" si="25"/>
        <v/>
      </c>
      <c r="O477" s="4" t="s">
        <v>40</v>
      </c>
      <c r="P477" s="4">
        <f>Setup!$C$13</f>
        <v>1200</v>
      </c>
      <c r="Q477" s="4" t="s">
        <v>37</v>
      </c>
      <c r="R477" s="4" t="str">
        <f t="shared" si="26"/>
        <v/>
      </c>
      <c r="S477" s="4" t="s">
        <v>41</v>
      </c>
      <c r="T477" s="4">
        <f>Setup!$C$14</f>
        <v>1200</v>
      </c>
      <c r="U477" s="4" t="str">
        <f t="shared" si="27"/>
        <v/>
      </c>
      <c r="V477" s="4"/>
    </row>
    <row r="478" spans="1:22" x14ac:dyDescent="0.25">
      <c r="A478" s="4"/>
      <c r="B478" s="4" t="str">
        <f>IFERROR(IF(A478&lt;&gt;"",VLOOKUP($A478,calculation!$A$10:$V$510,12),""),"")</f>
        <v/>
      </c>
      <c r="C478" s="4" t="str">
        <f>IFERROR(IF(A478&lt;&gt;"",VLOOKUP($A478,calculation!$A$10:$V$510,15),""),"")</f>
        <v/>
      </c>
      <c r="D478" s="4" t="str">
        <f>IFERROR(IF(A478&lt;&gt;"",VLOOKUP($A478,calculation!$A$10:$V$510,22),""),"")</f>
        <v/>
      </c>
      <c r="F478" s="4" t="s">
        <v>27</v>
      </c>
      <c r="G478" s="4">
        <f>MAX($G$9:G477)+1</f>
        <v>450</v>
      </c>
      <c r="H478" s="4" t="s">
        <v>34</v>
      </c>
      <c r="I478" s="4" t="s">
        <v>35</v>
      </c>
      <c r="J478" s="4" t="str">
        <f t="shared" si="24"/>
        <v/>
      </c>
      <c r="K478" s="4" t="s">
        <v>39</v>
      </c>
      <c r="L478" s="4">
        <f>Setup!$C$15</f>
        <v>1500</v>
      </c>
      <c r="M478" s="4" t="s">
        <v>36</v>
      </c>
      <c r="N478" s="4" t="str">
        <f t="shared" si="25"/>
        <v/>
      </c>
      <c r="O478" s="4" t="s">
        <v>40</v>
      </c>
      <c r="P478" s="4">
        <f>Setup!$C$13</f>
        <v>1200</v>
      </c>
      <c r="Q478" s="4" t="s">
        <v>37</v>
      </c>
      <c r="R478" s="4" t="str">
        <f t="shared" si="26"/>
        <v/>
      </c>
      <c r="S478" s="4" t="s">
        <v>41</v>
      </c>
      <c r="T478" s="4">
        <f>Setup!$C$14</f>
        <v>1200</v>
      </c>
      <c r="U478" s="4" t="str">
        <f t="shared" si="27"/>
        <v/>
      </c>
      <c r="V478" s="4"/>
    </row>
    <row r="479" spans="1:22" x14ac:dyDescent="0.25">
      <c r="A479" s="4"/>
      <c r="B479" s="4" t="str">
        <f>IFERROR(IF(A479&lt;&gt;"",VLOOKUP($A479,calculation!$A$10:$V$510,12),""),"")</f>
        <v/>
      </c>
      <c r="C479" s="4" t="str">
        <f>IFERROR(IF(A479&lt;&gt;"",VLOOKUP($A479,calculation!$A$10:$V$510,15),""),"")</f>
        <v/>
      </c>
      <c r="D479" s="4" t="str">
        <f>IFERROR(IF(A479&lt;&gt;"",VLOOKUP($A479,calculation!$A$10:$V$510,22),""),"")</f>
        <v/>
      </c>
      <c r="F479" s="4" t="s">
        <v>27</v>
      </c>
      <c r="G479" s="4">
        <f>MAX($G$9:G478)+1</f>
        <v>451</v>
      </c>
      <c r="H479" s="4" t="s">
        <v>34</v>
      </c>
      <c r="I479" s="4" t="s">
        <v>35</v>
      </c>
      <c r="J479" s="4" t="str">
        <f t="shared" si="24"/>
        <v/>
      </c>
      <c r="K479" s="4" t="s">
        <v>39</v>
      </c>
      <c r="L479" s="4">
        <f>Setup!$C$15</f>
        <v>1500</v>
      </c>
      <c r="M479" s="4" t="s">
        <v>36</v>
      </c>
      <c r="N479" s="4" t="str">
        <f t="shared" si="25"/>
        <v/>
      </c>
      <c r="O479" s="4" t="s">
        <v>40</v>
      </c>
      <c r="P479" s="4">
        <f>Setup!$C$13</f>
        <v>1200</v>
      </c>
      <c r="Q479" s="4" t="s">
        <v>37</v>
      </c>
      <c r="R479" s="4" t="str">
        <f t="shared" si="26"/>
        <v/>
      </c>
      <c r="S479" s="4" t="s">
        <v>41</v>
      </c>
      <c r="T479" s="4">
        <f>Setup!$C$14</f>
        <v>1200</v>
      </c>
      <c r="U479" s="4" t="str">
        <f t="shared" si="27"/>
        <v/>
      </c>
      <c r="V479" s="4"/>
    </row>
    <row r="480" spans="1:22" x14ac:dyDescent="0.25">
      <c r="A480" s="4"/>
      <c r="B480" s="4" t="str">
        <f>IFERROR(IF(A480&lt;&gt;"",VLOOKUP($A480,calculation!$A$10:$V$510,12),""),"")</f>
        <v/>
      </c>
      <c r="C480" s="4" t="str">
        <f>IFERROR(IF(A480&lt;&gt;"",VLOOKUP($A480,calculation!$A$10:$V$510,15),""),"")</f>
        <v/>
      </c>
      <c r="D480" s="4" t="str">
        <f>IFERROR(IF(A480&lt;&gt;"",VLOOKUP($A480,calculation!$A$10:$V$510,22),""),"")</f>
        <v/>
      </c>
      <c r="F480" s="4" t="s">
        <v>27</v>
      </c>
      <c r="G480" s="4">
        <f>MAX($G$9:G479)+1</f>
        <v>452</v>
      </c>
      <c r="H480" s="4" t="s">
        <v>34</v>
      </c>
      <c r="I480" s="4" t="s">
        <v>35</v>
      </c>
      <c r="J480" s="4" t="str">
        <f t="shared" ref="J480:J511" si="28">B480</f>
        <v/>
      </c>
      <c r="K480" s="4" t="s">
        <v>39</v>
      </c>
      <c r="L480" s="4">
        <f>Setup!$C$15</f>
        <v>1500</v>
      </c>
      <c r="M480" s="4" t="s">
        <v>36</v>
      </c>
      <c r="N480" s="4" t="str">
        <f t="shared" ref="N480:N511" si="29">C480</f>
        <v/>
      </c>
      <c r="O480" s="4" t="s">
        <v>40</v>
      </c>
      <c r="P480" s="4">
        <f>Setup!$C$13</f>
        <v>1200</v>
      </c>
      <c r="Q480" s="4" t="s">
        <v>37</v>
      </c>
      <c r="R480" s="4" t="str">
        <f t="shared" ref="R480:R511" si="30">D480</f>
        <v/>
      </c>
      <c r="S480" s="4" t="s">
        <v>41</v>
      </c>
      <c r="T480" s="4">
        <f>Setup!$C$14</f>
        <v>1200</v>
      </c>
      <c r="U480" s="4" t="str">
        <f t="shared" ref="U480:U511" si="31">IF(A480&lt;&gt;"",F480&amp;G480&amp;" "&amp;H480&amp;" "&amp;I480&amp;J480&amp;" "&amp;K480&amp;L480&amp;" "&amp;M480&amp;N480&amp;" "&amp;O480&amp;P480&amp;" "&amp;Q480&amp;R480&amp;" "&amp;S480&amp;T480,"")</f>
        <v/>
      </c>
      <c r="V480" s="4"/>
    </row>
    <row r="481" spans="1:22" x14ac:dyDescent="0.25">
      <c r="A481" s="4"/>
      <c r="B481" s="4" t="str">
        <f>IFERROR(IF(A481&lt;&gt;"",VLOOKUP($A481,calculation!$A$10:$V$510,12),""),"")</f>
        <v/>
      </c>
      <c r="C481" s="4" t="str">
        <f>IFERROR(IF(A481&lt;&gt;"",VLOOKUP($A481,calculation!$A$10:$V$510,15),""),"")</f>
        <v/>
      </c>
      <c r="D481" s="4" t="str">
        <f>IFERROR(IF(A481&lt;&gt;"",VLOOKUP($A481,calculation!$A$10:$V$510,22),""),"")</f>
        <v/>
      </c>
      <c r="F481" s="4" t="s">
        <v>27</v>
      </c>
      <c r="G481" s="4">
        <f>MAX($G$9:G480)+1</f>
        <v>453</v>
      </c>
      <c r="H481" s="4" t="s">
        <v>34</v>
      </c>
      <c r="I481" s="4" t="s">
        <v>35</v>
      </c>
      <c r="J481" s="4" t="str">
        <f t="shared" si="28"/>
        <v/>
      </c>
      <c r="K481" s="4" t="s">
        <v>39</v>
      </c>
      <c r="L481" s="4">
        <f>Setup!$C$15</f>
        <v>1500</v>
      </c>
      <c r="M481" s="4" t="s">
        <v>36</v>
      </c>
      <c r="N481" s="4" t="str">
        <f t="shared" si="29"/>
        <v/>
      </c>
      <c r="O481" s="4" t="s">
        <v>40</v>
      </c>
      <c r="P481" s="4">
        <f>Setup!$C$13</f>
        <v>1200</v>
      </c>
      <c r="Q481" s="4" t="s">
        <v>37</v>
      </c>
      <c r="R481" s="4" t="str">
        <f t="shared" si="30"/>
        <v/>
      </c>
      <c r="S481" s="4" t="s">
        <v>41</v>
      </c>
      <c r="T481" s="4">
        <f>Setup!$C$14</f>
        <v>1200</v>
      </c>
      <c r="U481" s="4" t="str">
        <f t="shared" si="31"/>
        <v/>
      </c>
      <c r="V481" s="4"/>
    </row>
    <row r="482" spans="1:22" x14ac:dyDescent="0.25">
      <c r="A482" s="4"/>
      <c r="B482" s="4" t="str">
        <f>IFERROR(IF(A482&lt;&gt;"",VLOOKUP($A482,calculation!$A$10:$V$510,12),""),"")</f>
        <v/>
      </c>
      <c r="C482" s="4" t="str">
        <f>IFERROR(IF(A482&lt;&gt;"",VLOOKUP($A482,calculation!$A$10:$V$510,15),""),"")</f>
        <v/>
      </c>
      <c r="D482" s="4" t="str">
        <f>IFERROR(IF(A482&lt;&gt;"",VLOOKUP($A482,calculation!$A$10:$V$510,22),""),"")</f>
        <v/>
      </c>
      <c r="F482" s="4" t="s">
        <v>27</v>
      </c>
      <c r="G482" s="4">
        <f>MAX($G$9:G481)+1</f>
        <v>454</v>
      </c>
      <c r="H482" s="4" t="s">
        <v>34</v>
      </c>
      <c r="I482" s="4" t="s">
        <v>35</v>
      </c>
      <c r="J482" s="4" t="str">
        <f t="shared" si="28"/>
        <v/>
      </c>
      <c r="K482" s="4" t="s">
        <v>39</v>
      </c>
      <c r="L482" s="4">
        <f>Setup!$C$15</f>
        <v>1500</v>
      </c>
      <c r="M482" s="4" t="s">
        <v>36</v>
      </c>
      <c r="N482" s="4" t="str">
        <f t="shared" si="29"/>
        <v/>
      </c>
      <c r="O482" s="4" t="s">
        <v>40</v>
      </c>
      <c r="P482" s="4">
        <f>Setup!$C$13</f>
        <v>1200</v>
      </c>
      <c r="Q482" s="4" t="s">
        <v>37</v>
      </c>
      <c r="R482" s="4" t="str">
        <f t="shared" si="30"/>
        <v/>
      </c>
      <c r="S482" s="4" t="s">
        <v>41</v>
      </c>
      <c r="T482" s="4">
        <f>Setup!$C$14</f>
        <v>1200</v>
      </c>
      <c r="U482" s="4" t="str">
        <f t="shared" si="31"/>
        <v/>
      </c>
      <c r="V482" s="4"/>
    </row>
    <row r="483" spans="1:22" x14ac:dyDescent="0.25">
      <c r="A483" s="4"/>
      <c r="B483" s="4" t="str">
        <f>IFERROR(IF(A483&lt;&gt;"",VLOOKUP($A483,calculation!$A$10:$V$510,12),""),"")</f>
        <v/>
      </c>
      <c r="C483" s="4" t="str">
        <f>IFERROR(IF(A483&lt;&gt;"",VLOOKUP($A483,calculation!$A$10:$V$510,15),""),"")</f>
        <v/>
      </c>
      <c r="D483" s="4" t="str">
        <f>IFERROR(IF(A483&lt;&gt;"",VLOOKUP($A483,calculation!$A$10:$V$510,22),""),"")</f>
        <v/>
      </c>
      <c r="F483" s="4" t="s">
        <v>27</v>
      </c>
      <c r="G483" s="4">
        <f>MAX($G$9:G482)+1</f>
        <v>455</v>
      </c>
      <c r="H483" s="4" t="s">
        <v>34</v>
      </c>
      <c r="I483" s="4" t="s">
        <v>35</v>
      </c>
      <c r="J483" s="4" t="str">
        <f t="shared" si="28"/>
        <v/>
      </c>
      <c r="K483" s="4" t="s">
        <v>39</v>
      </c>
      <c r="L483" s="4">
        <f>Setup!$C$15</f>
        <v>1500</v>
      </c>
      <c r="M483" s="4" t="s">
        <v>36</v>
      </c>
      <c r="N483" s="4" t="str">
        <f t="shared" si="29"/>
        <v/>
      </c>
      <c r="O483" s="4" t="s">
        <v>40</v>
      </c>
      <c r="P483" s="4">
        <f>Setup!$C$13</f>
        <v>1200</v>
      </c>
      <c r="Q483" s="4" t="s">
        <v>37</v>
      </c>
      <c r="R483" s="4" t="str">
        <f t="shared" si="30"/>
        <v/>
      </c>
      <c r="S483" s="4" t="s">
        <v>41</v>
      </c>
      <c r="T483" s="4">
        <f>Setup!$C$14</f>
        <v>1200</v>
      </c>
      <c r="U483" s="4" t="str">
        <f t="shared" si="31"/>
        <v/>
      </c>
      <c r="V483" s="4"/>
    </row>
    <row r="484" spans="1:22" x14ac:dyDescent="0.25">
      <c r="A484" s="4"/>
      <c r="B484" s="4" t="str">
        <f>IFERROR(IF(A484&lt;&gt;"",VLOOKUP($A484,calculation!$A$10:$V$510,12),""),"")</f>
        <v/>
      </c>
      <c r="C484" s="4" t="str">
        <f>IFERROR(IF(A484&lt;&gt;"",VLOOKUP($A484,calculation!$A$10:$V$510,15),""),"")</f>
        <v/>
      </c>
      <c r="D484" s="4" t="str">
        <f>IFERROR(IF(A484&lt;&gt;"",VLOOKUP($A484,calculation!$A$10:$V$510,22),""),"")</f>
        <v/>
      </c>
      <c r="F484" s="4" t="s">
        <v>27</v>
      </c>
      <c r="G484" s="4">
        <f>MAX($G$9:G483)+1</f>
        <v>456</v>
      </c>
      <c r="H484" s="4" t="s">
        <v>34</v>
      </c>
      <c r="I484" s="4" t="s">
        <v>35</v>
      </c>
      <c r="J484" s="4" t="str">
        <f t="shared" si="28"/>
        <v/>
      </c>
      <c r="K484" s="4" t="s">
        <v>39</v>
      </c>
      <c r="L484" s="4">
        <f>Setup!$C$15</f>
        <v>1500</v>
      </c>
      <c r="M484" s="4" t="s">
        <v>36</v>
      </c>
      <c r="N484" s="4" t="str">
        <f t="shared" si="29"/>
        <v/>
      </c>
      <c r="O484" s="4" t="s">
        <v>40</v>
      </c>
      <c r="P484" s="4">
        <f>Setup!$C$13</f>
        <v>1200</v>
      </c>
      <c r="Q484" s="4" t="s">
        <v>37</v>
      </c>
      <c r="R484" s="4" t="str">
        <f t="shared" si="30"/>
        <v/>
      </c>
      <c r="S484" s="4" t="s">
        <v>41</v>
      </c>
      <c r="T484" s="4">
        <f>Setup!$C$14</f>
        <v>1200</v>
      </c>
      <c r="U484" s="4" t="str">
        <f t="shared" si="31"/>
        <v/>
      </c>
      <c r="V484" s="4"/>
    </row>
    <row r="485" spans="1:22" x14ac:dyDescent="0.25">
      <c r="A485" s="4"/>
      <c r="B485" s="4" t="str">
        <f>IFERROR(IF(A485&lt;&gt;"",VLOOKUP($A485,calculation!$A$10:$V$510,12),""),"")</f>
        <v/>
      </c>
      <c r="C485" s="4" t="str">
        <f>IFERROR(IF(A485&lt;&gt;"",VLOOKUP($A485,calculation!$A$10:$V$510,15),""),"")</f>
        <v/>
      </c>
      <c r="D485" s="4" t="str">
        <f>IFERROR(IF(A485&lt;&gt;"",VLOOKUP($A485,calculation!$A$10:$V$510,22),""),"")</f>
        <v/>
      </c>
      <c r="F485" s="4" t="s">
        <v>27</v>
      </c>
      <c r="G485" s="4">
        <f>MAX($G$9:G484)+1</f>
        <v>457</v>
      </c>
      <c r="H485" s="4" t="s">
        <v>34</v>
      </c>
      <c r="I485" s="4" t="s">
        <v>35</v>
      </c>
      <c r="J485" s="4" t="str">
        <f t="shared" si="28"/>
        <v/>
      </c>
      <c r="K485" s="4" t="s">
        <v>39</v>
      </c>
      <c r="L485" s="4">
        <f>Setup!$C$15</f>
        <v>1500</v>
      </c>
      <c r="M485" s="4" t="s">
        <v>36</v>
      </c>
      <c r="N485" s="4" t="str">
        <f t="shared" si="29"/>
        <v/>
      </c>
      <c r="O485" s="4" t="s">
        <v>40</v>
      </c>
      <c r="P485" s="4">
        <f>Setup!$C$13</f>
        <v>1200</v>
      </c>
      <c r="Q485" s="4" t="s">
        <v>37</v>
      </c>
      <c r="R485" s="4" t="str">
        <f t="shared" si="30"/>
        <v/>
      </c>
      <c r="S485" s="4" t="s">
        <v>41</v>
      </c>
      <c r="T485" s="4">
        <f>Setup!$C$14</f>
        <v>1200</v>
      </c>
      <c r="U485" s="4" t="str">
        <f t="shared" si="31"/>
        <v/>
      </c>
      <c r="V485" s="4"/>
    </row>
    <row r="486" spans="1:22" x14ac:dyDescent="0.25">
      <c r="A486" s="4"/>
      <c r="B486" s="4" t="str">
        <f>IFERROR(IF(A486&lt;&gt;"",VLOOKUP($A486,calculation!$A$10:$V$510,12),""),"")</f>
        <v/>
      </c>
      <c r="C486" s="4" t="str">
        <f>IFERROR(IF(A486&lt;&gt;"",VLOOKUP($A486,calculation!$A$10:$V$510,15),""),"")</f>
        <v/>
      </c>
      <c r="D486" s="4" t="str">
        <f>IFERROR(IF(A486&lt;&gt;"",VLOOKUP($A486,calculation!$A$10:$V$510,22),""),"")</f>
        <v/>
      </c>
      <c r="F486" s="4" t="s">
        <v>27</v>
      </c>
      <c r="G486" s="4">
        <f>MAX($G$9:G485)+1</f>
        <v>458</v>
      </c>
      <c r="H486" s="4" t="s">
        <v>34</v>
      </c>
      <c r="I486" s="4" t="s">
        <v>35</v>
      </c>
      <c r="J486" s="4" t="str">
        <f t="shared" si="28"/>
        <v/>
      </c>
      <c r="K486" s="4" t="s">
        <v>39</v>
      </c>
      <c r="L486" s="4">
        <f>Setup!$C$15</f>
        <v>1500</v>
      </c>
      <c r="M486" s="4" t="s">
        <v>36</v>
      </c>
      <c r="N486" s="4" t="str">
        <f t="shared" si="29"/>
        <v/>
      </c>
      <c r="O486" s="4" t="s">
        <v>40</v>
      </c>
      <c r="P486" s="4">
        <f>Setup!$C$13</f>
        <v>1200</v>
      </c>
      <c r="Q486" s="4" t="s">
        <v>37</v>
      </c>
      <c r="R486" s="4" t="str">
        <f t="shared" si="30"/>
        <v/>
      </c>
      <c r="S486" s="4" t="s">
        <v>41</v>
      </c>
      <c r="T486" s="4">
        <f>Setup!$C$14</f>
        <v>1200</v>
      </c>
      <c r="U486" s="4" t="str">
        <f t="shared" si="31"/>
        <v/>
      </c>
      <c r="V486" s="4"/>
    </row>
    <row r="487" spans="1:22" x14ac:dyDescent="0.25">
      <c r="A487" s="4"/>
      <c r="B487" s="4" t="str">
        <f>IFERROR(IF(A487&lt;&gt;"",VLOOKUP($A487,calculation!$A$10:$V$510,12),""),"")</f>
        <v/>
      </c>
      <c r="C487" s="4" t="str">
        <f>IFERROR(IF(A487&lt;&gt;"",VLOOKUP($A487,calculation!$A$10:$V$510,15),""),"")</f>
        <v/>
      </c>
      <c r="D487" s="4" t="str">
        <f>IFERROR(IF(A487&lt;&gt;"",VLOOKUP($A487,calculation!$A$10:$V$510,22),""),"")</f>
        <v/>
      </c>
      <c r="F487" s="4" t="s">
        <v>27</v>
      </c>
      <c r="G487" s="4">
        <f>MAX($G$9:G486)+1</f>
        <v>459</v>
      </c>
      <c r="H487" s="4" t="s">
        <v>34</v>
      </c>
      <c r="I487" s="4" t="s">
        <v>35</v>
      </c>
      <c r="J487" s="4" t="str">
        <f t="shared" si="28"/>
        <v/>
      </c>
      <c r="K487" s="4" t="s">
        <v>39</v>
      </c>
      <c r="L487" s="4">
        <f>Setup!$C$15</f>
        <v>1500</v>
      </c>
      <c r="M487" s="4" t="s">
        <v>36</v>
      </c>
      <c r="N487" s="4" t="str">
        <f t="shared" si="29"/>
        <v/>
      </c>
      <c r="O487" s="4" t="s">
        <v>40</v>
      </c>
      <c r="P487" s="4">
        <f>Setup!$C$13</f>
        <v>1200</v>
      </c>
      <c r="Q487" s="4" t="s">
        <v>37</v>
      </c>
      <c r="R487" s="4" t="str">
        <f t="shared" si="30"/>
        <v/>
      </c>
      <c r="S487" s="4" t="s">
        <v>41</v>
      </c>
      <c r="T487" s="4">
        <f>Setup!$C$14</f>
        <v>1200</v>
      </c>
      <c r="U487" s="4" t="str">
        <f t="shared" si="31"/>
        <v/>
      </c>
      <c r="V487" s="4"/>
    </row>
    <row r="488" spans="1:22" x14ac:dyDescent="0.25">
      <c r="A488" s="4"/>
      <c r="B488" s="4" t="str">
        <f>IFERROR(IF(A488&lt;&gt;"",VLOOKUP($A488,calculation!$A$10:$V$510,12),""),"")</f>
        <v/>
      </c>
      <c r="C488" s="4" t="str">
        <f>IFERROR(IF(A488&lt;&gt;"",VLOOKUP($A488,calculation!$A$10:$V$510,15),""),"")</f>
        <v/>
      </c>
      <c r="D488" s="4" t="str">
        <f>IFERROR(IF(A488&lt;&gt;"",VLOOKUP($A488,calculation!$A$10:$V$510,22),""),"")</f>
        <v/>
      </c>
      <c r="F488" s="4" t="s">
        <v>27</v>
      </c>
      <c r="G488" s="4">
        <f>MAX($G$9:G487)+1</f>
        <v>460</v>
      </c>
      <c r="H488" s="4" t="s">
        <v>34</v>
      </c>
      <c r="I488" s="4" t="s">
        <v>35</v>
      </c>
      <c r="J488" s="4" t="str">
        <f t="shared" si="28"/>
        <v/>
      </c>
      <c r="K488" s="4" t="s">
        <v>39</v>
      </c>
      <c r="L488" s="4">
        <f>Setup!$C$15</f>
        <v>1500</v>
      </c>
      <c r="M488" s="4" t="s">
        <v>36</v>
      </c>
      <c r="N488" s="4" t="str">
        <f t="shared" si="29"/>
        <v/>
      </c>
      <c r="O488" s="4" t="s">
        <v>40</v>
      </c>
      <c r="P488" s="4">
        <f>Setup!$C$13</f>
        <v>1200</v>
      </c>
      <c r="Q488" s="4" t="s">
        <v>37</v>
      </c>
      <c r="R488" s="4" t="str">
        <f t="shared" si="30"/>
        <v/>
      </c>
      <c r="S488" s="4" t="s">
        <v>41</v>
      </c>
      <c r="T488" s="4">
        <f>Setup!$C$14</f>
        <v>1200</v>
      </c>
      <c r="U488" s="4" t="str">
        <f t="shared" si="31"/>
        <v/>
      </c>
      <c r="V488" s="4"/>
    </row>
    <row r="489" spans="1:22" x14ac:dyDescent="0.25">
      <c r="A489" s="4"/>
      <c r="B489" s="4" t="str">
        <f>IFERROR(IF(A489&lt;&gt;"",VLOOKUP($A489,calculation!$A$10:$V$510,12),""),"")</f>
        <v/>
      </c>
      <c r="C489" s="4" t="str">
        <f>IFERROR(IF(A489&lt;&gt;"",VLOOKUP($A489,calculation!$A$10:$V$510,15),""),"")</f>
        <v/>
      </c>
      <c r="D489" s="4" t="str">
        <f>IFERROR(IF(A489&lt;&gt;"",VLOOKUP($A489,calculation!$A$10:$V$510,22),""),"")</f>
        <v/>
      </c>
      <c r="F489" s="4" t="s">
        <v>27</v>
      </c>
      <c r="G489" s="4">
        <f>MAX($G$9:G488)+1</f>
        <v>461</v>
      </c>
      <c r="H489" s="4" t="s">
        <v>34</v>
      </c>
      <c r="I489" s="4" t="s">
        <v>35</v>
      </c>
      <c r="J489" s="4" t="str">
        <f t="shared" si="28"/>
        <v/>
      </c>
      <c r="K489" s="4" t="s">
        <v>39</v>
      </c>
      <c r="L489" s="4">
        <f>Setup!$C$15</f>
        <v>1500</v>
      </c>
      <c r="M489" s="4" t="s">
        <v>36</v>
      </c>
      <c r="N489" s="4" t="str">
        <f t="shared" si="29"/>
        <v/>
      </c>
      <c r="O489" s="4" t="s">
        <v>40</v>
      </c>
      <c r="P489" s="4">
        <f>Setup!$C$13</f>
        <v>1200</v>
      </c>
      <c r="Q489" s="4" t="s">
        <v>37</v>
      </c>
      <c r="R489" s="4" t="str">
        <f t="shared" si="30"/>
        <v/>
      </c>
      <c r="S489" s="4" t="s">
        <v>41</v>
      </c>
      <c r="T489" s="4">
        <f>Setup!$C$14</f>
        <v>1200</v>
      </c>
      <c r="U489" s="4" t="str">
        <f t="shared" si="31"/>
        <v/>
      </c>
      <c r="V489" s="4"/>
    </row>
    <row r="490" spans="1:22" x14ac:dyDescent="0.25">
      <c r="A490" s="4"/>
      <c r="B490" s="4" t="str">
        <f>IFERROR(IF(A490&lt;&gt;"",VLOOKUP($A490,calculation!$A$10:$V$510,12),""),"")</f>
        <v/>
      </c>
      <c r="C490" s="4" t="str">
        <f>IFERROR(IF(A490&lt;&gt;"",VLOOKUP($A490,calculation!$A$10:$V$510,15),""),"")</f>
        <v/>
      </c>
      <c r="D490" s="4" t="str">
        <f>IFERROR(IF(A490&lt;&gt;"",VLOOKUP($A490,calculation!$A$10:$V$510,22),""),"")</f>
        <v/>
      </c>
      <c r="F490" s="4" t="s">
        <v>27</v>
      </c>
      <c r="G490" s="4">
        <f>MAX($G$9:G489)+1</f>
        <v>462</v>
      </c>
      <c r="H490" s="4" t="s">
        <v>34</v>
      </c>
      <c r="I490" s="4" t="s">
        <v>35</v>
      </c>
      <c r="J490" s="4" t="str">
        <f t="shared" si="28"/>
        <v/>
      </c>
      <c r="K490" s="4" t="s">
        <v>39</v>
      </c>
      <c r="L490" s="4">
        <f>Setup!$C$15</f>
        <v>1500</v>
      </c>
      <c r="M490" s="4" t="s">
        <v>36</v>
      </c>
      <c r="N490" s="4" t="str">
        <f t="shared" si="29"/>
        <v/>
      </c>
      <c r="O490" s="4" t="s">
        <v>40</v>
      </c>
      <c r="P490" s="4">
        <f>Setup!$C$13</f>
        <v>1200</v>
      </c>
      <c r="Q490" s="4" t="s">
        <v>37</v>
      </c>
      <c r="R490" s="4" t="str">
        <f t="shared" si="30"/>
        <v/>
      </c>
      <c r="S490" s="4" t="s">
        <v>41</v>
      </c>
      <c r="T490" s="4">
        <f>Setup!$C$14</f>
        <v>1200</v>
      </c>
      <c r="U490" s="4" t="str">
        <f t="shared" si="31"/>
        <v/>
      </c>
      <c r="V490" s="4"/>
    </row>
    <row r="491" spans="1:22" x14ac:dyDescent="0.25">
      <c r="A491" s="4"/>
      <c r="B491" s="4" t="str">
        <f>IFERROR(IF(A491&lt;&gt;"",VLOOKUP($A491,calculation!$A$10:$V$510,12),""),"")</f>
        <v/>
      </c>
      <c r="C491" s="4" t="str">
        <f>IFERROR(IF(A491&lt;&gt;"",VLOOKUP($A491,calculation!$A$10:$V$510,15),""),"")</f>
        <v/>
      </c>
      <c r="D491" s="4" t="str">
        <f>IFERROR(IF(A491&lt;&gt;"",VLOOKUP($A491,calculation!$A$10:$V$510,22),""),"")</f>
        <v/>
      </c>
      <c r="F491" s="4" t="s">
        <v>27</v>
      </c>
      <c r="G491" s="4">
        <f>MAX($G$9:G490)+1</f>
        <v>463</v>
      </c>
      <c r="H491" s="4" t="s">
        <v>34</v>
      </c>
      <c r="I491" s="4" t="s">
        <v>35</v>
      </c>
      <c r="J491" s="4" t="str">
        <f t="shared" si="28"/>
        <v/>
      </c>
      <c r="K491" s="4" t="s">
        <v>39</v>
      </c>
      <c r="L491" s="4">
        <f>Setup!$C$15</f>
        <v>1500</v>
      </c>
      <c r="M491" s="4" t="s">
        <v>36</v>
      </c>
      <c r="N491" s="4" t="str">
        <f t="shared" si="29"/>
        <v/>
      </c>
      <c r="O491" s="4" t="s">
        <v>40</v>
      </c>
      <c r="P491" s="4">
        <f>Setup!$C$13</f>
        <v>1200</v>
      </c>
      <c r="Q491" s="4" t="s">
        <v>37</v>
      </c>
      <c r="R491" s="4" t="str">
        <f t="shared" si="30"/>
        <v/>
      </c>
      <c r="S491" s="4" t="s">
        <v>41</v>
      </c>
      <c r="T491" s="4">
        <f>Setup!$C$14</f>
        <v>1200</v>
      </c>
      <c r="U491" s="4" t="str">
        <f t="shared" si="31"/>
        <v/>
      </c>
      <c r="V491" s="4"/>
    </row>
    <row r="492" spans="1:22" x14ac:dyDescent="0.25">
      <c r="A492" s="4"/>
      <c r="B492" s="4" t="str">
        <f>IFERROR(IF(A492&lt;&gt;"",VLOOKUP($A492,calculation!$A$10:$V$510,12),""),"")</f>
        <v/>
      </c>
      <c r="C492" s="4" t="str">
        <f>IFERROR(IF(A492&lt;&gt;"",VLOOKUP($A492,calculation!$A$10:$V$510,15),""),"")</f>
        <v/>
      </c>
      <c r="D492" s="4" t="str">
        <f>IFERROR(IF(A492&lt;&gt;"",VLOOKUP($A492,calculation!$A$10:$V$510,22),""),"")</f>
        <v/>
      </c>
      <c r="F492" s="4" t="s">
        <v>27</v>
      </c>
      <c r="G492" s="4">
        <f>MAX($G$9:G491)+1</f>
        <v>464</v>
      </c>
      <c r="H492" s="4" t="s">
        <v>34</v>
      </c>
      <c r="I492" s="4" t="s">
        <v>35</v>
      </c>
      <c r="J492" s="4" t="str">
        <f t="shared" si="28"/>
        <v/>
      </c>
      <c r="K492" s="4" t="s">
        <v>39</v>
      </c>
      <c r="L492" s="4">
        <f>Setup!$C$15</f>
        <v>1500</v>
      </c>
      <c r="M492" s="4" t="s">
        <v>36</v>
      </c>
      <c r="N492" s="4" t="str">
        <f t="shared" si="29"/>
        <v/>
      </c>
      <c r="O492" s="4" t="s">
        <v>40</v>
      </c>
      <c r="P492" s="4">
        <f>Setup!$C$13</f>
        <v>1200</v>
      </c>
      <c r="Q492" s="4" t="s">
        <v>37</v>
      </c>
      <c r="R492" s="4" t="str">
        <f t="shared" si="30"/>
        <v/>
      </c>
      <c r="S492" s="4" t="s">
        <v>41</v>
      </c>
      <c r="T492" s="4">
        <f>Setup!$C$14</f>
        <v>1200</v>
      </c>
      <c r="U492" s="4" t="str">
        <f t="shared" si="31"/>
        <v/>
      </c>
      <c r="V492" s="4"/>
    </row>
    <row r="493" spans="1:22" x14ac:dyDescent="0.25">
      <c r="A493" s="4"/>
      <c r="B493" s="4" t="str">
        <f>IFERROR(IF(A493&lt;&gt;"",VLOOKUP($A493,calculation!$A$10:$V$510,12),""),"")</f>
        <v/>
      </c>
      <c r="C493" s="4" t="str">
        <f>IFERROR(IF(A493&lt;&gt;"",VLOOKUP($A493,calculation!$A$10:$V$510,15),""),"")</f>
        <v/>
      </c>
      <c r="D493" s="4" t="str">
        <f>IFERROR(IF(A493&lt;&gt;"",VLOOKUP($A493,calculation!$A$10:$V$510,22),""),"")</f>
        <v/>
      </c>
      <c r="F493" s="4" t="s">
        <v>27</v>
      </c>
      <c r="G493" s="4">
        <f>MAX($G$9:G492)+1</f>
        <v>465</v>
      </c>
      <c r="H493" s="4" t="s">
        <v>34</v>
      </c>
      <c r="I493" s="4" t="s">
        <v>35</v>
      </c>
      <c r="J493" s="4" t="str">
        <f t="shared" si="28"/>
        <v/>
      </c>
      <c r="K493" s="4" t="s">
        <v>39</v>
      </c>
      <c r="L493" s="4">
        <f>Setup!$C$15</f>
        <v>1500</v>
      </c>
      <c r="M493" s="4" t="s">
        <v>36</v>
      </c>
      <c r="N493" s="4" t="str">
        <f t="shared" si="29"/>
        <v/>
      </c>
      <c r="O493" s="4" t="s">
        <v>40</v>
      </c>
      <c r="P493" s="4">
        <f>Setup!$C$13</f>
        <v>1200</v>
      </c>
      <c r="Q493" s="4" t="s">
        <v>37</v>
      </c>
      <c r="R493" s="4" t="str">
        <f t="shared" si="30"/>
        <v/>
      </c>
      <c r="S493" s="4" t="s">
        <v>41</v>
      </c>
      <c r="T493" s="4">
        <f>Setup!$C$14</f>
        <v>1200</v>
      </c>
      <c r="U493" s="4" t="str">
        <f t="shared" si="31"/>
        <v/>
      </c>
      <c r="V493" s="4"/>
    </row>
    <row r="494" spans="1:22" x14ac:dyDescent="0.25">
      <c r="A494" s="4"/>
      <c r="B494" s="4" t="str">
        <f>IFERROR(IF(A494&lt;&gt;"",VLOOKUP($A494,calculation!$A$10:$V$510,12),""),"")</f>
        <v/>
      </c>
      <c r="C494" s="4" t="str">
        <f>IFERROR(IF(A494&lt;&gt;"",VLOOKUP($A494,calculation!$A$10:$V$510,15),""),"")</f>
        <v/>
      </c>
      <c r="D494" s="4" t="str">
        <f>IFERROR(IF(A494&lt;&gt;"",VLOOKUP($A494,calculation!$A$10:$V$510,22),""),"")</f>
        <v/>
      </c>
      <c r="F494" s="4" t="s">
        <v>27</v>
      </c>
      <c r="G494" s="4">
        <f>MAX($G$9:G493)+1</f>
        <v>466</v>
      </c>
      <c r="H494" s="4" t="s">
        <v>34</v>
      </c>
      <c r="I494" s="4" t="s">
        <v>35</v>
      </c>
      <c r="J494" s="4" t="str">
        <f t="shared" si="28"/>
        <v/>
      </c>
      <c r="K494" s="4" t="s">
        <v>39</v>
      </c>
      <c r="L494" s="4">
        <f>Setup!$C$15</f>
        <v>1500</v>
      </c>
      <c r="M494" s="4" t="s">
        <v>36</v>
      </c>
      <c r="N494" s="4" t="str">
        <f t="shared" si="29"/>
        <v/>
      </c>
      <c r="O494" s="4" t="s">
        <v>40</v>
      </c>
      <c r="P494" s="4">
        <f>Setup!$C$13</f>
        <v>1200</v>
      </c>
      <c r="Q494" s="4" t="s">
        <v>37</v>
      </c>
      <c r="R494" s="4" t="str">
        <f t="shared" si="30"/>
        <v/>
      </c>
      <c r="S494" s="4" t="s">
        <v>41</v>
      </c>
      <c r="T494" s="4">
        <f>Setup!$C$14</f>
        <v>1200</v>
      </c>
      <c r="U494" s="4" t="str">
        <f t="shared" si="31"/>
        <v/>
      </c>
      <c r="V494" s="4"/>
    </row>
    <row r="495" spans="1:22" x14ac:dyDescent="0.25">
      <c r="A495" s="4"/>
      <c r="B495" s="4" t="str">
        <f>IFERROR(IF(A495&lt;&gt;"",VLOOKUP($A495,calculation!$A$10:$V$510,12),""),"")</f>
        <v/>
      </c>
      <c r="C495" s="4" t="str">
        <f>IFERROR(IF(A495&lt;&gt;"",VLOOKUP($A495,calculation!$A$10:$V$510,15),""),"")</f>
        <v/>
      </c>
      <c r="D495" s="4" t="str">
        <f>IFERROR(IF(A495&lt;&gt;"",VLOOKUP($A495,calculation!$A$10:$V$510,22),""),"")</f>
        <v/>
      </c>
      <c r="F495" s="4" t="s">
        <v>27</v>
      </c>
      <c r="G495" s="4">
        <f>MAX($G$9:G494)+1</f>
        <v>467</v>
      </c>
      <c r="H495" s="4" t="s">
        <v>34</v>
      </c>
      <c r="I495" s="4" t="s">
        <v>35</v>
      </c>
      <c r="J495" s="4" t="str">
        <f t="shared" si="28"/>
        <v/>
      </c>
      <c r="K495" s="4" t="s">
        <v>39</v>
      </c>
      <c r="L495" s="4">
        <f>Setup!$C$15</f>
        <v>1500</v>
      </c>
      <c r="M495" s="4" t="s">
        <v>36</v>
      </c>
      <c r="N495" s="4" t="str">
        <f t="shared" si="29"/>
        <v/>
      </c>
      <c r="O495" s="4" t="s">
        <v>40</v>
      </c>
      <c r="P495" s="4">
        <f>Setup!$C$13</f>
        <v>1200</v>
      </c>
      <c r="Q495" s="4" t="s">
        <v>37</v>
      </c>
      <c r="R495" s="4" t="str">
        <f t="shared" si="30"/>
        <v/>
      </c>
      <c r="S495" s="4" t="s">
        <v>41</v>
      </c>
      <c r="T495" s="4">
        <f>Setup!$C$14</f>
        <v>1200</v>
      </c>
      <c r="U495" s="4" t="str">
        <f t="shared" si="31"/>
        <v/>
      </c>
      <c r="V495" s="4"/>
    </row>
    <row r="496" spans="1:22" x14ac:dyDescent="0.25">
      <c r="A496" s="4"/>
      <c r="B496" s="4" t="str">
        <f>IFERROR(IF(A496&lt;&gt;"",VLOOKUP($A496,calculation!$A$10:$V$510,12),""),"")</f>
        <v/>
      </c>
      <c r="C496" s="4" t="str">
        <f>IFERROR(IF(A496&lt;&gt;"",VLOOKUP($A496,calculation!$A$10:$V$510,15),""),"")</f>
        <v/>
      </c>
      <c r="D496" s="4" t="str">
        <f>IFERROR(IF(A496&lt;&gt;"",VLOOKUP($A496,calculation!$A$10:$V$510,22),""),"")</f>
        <v/>
      </c>
      <c r="F496" s="4" t="s">
        <v>27</v>
      </c>
      <c r="G496" s="4">
        <f>MAX($G$9:G495)+1</f>
        <v>468</v>
      </c>
      <c r="H496" s="4" t="s">
        <v>34</v>
      </c>
      <c r="I496" s="4" t="s">
        <v>35</v>
      </c>
      <c r="J496" s="4" t="str">
        <f t="shared" si="28"/>
        <v/>
      </c>
      <c r="K496" s="4" t="s">
        <v>39</v>
      </c>
      <c r="L496" s="4">
        <f>Setup!$C$15</f>
        <v>1500</v>
      </c>
      <c r="M496" s="4" t="s">
        <v>36</v>
      </c>
      <c r="N496" s="4" t="str">
        <f t="shared" si="29"/>
        <v/>
      </c>
      <c r="O496" s="4" t="s">
        <v>40</v>
      </c>
      <c r="P496" s="4">
        <f>Setup!$C$13</f>
        <v>1200</v>
      </c>
      <c r="Q496" s="4" t="s">
        <v>37</v>
      </c>
      <c r="R496" s="4" t="str">
        <f t="shared" si="30"/>
        <v/>
      </c>
      <c r="S496" s="4" t="s">
        <v>41</v>
      </c>
      <c r="T496" s="4">
        <f>Setup!$C$14</f>
        <v>1200</v>
      </c>
      <c r="U496" s="4" t="str">
        <f t="shared" si="31"/>
        <v/>
      </c>
      <c r="V496" s="4"/>
    </row>
    <row r="497" spans="1:22" x14ac:dyDescent="0.25">
      <c r="A497" s="4"/>
      <c r="B497" s="4" t="str">
        <f>IFERROR(IF(A497&lt;&gt;"",VLOOKUP($A497,calculation!$A$10:$V$510,12),""),"")</f>
        <v/>
      </c>
      <c r="C497" s="4" t="str">
        <f>IFERROR(IF(A497&lt;&gt;"",VLOOKUP($A497,calculation!$A$10:$V$510,15),""),"")</f>
        <v/>
      </c>
      <c r="D497" s="4" t="str">
        <f>IFERROR(IF(A497&lt;&gt;"",VLOOKUP($A497,calculation!$A$10:$V$510,22),""),"")</f>
        <v/>
      </c>
      <c r="F497" s="4" t="s">
        <v>27</v>
      </c>
      <c r="G497" s="4">
        <f>MAX($G$9:G496)+1</f>
        <v>469</v>
      </c>
      <c r="H497" s="4" t="s">
        <v>34</v>
      </c>
      <c r="I497" s="4" t="s">
        <v>35</v>
      </c>
      <c r="J497" s="4" t="str">
        <f t="shared" si="28"/>
        <v/>
      </c>
      <c r="K497" s="4" t="s">
        <v>39</v>
      </c>
      <c r="L497" s="4">
        <f>Setup!$C$15</f>
        <v>1500</v>
      </c>
      <c r="M497" s="4" t="s">
        <v>36</v>
      </c>
      <c r="N497" s="4" t="str">
        <f t="shared" si="29"/>
        <v/>
      </c>
      <c r="O497" s="4" t="s">
        <v>40</v>
      </c>
      <c r="P497" s="4">
        <f>Setup!$C$13</f>
        <v>1200</v>
      </c>
      <c r="Q497" s="4" t="s">
        <v>37</v>
      </c>
      <c r="R497" s="4" t="str">
        <f t="shared" si="30"/>
        <v/>
      </c>
      <c r="S497" s="4" t="s">
        <v>41</v>
      </c>
      <c r="T497" s="4">
        <f>Setup!$C$14</f>
        <v>1200</v>
      </c>
      <c r="U497" s="4" t="str">
        <f t="shared" si="31"/>
        <v/>
      </c>
      <c r="V497" s="4"/>
    </row>
    <row r="498" spans="1:22" x14ac:dyDescent="0.25">
      <c r="A498" s="4"/>
      <c r="B498" s="4" t="str">
        <f>IFERROR(IF(A498&lt;&gt;"",VLOOKUP($A498,calculation!$A$10:$V$510,12),""),"")</f>
        <v/>
      </c>
      <c r="C498" s="4" t="str">
        <f>IFERROR(IF(A498&lt;&gt;"",VLOOKUP($A498,calculation!$A$10:$V$510,15),""),"")</f>
        <v/>
      </c>
      <c r="D498" s="4" t="str">
        <f>IFERROR(IF(A498&lt;&gt;"",VLOOKUP($A498,calculation!$A$10:$V$510,22),""),"")</f>
        <v/>
      </c>
      <c r="F498" s="4" t="s">
        <v>27</v>
      </c>
      <c r="G498" s="4">
        <f>MAX($G$9:G497)+1</f>
        <v>470</v>
      </c>
      <c r="H498" s="4" t="s">
        <v>34</v>
      </c>
      <c r="I498" s="4" t="s">
        <v>35</v>
      </c>
      <c r="J498" s="4" t="str">
        <f t="shared" si="28"/>
        <v/>
      </c>
      <c r="K498" s="4" t="s">
        <v>39</v>
      </c>
      <c r="L498" s="4">
        <f>Setup!$C$15</f>
        <v>1500</v>
      </c>
      <c r="M498" s="4" t="s">
        <v>36</v>
      </c>
      <c r="N498" s="4" t="str">
        <f t="shared" si="29"/>
        <v/>
      </c>
      <c r="O498" s="4" t="s">
        <v>40</v>
      </c>
      <c r="P498" s="4">
        <f>Setup!$C$13</f>
        <v>1200</v>
      </c>
      <c r="Q498" s="4" t="s">
        <v>37</v>
      </c>
      <c r="R498" s="4" t="str">
        <f t="shared" si="30"/>
        <v/>
      </c>
      <c r="S498" s="4" t="s">
        <v>41</v>
      </c>
      <c r="T498" s="4">
        <f>Setup!$C$14</f>
        <v>1200</v>
      </c>
      <c r="U498" s="4" t="str">
        <f t="shared" si="31"/>
        <v/>
      </c>
      <c r="V498" s="4"/>
    </row>
    <row r="499" spans="1:22" x14ac:dyDescent="0.25">
      <c r="A499" s="4"/>
      <c r="B499" s="4" t="str">
        <f>IFERROR(IF(A499&lt;&gt;"",VLOOKUP($A499,calculation!$A$10:$V$510,12),""),"")</f>
        <v/>
      </c>
      <c r="C499" s="4" t="str">
        <f>IFERROR(IF(A499&lt;&gt;"",VLOOKUP($A499,calculation!$A$10:$V$510,15),""),"")</f>
        <v/>
      </c>
      <c r="D499" s="4" t="str">
        <f>IFERROR(IF(A499&lt;&gt;"",VLOOKUP($A499,calculation!$A$10:$V$510,22),""),"")</f>
        <v/>
      </c>
      <c r="F499" s="4" t="s">
        <v>27</v>
      </c>
      <c r="G499" s="4">
        <f>MAX($G$9:G498)+1</f>
        <v>471</v>
      </c>
      <c r="H499" s="4" t="s">
        <v>34</v>
      </c>
      <c r="I499" s="4" t="s">
        <v>35</v>
      </c>
      <c r="J499" s="4" t="str">
        <f t="shared" si="28"/>
        <v/>
      </c>
      <c r="K499" s="4" t="s">
        <v>39</v>
      </c>
      <c r="L499" s="4">
        <f>Setup!$C$15</f>
        <v>1500</v>
      </c>
      <c r="M499" s="4" t="s">
        <v>36</v>
      </c>
      <c r="N499" s="4" t="str">
        <f t="shared" si="29"/>
        <v/>
      </c>
      <c r="O499" s="4" t="s">
        <v>40</v>
      </c>
      <c r="P499" s="4">
        <f>Setup!$C$13</f>
        <v>1200</v>
      </c>
      <c r="Q499" s="4" t="s">
        <v>37</v>
      </c>
      <c r="R499" s="4" t="str">
        <f t="shared" si="30"/>
        <v/>
      </c>
      <c r="S499" s="4" t="s">
        <v>41</v>
      </c>
      <c r="T499" s="4">
        <f>Setup!$C$14</f>
        <v>1200</v>
      </c>
      <c r="U499" s="4" t="str">
        <f t="shared" si="31"/>
        <v/>
      </c>
      <c r="V499" s="4"/>
    </row>
    <row r="500" spans="1:22" x14ac:dyDescent="0.25">
      <c r="A500" s="4"/>
      <c r="B500" s="4" t="str">
        <f>IFERROR(IF(A500&lt;&gt;"",VLOOKUP($A500,calculation!$A$10:$V$510,12),""),"")</f>
        <v/>
      </c>
      <c r="C500" s="4" t="str">
        <f>IFERROR(IF(A500&lt;&gt;"",VLOOKUP($A500,calculation!$A$10:$V$510,15),""),"")</f>
        <v/>
      </c>
      <c r="D500" s="4" t="str">
        <f>IFERROR(IF(A500&lt;&gt;"",VLOOKUP($A500,calculation!$A$10:$V$510,22),""),"")</f>
        <v/>
      </c>
      <c r="F500" s="4" t="s">
        <v>27</v>
      </c>
      <c r="G500" s="4">
        <f>MAX($G$9:G499)+1</f>
        <v>472</v>
      </c>
      <c r="H500" s="4" t="s">
        <v>34</v>
      </c>
      <c r="I500" s="4" t="s">
        <v>35</v>
      </c>
      <c r="J500" s="4" t="str">
        <f t="shared" si="28"/>
        <v/>
      </c>
      <c r="K500" s="4" t="s">
        <v>39</v>
      </c>
      <c r="L500" s="4">
        <f>Setup!$C$15</f>
        <v>1500</v>
      </c>
      <c r="M500" s="4" t="s">
        <v>36</v>
      </c>
      <c r="N500" s="4" t="str">
        <f t="shared" si="29"/>
        <v/>
      </c>
      <c r="O500" s="4" t="s">
        <v>40</v>
      </c>
      <c r="P500" s="4">
        <f>Setup!$C$13</f>
        <v>1200</v>
      </c>
      <c r="Q500" s="4" t="s">
        <v>37</v>
      </c>
      <c r="R500" s="4" t="str">
        <f t="shared" si="30"/>
        <v/>
      </c>
      <c r="S500" s="4" t="s">
        <v>41</v>
      </c>
      <c r="T500" s="4">
        <f>Setup!$C$14</f>
        <v>1200</v>
      </c>
      <c r="U500" s="4" t="str">
        <f t="shared" si="31"/>
        <v/>
      </c>
      <c r="V500" s="4"/>
    </row>
    <row r="501" spans="1:22" x14ac:dyDescent="0.25">
      <c r="A501" s="4"/>
      <c r="B501" s="4" t="str">
        <f>IFERROR(IF(A501&lt;&gt;"",VLOOKUP($A501,calculation!$A$10:$V$510,12),""),"")</f>
        <v/>
      </c>
      <c r="C501" s="4" t="str">
        <f>IFERROR(IF(A501&lt;&gt;"",VLOOKUP($A501,calculation!$A$10:$V$510,15),""),"")</f>
        <v/>
      </c>
      <c r="D501" s="4" t="str">
        <f>IFERROR(IF(A501&lt;&gt;"",VLOOKUP($A501,calculation!$A$10:$V$510,22),""),"")</f>
        <v/>
      </c>
      <c r="F501" s="4" t="s">
        <v>27</v>
      </c>
      <c r="G501" s="4">
        <f>MAX($G$9:G500)+1</f>
        <v>473</v>
      </c>
      <c r="H501" s="4" t="s">
        <v>34</v>
      </c>
      <c r="I501" s="4" t="s">
        <v>35</v>
      </c>
      <c r="J501" s="4" t="str">
        <f t="shared" si="28"/>
        <v/>
      </c>
      <c r="K501" s="4" t="s">
        <v>39</v>
      </c>
      <c r="L501" s="4">
        <f>Setup!$C$15</f>
        <v>1500</v>
      </c>
      <c r="M501" s="4" t="s">
        <v>36</v>
      </c>
      <c r="N501" s="4" t="str">
        <f t="shared" si="29"/>
        <v/>
      </c>
      <c r="O501" s="4" t="s">
        <v>40</v>
      </c>
      <c r="P501" s="4">
        <f>Setup!$C$13</f>
        <v>1200</v>
      </c>
      <c r="Q501" s="4" t="s">
        <v>37</v>
      </c>
      <c r="R501" s="4" t="str">
        <f t="shared" si="30"/>
        <v/>
      </c>
      <c r="S501" s="4" t="s">
        <v>41</v>
      </c>
      <c r="T501" s="4">
        <f>Setup!$C$14</f>
        <v>1200</v>
      </c>
      <c r="U501" s="4" t="str">
        <f t="shared" si="31"/>
        <v/>
      </c>
      <c r="V501" s="4"/>
    </row>
    <row r="502" spans="1:22" x14ac:dyDescent="0.25">
      <c r="A502" s="4"/>
      <c r="B502" s="4" t="str">
        <f>IFERROR(IF(A502&lt;&gt;"",VLOOKUP($A502,calculation!$A$10:$V$510,12),""),"")</f>
        <v/>
      </c>
      <c r="C502" s="4" t="str">
        <f>IFERROR(IF(A502&lt;&gt;"",VLOOKUP($A502,calculation!$A$10:$V$510,15),""),"")</f>
        <v/>
      </c>
      <c r="D502" s="4" t="str">
        <f>IFERROR(IF(A502&lt;&gt;"",VLOOKUP($A502,calculation!$A$10:$V$510,22),""),"")</f>
        <v/>
      </c>
      <c r="F502" s="4" t="s">
        <v>27</v>
      </c>
      <c r="G502" s="4">
        <f>MAX($G$9:G501)+1</f>
        <v>474</v>
      </c>
      <c r="H502" s="4" t="s">
        <v>34</v>
      </c>
      <c r="I502" s="4" t="s">
        <v>35</v>
      </c>
      <c r="J502" s="4" t="str">
        <f t="shared" si="28"/>
        <v/>
      </c>
      <c r="K502" s="4" t="s">
        <v>39</v>
      </c>
      <c r="L502" s="4">
        <f>Setup!$C$15</f>
        <v>1500</v>
      </c>
      <c r="M502" s="4" t="s">
        <v>36</v>
      </c>
      <c r="N502" s="4" t="str">
        <f t="shared" si="29"/>
        <v/>
      </c>
      <c r="O502" s="4" t="s">
        <v>40</v>
      </c>
      <c r="P502" s="4">
        <f>Setup!$C$13</f>
        <v>1200</v>
      </c>
      <c r="Q502" s="4" t="s">
        <v>37</v>
      </c>
      <c r="R502" s="4" t="str">
        <f t="shared" si="30"/>
        <v/>
      </c>
      <c r="S502" s="4" t="s">
        <v>41</v>
      </c>
      <c r="T502" s="4">
        <f>Setup!$C$14</f>
        <v>1200</v>
      </c>
      <c r="U502" s="4" t="str">
        <f t="shared" si="31"/>
        <v/>
      </c>
      <c r="V502" s="4"/>
    </row>
    <row r="503" spans="1:22" x14ac:dyDescent="0.25">
      <c r="A503" s="4"/>
      <c r="B503" s="4" t="str">
        <f>IFERROR(IF(A503&lt;&gt;"",VLOOKUP($A503,calculation!$A$10:$V$510,12),""),"")</f>
        <v/>
      </c>
      <c r="C503" s="4" t="str">
        <f>IFERROR(IF(A503&lt;&gt;"",VLOOKUP($A503,calculation!$A$10:$V$510,15),""),"")</f>
        <v/>
      </c>
      <c r="D503" s="4" t="str">
        <f>IFERROR(IF(A503&lt;&gt;"",VLOOKUP($A503,calculation!$A$10:$V$510,22),""),"")</f>
        <v/>
      </c>
      <c r="F503" s="4" t="s">
        <v>27</v>
      </c>
      <c r="G503" s="4">
        <f>MAX($G$9:G502)+1</f>
        <v>475</v>
      </c>
      <c r="H503" s="4" t="s">
        <v>34</v>
      </c>
      <c r="I503" s="4" t="s">
        <v>35</v>
      </c>
      <c r="J503" s="4" t="str">
        <f t="shared" si="28"/>
        <v/>
      </c>
      <c r="K503" s="4" t="s">
        <v>39</v>
      </c>
      <c r="L503" s="4">
        <f>Setup!$C$15</f>
        <v>1500</v>
      </c>
      <c r="M503" s="4" t="s">
        <v>36</v>
      </c>
      <c r="N503" s="4" t="str">
        <f t="shared" si="29"/>
        <v/>
      </c>
      <c r="O503" s="4" t="s">
        <v>40</v>
      </c>
      <c r="P503" s="4">
        <f>Setup!$C$13</f>
        <v>1200</v>
      </c>
      <c r="Q503" s="4" t="s">
        <v>37</v>
      </c>
      <c r="R503" s="4" t="str">
        <f t="shared" si="30"/>
        <v/>
      </c>
      <c r="S503" s="4" t="s">
        <v>41</v>
      </c>
      <c r="T503" s="4">
        <f>Setup!$C$14</f>
        <v>1200</v>
      </c>
      <c r="U503" s="4" t="str">
        <f t="shared" si="31"/>
        <v/>
      </c>
      <c r="V503" s="4"/>
    </row>
    <row r="504" spans="1:22" x14ac:dyDescent="0.25">
      <c r="A504" s="4"/>
      <c r="B504" s="4" t="str">
        <f>IFERROR(IF(A504&lt;&gt;"",VLOOKUP($A504,calculation!$A$10:$V$510,12),""),"")</f>
        <v/>
      </c>
      <c r="C504" s="4" t="str">
        <f>IFERROR(IF(A504&lt;&gt;"",VLOOKUP($A504,calculation!$A$10:$V$510,15),""),"")</f>
        <v/>
      </c>
      <c r="D504" s="4" t="str">
        <f>IFERROR(IF(A504&lt;&gt;"",VLOOKUP($A504,calculation!$A$10:$V$510,22),""),"")</f>
        <v/>
      </c>
      <c r="F504" s="4" t="s">
        <v>27</v>
      </c>
      <c r="G504" s="4">
        <f>MAX($G$9:G503)+1</f>
        <v>476</v>
      </c>
      <c r="H504" s="4" t="s">
        <v>34</v>
      </c>
      <c r="I504" s="4" t="s">
        <v>35</v>
      </c>
      <c r="J504" s="4" t="str">
        <f t="shared" si="28"/>
        <v/>
      </c>
      <c r="K504" s="4" t="s">
        <v>39</v>
      </c>
      <c r="L504" s="4">
        <f>Setup!$C$15</f>
        <v>1500</v>
      </c>
      <c r="M504" s="4" t="s">
        <v>36</v>
      </c>
      <c r="N504" s="4" t="str">
        <f t="shared" si="29"/>
        <v/>
      </c>
      <c r="O504" s="4" t="s">
        <v>40</v>
      </c>
      <c r="P504" s="4">
        <f>Setup!$C$13</f>
        <v>1200</v>
      </c>
      <c r="Q504" s="4" t="s">
        <v>37</v>
      </c>
      <c r="R504" s="4" t="str">
        <f t="shared" si="30"/>
        <v/>
      </c>
      <c r="S504" s="4" t="s">
        <v>41</v>
      </c>
      <c r="T504" s="4">
        <f>Setup!$C$14</f>
        <v>1200</v>
      </c>
      <c r="U504" s="4" t="str">
        <f t="shared" si="31"/>
        <v/>
      </c>
      <c r="V504" s="4"/>
    </row>
    <row r="505" spans="1:22" x14ac:dyDescent="0.25">
      <c r="A505" s="4"/>
      <c r="B505" s="4" t="str">
        <f>IFERROR(IF(A505&lt;&gt;"",VLOOKUP($A505,calculation!$A$10:$V$510,12),""),"")</f>
        <v/>
      </c>
      <c r="C505" s="4" t="str">
        <f>IFERROR(IF(A505&lt;&gt;"",VLOOKUP($A505,calculation!$A$10:$V$510,15),""),"")</f>
        <v/>
      </c>
      <c r="D505" s="4" t="str">
        <f>IFERROR(IF(A505&lt;&gt;"",VLOOKUP($A505,calculation!$A$10:$V$510,22),""),"")</f>
        <v/>
      </c>
      <c r="F505" s="4" t="s">
        <v>27</v>
      </c>
      <c r="G505" s="4">
        <f>MAX($G$9:G504)+1</f>
        <v>477</v>
      </c>
      <c r="H505" s="4" t="s">
        <v>34</v>
      </c>
      <c r="I505" s="4" t="s">
        <v>35</v>
      </c>
      <c r="J505" s="4" t="str">
        <f t="shared" si="28"/>
        <v/>
      </c>
      <c r="K505" s="4" t="s">
        <v>39</v>
      </c>
      <c r="L505" s="4">
        <f>Setup!$C$15</f>
        <v>1500</v>
      </c>
      <c r="M505" s="4" t="s">
        <v>36</v>
      </c>
      <c r="N505" s="4" t="str">
        <f t="shared" si="29"/>
        <v/>
      </c>
      <c r="O505" s="4" t="s">
        <v>40</v>
      </c>
      <c r="P505" s="4">
        <f>Setup!$C$13</f>
        <v>1200</v>
      </c>
      <c r="Q505" s="4" t="s">
        <v>37</v>
      </c>
      <c r="R505" s="4" t="str">
        <f t="shared" si="30"/>
        <v/>
      </c>
      <c r="S505" s="4" t="s">
        <v>41</v>
      </c>
      <c r="T505" s="4">
        <f>Setup!$C$14</f>
        <v>1200</v>
      </c>
      <c r="U505" s="4" t="str">
        <f t="shared" si="31"/>
        <v/>
      </c>
      <c r="V505" s="4"/>
    </row>
    <row r="506" spans="1:22" x14ac:dyDescent="0.25">
      <c r="A506" s="4"/>
      <c r="B506" s="4" t="str">
        <f>IFERROR(IF(A506&lt;&gt;"",VLOOKUP($A506,calculation!$A$10:$V$510,12),""),"")</f>
        <v/>
      </c>
      <c r="C506" s="4" t="str">
        <f>IFERROR(IF(A506&lt;&gt;"",VLOOKUP($A506,calculation!$A$10:$V$510,15),""),"")</f>
        <v/>
      </c>
      <c r="D506" s="4" t="str">
        <f>IFERROR(IF(A506&lt;&gt;"",VLOOKUP($A506,calculation!$A$10:$V$510,22),""),"")</f>
        <v/>
      </c>
      <c r="F506" s="4" t="s">
        <v>27</v>
      </c>
      <c r="G506" s="4">
        <f>MAX($G$9:G505)+1</f>
        <v>478</v>
      </c>
      <c r="H506" s="4" t="s">
        <v>34</v>
      </c>
      <c r="I506" s="4" t="s">
        <v>35</v>
      </c>
      <c r="J506" s="4" t="str">
        <f t="shared" si="28"/>
        <v/>
      </c>
      <c r="K506" s="4" t="s">
        <v>39</v>
      </c>
      <c r="L506" s="4">
        <f>Setup!$C$15</f>
        <v>1500</v>
      </c>
      <c r="M506" s="4" t="s">
        <v>36</v>
      </c>
      <c r="N506" s="4" t="str">
        <f t="shared" si="29"/>
        <v/>
      </c>
      <c r="O506" s="4" t="s">
        <v>40</v>
      </c>
      <c r="P506" s="4">
        <f>Setup!$C$13</f>
        <v>1200</v>
      </c>
      <c r="Q506" s="4" t="s">
        <v>37</v>
      </c>
      <c r="R506" s="4" t="str">
        <f t="shared" si="30"/>
        <v/>
      </c>
      <c r="S506" s="4" t="s">
        <v>41</v>
      </c>
      <c r="T506" s="4">
        <f>Setup!$C$14</f>
        <v>1200</v>
      </c>
      <c r="U506" s="4" t="str">
        <f t="shared" si="31"/>
        <v/>
      </c>
      <c r="V506" s="4"/>
    </row>
    <row r="507" spans="1:22" x14ac:dyDescent="0.25">
      <c r="A507" s="4"/>
      <c r="B507" s="4" t="str">
        <f>IFERROR(IF(A507&lt;&gt;"",VLOOKUP($A507,calculation!$A$10:$V$510,12),""),"")</f>
        <v/>
      </c>
      <c r="C507" s="4" t="str">
        <f>IFERROR(IF(A507&lt;&gt;"",VLOOKUP($A507,calculation!$A$10:$V$510,15),""),"")</f>
        <v/>
      </c>
      <c r="D507" s="4" t="str">
        <f>IFERROR(IF(A507&lt;&gt;"",VLOOKUP($A507,calculation!$A$10:$V$510,22),""),"")</f>
        <v/>
      </c>
      <c r="F507" s="4" t="s">
        <v>27</v>
      </c>
      <c r="G507" s="4">
        <f>MAX($G$9:G506)+1</f>
        <v>479</v>
      </c>
      <c r="H507" s="4" t="s">
        <v>34</v>
      </c>
      <c r="I507" s="4" t="s">
        <v>35</v>
      </c>
      <c r="J507" s="4" t="str">
        <f t="shared" si="28"/>
        <v/>
      </c>
      <c r="K507" s="4" t="s">
        <v>39</v>
      </c>
      <c r="L507" s="4">
        <f>Setup!$C$15</f>
        <v>1500</v>
      </c>
      <c r="M507" s="4" t="s">
        <v>36</v>
      </c>
      <c r="N507" s="4" t="str">
        <f t="shared" si="29"/>
        <v/>
      </c>
      <c r="O507" s="4" t="s">
        <v>40</v>
      </c>
      <c r="P507" s="4">
        <f>Setup!$C$13</f>
        <v>1200</v>
      </c>
      <c r="Q507" s="4" t="s">
        <v>37</v>
      </c>
      <c r="R507" s="4" t="str">
        <f t="shared" si="30"/>
        <v/>
      </c>
      <c r="S507" s="4" t="s">
        <v>41</v>
      </c>
      <c r="T507" s="4">
        <f>Setup!$C$14</f>
        <v>1200</v>
      </c>
      <c r="U507" s="4" t="str">
        <f t="shared" si="31"/>
        <v/>
      </c>
      <c r="V507" s="4"/>
    </row>
    <row r="508" spans="1:22" x14ac:dyDescent="0.25">
      <c r="A508" s="4"/>
      <c r="B508" s="4" t="str">
        <f>IFERROR(IF(A508&lt;&gt;"",VLOOKUP($A508,calculation!$A$10:$V$510,12),""),"")</f>
        <v/>
      </c>
      <c r="C508" s="4" t="str">
        <f>IFERROR(IF(A508&lt;&gt;"",VLOOKUP($A508,calculation!$A$10:$V$510,15),""),"")</f>
        <v/>
      </c>
      <c r="D508" s="4" t="str">
        <f>IFERROR(IF(A508&lt;&gt;"",VLOOKUP($A508,calculation!$A$10:$V$510,22),""),"")</f>
        <v/>
      </c>
      <c r="F508" s="4" t="s">
        <v>27</v>
      </c>
      <c r="G508" s="4">
        <f>MAX($G$9:G507)+1</f>
        <v>480</v>
      </c>
      <c r="H508" s="4" t="s">
        <v>34</v>
      </c>
      <c r="I508" s="4" t="s">
        <v>35</v>
      </c>
      <c r="J508" s="4" t="str">
        <f t="shared" si="28"/>
        <v/>
      </c>
      <c r="K508" s="4" t="s">
        <v>39</v>
      </c>
      <c r="L508" s="4">
        <f>Setup!$C$15</f>
        <v>1500</v>
      </c>
      <c r="M508" s="4" t="s">
        <v>36</v>
      </c>
      <c r="N508" s="4" t="str">
        <f t="shared" si="29"/>
        <v/>
      </c>
      <c r="O508" s="4" t="s">
        <v>40</v>
      </c>
      <c r="P508" s="4">
        <f>Setup!$C$13</f>
        <v>1200</v>
      </c>
      <c r="Q508" s="4" t="s">
        <v>37</v>
      </c>
      <c r="R508" s="4" t="str">
        <f t="shared" si="30"/>
        <v/>
      </c>
      <c r="S508" s="4" t="s">
        <v>41</v>
      </c>
      <c r="T508" s="4">
        <f>Setup!$C$14</f>
        <v>1200</v>
      </c>
      <c r="U508" s="4" t="str">
        <f t="shared" si="31"/>
        <v/>
      </c>
      <c r="V508" s="4"/>
    </row>
    <row r="509" spans="1:22" x14ac:dyDescent="0.25">
      <c r="A509" s="4"/>
      <c r="B509" s="4" t="str">
        <f>IFERROR(IF(A509&lt;&gt;"",VLOOKUP($A509,calculation!$A$10:$V$510,12),""),"")</f>
        <v/>
      </c>
      <c r="C509" s="4" t="str">
        <f>IFERROR(IF(A509&lt;&gt;"",VLOOKUP($A509,calculation!$A$10:$V$510,15),""),"")</f>
        <v/>
      </c>
      <c r="D509" s="4" t="str">
        <f>IFERROR(IF(A509&lt;&gt;"",VLOOKUP($A509,calculation!$A$10:$V$510,22),""),"")</f>
        <v/>
      </c>
      <c r="F509" s="4" t="s">
        <v>27</v>
      </c>
      <c r="G509" s="4">
        <f>MAX($G$9:G508)+1</f>
        <v>481</v>
      </c>
      <c r="H509" s="4" t="s">
        <v>34</v>
      </c>
      <c r="I509" s="4" t="s">
        <v>35</v>
      </c>
      <c r="J509" s="4" t="str">
        <f t="shared" si="28"/>
        <v/>
      </c>
      <c r="K509" s="4" t="s">
        <v>39</v>
      </c>
      <c r="L509" s="4">
        <f>Setup!$C$15</f>
        <v>1500</v>
      </c>
      <c r="M509" s="4" t="s">
        <v>36</v>
      </c>
      <c r="N509" s="4" t="str">
        <f t="shared" si="29"/>
        <v/>
      </c>
      <c r="O509" s="4" t="s">
        <v>40</v>
      </c>
      <c r="P509" s="4">
        <f>Setup!$C$13</f>
        <v>1200</v>
      </c>
      <c r="Q509" s="4" t="s">
        <v>37</v>
      </c>
      <c r="R509" s="4" t="str">
        <f t="shared" si="30"/>
        <v/>
      </c>
      <c r="S509" s="4" t="s">
        <v>41</v>
      </c>
      <c r="T509" s="4">
        <f>Setup!$C$14</f>
        <v>1200</v>
      </c>
      <c r="U509" s="4" t="str">
        <f t="shared" si="31"/>
        <v/>
      </c>
      <c r="V509" s="4"/>
    </row>
    <row r="510" spans="1:22" x14ac:dyDescent="0.25">
      <c r="A510" s="4"/>
      <c r="B510" s="4" t="str">
        <f>IFERROR(IF(A510&lt;&gt;"",VLOOKUP($A510,calculation!$A$10:$V$510,12),""),"")</f>
        <v/>
      </c>
      <c r="C510" s="4" t="str">
        <f>IFERROR(IF(A510&lt;&gt;"",VLOOKUP($A510,calculation!$A$10:$V$510,15),""),"")</f>
        <v/>
      </c>
      <c r="D510" s="4" t="str">
        <f>IFERROR(IF(A510&lt;&gt;"",VLOOKUP($A510,calculation!$A$10:$V$510,22),""),"")</f>
        <v/>
      </c>
      <c r="F510" s="4" t="s">
        <v>27</v>
      </c>
      <c r="G510" s="4">
        <f>MAX($G$9:G509)+1</f>
        <v>482</v>
      </c>
      <c r="H510" s="4" t="s">
        <v>34</v>
      </c>
      <c r="I510" s="4" t="s">
        <v>35</v>
      </c>
      <c r="J510" s="4" t="str">
        <f t="shared" si="28"/>
        <v/>
      </c>
      <c r="K510" s="4" t="s">
        <v>39</v>
      </c>
      <c r="L510" s="4">
        <f>Setup!$C$15</f>
        <v>1500</v>
      </c>
      <c r="M510" s="4" t="s">
        <v>36</v>
      </c>
      <c r="N510" s="4" t="str">
        <f t="shared" si="29"/>
        <v/>
      </c>
      <c r="O510" s="4" t="s">
        <v>40</v>
      </c>
      <c r="P510" s="4">
        <f>Setup!$C$13</f>
        <v>1200</v>
      </c>
      <c r="Q510" s="4" t="s">
        <v>37</v>
      </c>
      <c r="R510" s="4" t="str">
        <f t="shared" si="30"/>
        <v/>
      </c>
      <c r="S510" s="4" t="s">
        <v>41</v>
      </c>
      <c r="T510" s="4">
        <f>Setup!$C$14</f>
        <v>1200</v>
      </c>
      <c r="U510" s="4" t="str">
        <f t="shared" si="31"/>
        <v/>
      </c>
      <c r="V510" s="4"/>
    </row>
    <row r="511" spans="1:22" x14ac:dyDescent="0.25">
      <c r="A511" s="4"/>
      <c r="B511" s="4" t="str">
        <f>IFERROR(IF(A511&lt;&gt;"",VLOOKUP($A511,calculation!$A$10:$V$510,12),""),"")</f>
        <v/>
      </c>
      <c r="C511" s="4" t="str">
        <f>IFERROR(IF(A511&lt;&gt;"",VLOOKUP($A511,calculation!$A$10:$V$510,15),""),"")</f>
        <v/>
      </c>
      <c r="D511" s="4" t="str">
        <f>IFERROR(IF(A511&lt;&gt;"",VLOOKUP($A511,calculation!$A$10:$V$510,22),""),"")</f>
        <v/>
      </c>
      <c r="F511" s="4" t="s">
        <v>27</v>
      </c>
      <c r="G511" s="4">
        <f>MAX($G$9:G510)+1</f>
        <v>483</v>
      </c>
      <c r="H511" s="4" t="s">
        <v>34</v>
      </c>
      <c r="I511" s="4" t="s">
        <v>35</v>
      </c>
      <c r="J511" s="4" t="str">
        <f t="shared" si="28"/>
        <v/>
      </c>
      <c r="K511" s="4" t="s">
        <v>39</v>
      </c>
      <c r="L511" s="4">
        <f>Setup!$C$15</f>
        <v>1500</v>
      </c>
      <c r="M511" s="4" t="s">
        <v>36</v>
      </c>
      <c r="N511" s="4" t="str">
        <f t="shared" si="29"/>
        <v/>
      </c>
      <c r="O511" s="4" t="s">
        <v>40</v>
      </c>
      <c r="P511" s="4">
        <f>Setup!$C$13</f>
        <v>1200</v>
      </c>
      <c r="Q511" s="4" t="s">
        <v>37</v>
      </c>
      <c r="R511" s="4" t="str">
        <f t="shared" si="30"/>
        <v/>
      </c>
      <c r="S511" s="4" t="s">
        <v>41</v>
      </c>
      <c r="T511" s="4">
        <f>Setup!$C$14</f>
        <v>1200</v>
      </c>
      <c r="U511" s="4" t="str">
        <f t="shared" si="31"/>
        <v/>
      </c>
      <c r="V511" s="4"/>
    </row>
  </sheetData>
  <conditionalFormatting sqref="U30:U511 U8:U24">
    <cfRule type="cellIs" dxfId="0" priority="1" operator="notEqual">
      <formula>""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code_Zusammenfassen">
                <anchor moveWithCells="1" sizeWithCells="1">
                  <from>
                    <xdr:col>2</xdr:col>
                    <xdr:colOff>533400</xdr:colOff>
                    <xdr:row>25</xdr:row>
                    <xdr:rowOff>161925</xdr:rowOff>
                  </from>
                  <to>
                    <xdr:col>3</xdr:col>
                    <xdr:colOff>790575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Setup</vt:lpstr>
      <vt:lpstr>correction_tag</vt:lpstr>
      <vt:lpstr>INPUT_CAD</vt:lpstr>
      <vt:lpstr>calculation</vt:lpstr>
      <vt:lpstr>Graph</vt:lpstr>
      <vt:lpstr>G_CODE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Behrends Christopher, EA-P</dc:creator>
  <cp:lastModifiedBy>Ch Behrends</cp:lastModifiedBy>
  <dcterms:created xsi:type="dcterms:W3CDTF">2019-12-03T12:31:20Z</dcterms:created>
  <dcterms:modified xsi:type="dcterms:W3CDTF">2022-11-18T19:12:12Z</dcterms:modified>
</cp:coreProperties>
</file>